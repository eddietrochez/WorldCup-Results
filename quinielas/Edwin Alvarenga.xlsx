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codeName="ThisWorkbook" autoCompressPictures="0"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12FA25C2-2983-437E-98A1-C24E51B0DDF0}" xr6:coauthVersionLast="43" xr6:coauthVersionMax="43"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110" yWindow="-110" windowWidth="19420" windowHeight="10420"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AE5" i="46"/>
  <c r="AB5" i="46"/>
  <c r="Y5" i="46"/>
  <c r="V5" i="46"/>
  <c r="S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L244" i="46"/>
  <c r="L233" i="46"/>
  <c r="L232" i="46"/>
  <c r="L223" i="46"/>
  <c r="L222" i="46"/>
  <c r="L221" i="46"/>
  <c r="L220" i="46"/>
  <c r="L201" i="46"/>
  <c r="M201" i="46" s="1"/>
  <c r="L200" i="46"/>
  <c r="L179" i="46"/>
  <c r="L178" i="46"/>
  <c r="L177" i="46"/>
  <c r="L176" i="46"/>
  <c r="L175" i="46"/>
  <c r="L174" i="46"/>
  <c r="L173" i="46"/>
  <c r="L172" i="46"/>
  <c r="L171" i="46"/>
  <c r="M171" i="46" s="1"/>
  <c r="L170" i="46"/>
  <c r="L169" i="46"/>
  <c r="L168" i="46"/>
  <c r="L167" i="46"/>
  <c r="L165" i="46"/>
  <c r="L164" i="46"/>
  <c r="O247" i="46"/>
  <c r="B247" i="46"/>
  <c r="E247" i="46" s="1"/>
  <c r="A247" i="46"/>
  <c r="N247" i="46"/>
  <c r="B244" i="46"/>
  <c r="A244" i="46"/>
  <c r="E244" i="46" s="1"/>
  <c r="O244" i="46"/>
  <c r="N244" i="46"/>
  <c r="A233" i="46"/>
  <c r="B233" i="46"/>
  <c r="B232" i="46"/>
  <c r="A232" i="46"/>
  <c r="E232" i="46" s="1"/>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E207" i="46" s="1"/>
  <c r="B206" i="46"/>
  <c r="A206" i="46"/>
  <c r="B205" i="46"/>
  <c r="A205" i="46"/>
  <c r="B204" i="46"/>
  <c r="A204" i="46"/>
  <c r="B203" i="46"/>
  <c r="A203" i="46"/>
  <c r="B202" i="46"/>
  <c r="Q202" i="46" s="1"/>
  <c r="A202" i="46"/>
  <c r="E202" i="46" s="1"/>
  <c r="B201" i="46"/>
  <c r="A201" i="46"/>
  <c r="E201" i="46" s="1"/>
  <c r="B200" i="46"/>
  <c r="A200" i="46"/>
  <c r="O207" i="46"/>
  <c r="N207" i="46"/>
  <c r="O206" i="46"/>
  <c r="N206" i="46"/>
  <c r="O205" i="46"/>
  <c r="N205" i="46"/>
  <c r="O204" i="46"/>
  <c r="N204" i="46"/>
  <c r="O203" i="46"/>
  <c r="N203" i="46"/>
  <c r="O202" i="46"/>
  <c r="N202" i="46"/>
  <c r="P202" i="46" s="1"/>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M13" i="46" s="1"/>
  <c r="N14" i="46"/>
  <c r="N15" i="46"/>
  <c r="N16" i="46"/>
  <c r="N17" i="46"/>
  <c r="M17" i="46" s="1"/>
  <c r="N18" i="46"/>
  <c r="N19" i="46"/>
  <c r="N20" i="46"/>
  <c r="N21" i="46"/>
  <c r="M21" i="46" s="1"/>
  <c r="N22" i="46"/>
  <c r="N23" i="46"/>
  <c r="N24" i="46"/>
  <c r="N25" i="46"/>
  <c r="N26" i="46"/>
  <c r="M26" i="46" s="1"/>
  <c r="N27" i="46"/>
  <c r="N30" i="46"/>
  <c r="N52" i="46"/>
  <c r="P52" i="46"/>
  <c r="N77" i="46"/>
  <c r="N76" i="46"/>
  <c r="P76" i="46"/>
  <c r="Q76" i="46" s="1"/>
  <c r="N75" i="46"/>
  <c r="N74" i="46"/>
  <c r="N73" i="46"/>
  <c r="N72" i="46"/>
  <c r="M72" i="46" s="1"/>
  <c r="N71" i="46"/>
  <c r="N70" i="46"/>
  <c r="N69" i="46"/>
  <c r="N68" i="46"/>
  <c r="N67" i="46"/>
  <c r="N66" i="46"/>
  <c r="N65" i="46"/>
  <c r="N64" i="46"/>
  <c r="N63" i="46"/>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M77" i="46" s="1"/>
  <c r="O77" i="46"/>
  <c r="O76" i="46"/>
  <c r="P75" i="46"/>
  <c r="O75" i="46"/>
  <c r="P74" i="46"/>
  <c r="O74" i="46"/>
  <c r="P73" i="46"/>
  <c r="O73" i="46"/>
  <c r="P72" i="46"/>
  <c r="O72" i="46"/>
  <c r="P71" i="46"/>
  <c r="O71" i="46"/>
  <c r="P70" i="46"/>
  <c r="O70" i="46"/>
  <c r="P69" i="46"/>
  <c r="O69" i="46"/>
  <c r="P68" i="46"/>
  <c r="O68" i="46"/>
  <c r="P67" i="46"/>
  <c r="O67" i="46"/>
  <c r="P66" i="46"/>
  <c r="M66" i="46" s="1"/>
  <c r="O66" i="46"/>
  <c r="P65" i="46"/>
  <c r="O65" i="46"/>
  <c r="M65" i="46" s="1"/>
  <c r="P64" i="46"/>
  <c r="O64" i="46"/>
  <c r="P63" i="46"/>
  <c r="O63" i="46"/>
  <c r="P62" i="46"/>
  <c r="O62" i="46"/>
  <c r="Q62" i="46" s="1"/>
  <c r="P61" i="46"/>
  <c r="O61" i="46"/>
  <c r="P60" i="46"/>
  <c r="Q60" i="46" s="1"/>
  <c r="O60" i="46"/>
  <c r="P59" i="46"/>
  <c r="O59" i="46"/>
  <c r="P58" i="46"/>
  <c r="O58" i="46"/>
  <c r="Q58" i="46" s="1"/>
  <c r="P57" i="46"/>
  <c r="O57" i="46"/>
  <c r="P56" i="46"/>
  <c r="O56" i="46"/>
  <c r="P55" i="46"/>
  <c r="O55" i="46"/>
  <c r="P53" i="46"/>
  <c r="O53" i="46"/>
  <c r="Q53" i="46" s="1"/>
  <c r="O52" i="46"/>
  <c r="Q52" i="46" s="1"/>
  <c r="P51" i="46"/>
  <c r="O51" i="46"/>
  <c r="P50" i="46"/>
  <c r="O50" i="46"/>
  <c r="P49" i="46"/>
  <c r="O49" i="46"/>
  <c r="P48" i="46"/>
  <c r="O48" i="46"/>
  <c r="P47" i="46"/>
  <c r="Q47" i="46" s="1"/>
  <c r="O47" i="46"/>
  <c r="P46" i="46"/>
  <c r="O46" i="46"/>
  <c r="P45" i="46"/>
  <c r="Q45" i="46" s="1"/>
  <c r="O45" i="46"/>
  <c r="P44" i="46"/>
  <c r="O44" i="46"/>
  <c r="P43" i="46"/>
  <c r="O43" i="46"/>
  <c r="P42" i="46"/>
  <c r="O42" i="46"/>
  <c r="P41" i="46"/>
  <c r="O41" i="46"/>
  <c r="P40" i="46"/>
  <c r="O40" i="46"/>
  <c r="P39" i="46"/>
  <c r="O39" i="46"/>
  <c r="P38" i="46"/>
  <c r="O38" i="46"/>
  <c r="P37" i="46"/>
  <c r="O37" i="46"/>
  <c r="P36" i="46"/>
  <c r="O36" i="46"/>
  <c r="P35" i="46"/>
  <c r="O35" i="46"/>
  <c r="P34" i="46"/>
  <c r="O34" i="46"/>
  <c r="P33" i="46"/>
  <c r="M33" i="46" s="1"/>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D109" i="36"/>
  <c r="L42" i="34" s="1"/>
  <c r="D108" i="36"/>
  <c r="L41" i="34" s="1"/>
  <c r="D106" i="36"/>
  <c r="L38" i="34" s="1"/>
  <c r="D99" i="36"/>
  <c r="L23" i="34" s="1"/>
  <c r="D88" i="36"/>
  <c r="D90" i="36"/>
  <c r="E222" i="46"/>
  <c r="M207" i="46"/>
  <c r="C39" i="46"/>
  <c r="E179" i="46"/>
  <c r="E206" i="46"/>
  <c r="P206" i="46"/>
  <c r="D266" i="36"/>
  <c r="L2" i="32" s="1"/>
  <c r="D365" i="36"/>
  <c r="D364" i="36"/>
  <c r="D263" i="36"/>
  <c r="C60" i="46" s="1"/>
  <c r="D46" i="36"/>
  <c r="AA160" i="3" s="1"/>
  <c r="D369" i="36"/>
  <c r="D137" i="36"/>
  <c r="H152" i="46" s="1"/>
  <c r="M74" i="46"/>
  <c r="M43" i="46"/>
  <c r="M16" i="46"/>
  <c r="Q244" i="46"/>
  <c r="Q179" i="46"/>
  <c r="Q27" i="46"/>
  <c r="E221" i="46"/>
  <c r="Q21" i="46"/>
  <c r="Q7" i="46"/>
  <c r="E233" i="46"/>
  <c r="M61" i="46"/>
  <c r="M45" i="46"/>
  <c r="M69" i="46"/>
  <c r="M29" i="46"/>
  <c r="M221" i="46"/>
  <c r="M49" i="46"/>
  <c r="Q26" i="46"/>
  <c r="M57" i="46"/>
  <c r="E223" i="46"/>
  <c r="M50" i="46"/>
  <c r="M47" i="46"/>
  <c r="M62" i="46"/>
  <c r="M11" i="46"/>
  <c r="M44" i="46"/>
  <c r="M53" i="46"/>
  <c r="M14" i="46"/>
  <c r="S267" i="46"/>
  <c r="M37" i="46" l="1"/>
  <c r="Q223" i="46"/>
  <c r="M247" i="46"/>
  <c r="Q232" i="46"/>
  <c r="M232" i="46"/>
  <c r="M220" i="46"/>
  <c r="M204" i="46"/>
  <c r="E204" i="46"/>
  <c r="M52" i="46"/>
  <c r="M75" i="46"/>
  <c r="Q74" i="46"/>
  <c r="M20" i="46"/>
  <c r="Q66" i="46"/>
  <c r="Q65" i="46"/>
  <c r="M63" i="46"/>
  <c r="M36" i="46"/>
  <c r="Q13" i="46"/>
  <c r="M56" i="46"/>
  <c r="Q9" i="46"/>
  <c r="M7" i="46"/>
  <c r="AV26" i="45"/>
  <c r="AR32" i="45"/>
  <c r="AN38" i="45"/>
  <c r="AN14" i="45"/>
  <c r="AJ44" i="45"/>
  <c r="AJ32" i="45"/>
  <c r="AJ20" i="45"/>
  <c r="AJ8" i="45"/>
  <c r="AF47" i="45"/>
  <c r="AF41" i="45"/>
  <c r="AF35" i="45"/>
  <c r="AF29" i="45"/>
  <c r="AF23" i="45"/>
  <c r="AF17" i="45"/>
  <c r="AF11" i="45"/>
  <c r="AF5" i="45"/>
  <c r="AB49" i="45"/>
  <c r="AB46" i="45"/>
  <c r="AB43" i="45"/>
  <c r="AB40" i="45"/>
  <c r="AB37" i="45"/>
  <c r="AB34" i="45"/>
  <c r="AB31" i="45"/>
  <c r="AB28" i="45"/>
  <c r="AB25" i="45"/>
  <c r="AB22" i="45"/>
  <c r="AB19" i="45"/>
  <c r="AB16" i="45"/>
  <c r="AB13" i="45"/>
  <c r="AB10" i="45"/>
  <c r="AB7" i="45"/>
  <c r="AB4" i="45"/>
  <c r="AN37" i="45"/>
  <c r="AJ43" i="45"/>
  <c r="AJ19" i="45"/>
  <c r="AF46" i="45"/>
  <c r="AF34" i="45"/>
  <c r="AF22" i="45"/>
  <c r="AF10" i="45"/>
  <c r="AB48" i="45"/>
  <c r="AB42" i="45"/>
  <c r="AB33" i="45"/>
  <c r="AB27" i="45"/>
  <c r="AB21" i="45"/>
  <c r="AB15" i="45"/>
  <c r="AB12" i="45"/>
  <c r="AB9" i="45"/>
  <c r="AB6" i="45"/>
  <c r="AB3" i="45"/>
  <c r="AS32" i="45"/>
  <c r="AO38" i="45"/>
  <c r="AO14" i="45"/>
  <c r="AK44" i="45"/>
  <c r="AK32" i="45"/>
  <c r="AK20" i="45"/>
  <c r="AK8" i="45"/>
  <c r="AG47" i="45"/>
  <c r="AG41" i="45"/>
  <c r="AG35" i="45"/>
  <c r="AG29" i="45"/>
  <c r="AG23" i="45"/>
  <c r="AG17" i="45"/>
  <c r="AG11" i="45"/>
  <c r="AG5" i="45"/>
  <c r="AC49" i="45"/>
  <c r="AC46" i="45"/>
  <c r="AC43" i="45"/>
  <c r="AC40" i="45"/>
  <c r="AC37" i="45"/>
  <c r="AC34" i="45"/>
  <c r="AC31" i="45"/>
  <c r="AC28" i="45"/>
  <c r="AC25" i="45"/>
  <c r="AC22" i="45"/>
  <c r="AC19" i="45"/>
  <c r="AC16" i="45"/>
  <c r="AC13" i="45"/>
  <c r="AC10" i="45"/>
  <c r="AC7" i="45"/>
  <c r="AC4" i="45"/>
  <c r="AW25" i="45"/>
  <c r="AS31" i="45"/>
  <c r="AO37" i="45"/>
  <c r="AO13" i="45"/>
  <c r="AK43" i="45"/>
  <c r="AK31" i="45"/>
  <c r="AK19" i="45"/>
  <c r="AK7" i="45"/>
  <c r="AG46" i="45"/>
  <c r="AG40" i="45"/>
  <c r="AG34" i="45"/>
  <c r="AG28" i="45"/>
  <c r="AG22" i="45"/>
  <c r="AG16" i="45"/>
  <c r="AG10" i="45"/>
  <c r="AG4" i="45"/>
  <c r="AC48" i="45"/>
  <c r="AC45" i="45"/>
  <c r="AC42" i="45"/>
  <c r="AC39" i="45"/>
  <c r="AC36" i="45"/>
  <c r="AC33" i="45"/>
  <c r="AC30" i="45"/>
  <c r="AC27" i="45"/>
  <c r="AC24" i="45"/>
  <c r="AC21" i="45"/>
  <c r="AC18" i="45"/>
  <c r="AC15" i="45"/>
  <c r="AC12" i="45"/>
  <c r="AC9" i="45"/>
  <c r="AC6" i="45"/>
  <c r="AC3" i="45"/>
  <c r="AR31" i="45"/>
  <c r="AN13" i="45"/>
  <c r="AJ31" i="45"/>
  <c r="AJ7" i="45"/>
  <c r="AF40" i="45"/>
  <c r="AF28" i="45"/>
  <c r="AF16" i="45"/>
  <c r="AF4" i="45"/>
  <c r="AB45" i="45"/>
  <c r="AB39" i="45"/>
  <c r="AB36" i="45"/>
  <c r="AB30" i="45"/>
  <c r="AB24" i="45"/>
  <c r="AB18" i="45"/>
  <c r="AV25" i="45"/>
  <c r="AW26" i="45"/>
  <c r="Q201" i="46"/>
  <c r="Q59" i="46"/>
  <c r="Q63" i="46"/>
  <c r="AF63" i="46" s="1"/>
  <c r="Q75" i="46"/>
  <c r="Q30" i="46"/>
  <c r="Q39" i="46"/>
  <c r="Q77" i="46"/>
  <c r="P222" i="46"/>
  <c r="P247"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J4" i="47" s="1"/>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K184" i="46" s="1"/>
  <c r="D186" i="36"/>
  <c r="K116" i="46" s="1"/>
  <c r="D273" i="36"/>
  <c r="D271" i="36"/>
  <c r="D487" i="36"/>
  <c r="D11" i="51" s="1"/>
  <c r="D468" i="36"/>
  <c r="R4" i="47" s="1"/>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X18" i="45"/>
  <c r="G4" i="47"/>
  <c r="K198" i="46"/>
  <c r="I4" i="47"/>
  <c r="K208" i="46"/>
  <c r="L23" i="30"/>
  <c r="AZ1" i="3"/>
  <c r="AO161" i="3"/>
  <c r="AH160" i="3"/>
  <c r="AG160" i="3" s="1"/>
  <c r="M258" i="46"/>
  <c r="K196" i="46"/>
  <c r="K193" i="46"/>
  <c r="K183" i="46"/>
  <c r="K248" i="46"/>
  <c r="B3" i="30"/>
  <c r="D371" i="36"/>
  <c r="D512" i="36"/>
  <c r="D58" i="36"/>
  <c r="AP5" i="3" s="1"/>
  <c r="AP85" i="3" s="1"/>
  <c r="D261" i="36"/>
  <c r="H207" i="46" s="1"/>
  <c r="D43" i="36"/>
  <c r="D446" i="36"/>
  <c r="J5" i="46" s="1"/>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15" i="51" s="1"/>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C10" i="30" s="1"/>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Y164" i="46" s="1"/>
  <c r="D505" i="36"/>
  <c r="D441" i="36"/>
  <c r="C49" i="46" s="1"/>
  <c r="D61" i="36"/>
  <c r="AS5" i="3" s="1"/>
  <c r="AS29" i="3" s="1"/>
  <c r="D264" i="36"/>
  <c r="H257" i="46" s="1"/>
  <c r="D45" i="36"/>
  <c r="D510" i="36"/>
  <c r="D366" i="36"/>
  <c r="AB54" i="46" s="1"/>
  <c r="D509" i="36"/>
  <c r="D92" i="36"/>
  <c r="L12" i="34" s="1"/>
  <c r="D110" i="36"/>
  <c r="L45" i="34" s="1"/>
  <c r="D93" i="36"/>
  <c r="D198" i="36"/>
  <c r="K148" i="46" s="1"/>
  <c r="D169" i="36"/>
  <c r="K99" i="46" s="1"/>
  <c r="D456" i="36"/>
  <c r="F4" i="47" s="1"/>
  <c r="D143" i="36"/>
  <c r="K225" i="46" s="1"/>
  <c r="D179" i="36"/>
  <c r="D455" i="36"/>
  <c r="K78" i="46" s="1"/>
  <c r="D159" i="36"/>
  <c r="K89" i="46" s="1"/>
  <c r="D32" i="36"/>
  <c r="W150" i="3" s="1"/>
  <c r="K250" i="46"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L13" i="34" s="1"/>
  <c r="D98" i="36"/>
  <c r="L21" i="34" s="1"/>
  <c r="D112" i="36"/>
  <c r="D201" i="36"/>
  <c r="D154" i="36"/>
  <c r="K84" i="46" s="1"/>
  <c r="D187" i="36"/>
  <c r="K117" i="46" s="1"/>
  <c r="D167" i="36"/>
  <c r="K97" i="46" s="1"/>
  <c r="D40" i="36"/>
  <c r="W160" i="3" s="1"/>
  <c r="K258" i="46"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S253" i="46" s="1"/>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W56" i="46" s="1"/>
  <c r="H137" i="46"/>
  <c r="H161" i="46"/>
  <c r="K132" i="46"/>
  <c r="H148" i="46"/>
  <c r="H149" i="46"/>
  <c r="H142" i="46"/>
  <c r="H143" i="46"/>
  <c r="K134" i="46"/>
  <c r="H131" i="46"/>
  <c r="Q24" i="6"/>
  <c r="H140" i="46"/>
  <c r="K129" i="46"/>
  <c r="K154" i="46"/>
  <c r="K138" i="46"/>
  <c r="H232" i="46"/>
  <c r="H130" i="46"/>
  <c r="H205" i="46"/>
  <c r="K137" i="46"/>
  <c r="H139" i="46"/>
  <c r="H190" i="46"/>
  <c r="H241" i="46"/>
  <c r="H138" i="46"/>
  <c r="K128" i="46"/>
  <c r="K150" i="46"/>
  <c r="H158" i="46"/>
  <c r="H237" i="46"/>
  <c r="K158" i="46"/>
  <c r="K153" i="46"/>
  <c r="H147" i="46"/>
  <c r="H240" i="46"/>
  <c r="H157" i="46"/>
  <c r="K156" i="46"/>
  <c r="K143" i="46"/>
  <c r="H155" i="46"/>
  <c r="H135" i="46"/>
  <c r="H159" i="46"/>
  <c r="K160" i="46"/>
  <c r="K144" i="46"/>
  <c r="K139" i="46"/>
  <c r="H132" i="46"/>
  <c r="H150" i="46"/>
  <c r="H151" i="46"/>
  <c r="M254" i="46"/>
  <c r="T254" i="46" s="1"/>
  <c r="H197" i="46"/>
  <c r="H174" i="46"/>
  <c r="S244" i="46"/>
  <c r="AE244" i="46"/>
  <c r="V244" i="46"/>
  <c r="Y244" i="46"/>
  <c r="AB244" i="46"/>
  <c r="S6" i="46"/>
  <c r="V6" i="46"/>
  <c r="Y6" i="46"/>
  <c r="AB6" i="46"/>
  <c r="AE6" i="46"/>
  <c r="K182" i="46"/>
  <c r="Y232" i="46"/>
  <c r="V232" i="46"/>
  <c r="Y30" i="46"/>
  <c r="AB30" i="46"/>
  <c r="S30" i="46"/>
  <c r="AE30" i="46"/>
  <c r="V30" i="46"/>
  <c r="D13" i="36"/>
  <c r="K14" i="30" s="1"/>
  <c r="D432" i="36"/>
  <c r="H226" i="46"/>
  <c r="AE253" i="46"/>
  <c r="AB164" i="46"/>
  <c r="AE164" i="46"/>
  <c r="V164" i="46"/>
  <c r="S164" i="46"/>
  <c r="AE54" i="46"/>
  <c r="AM53" i="3"/>
  <c r="AF130" i="3"/>
  <c r="Q25" i="6"/>
  <c r="AB220" i="46"/>
  <c r="V220" i="46"/>
  <c r="AE220" i="46"/>
  <c r="Y220" i="46"/>
  <c r="S220" i="46"/>
  <c r="T1" i="6"/>
  <c r="C61" i="46"/>
  <c r="H177" i="46"/>
  <c r="H212" i="46"/>
  <c r="H156" i="46"/>
  <c r="H134" i="46"/>
  <c r="H256" i="46"/>
  <c r="H141" i="46"/>
  <c r="H133" i="46"/>
  <c r="V200" i="46"/>
  <c r="Y200" i="46"/>
  <c r="AB200" i="46"/>
  <c r="AE200" i="46"/>
  <c r="S200" i="46"/>
  <c r="K186" i="46"/>
  <c r="K151" i="46"/>
  <c r="H170" i="46"/>
  <c r="H4" i="47"/>
  <c r="K190" i="46"/>
  <c r="K185" i="46"/>
  <c r="C50" i="46"/>
  <c r="K12" i="30"/>
  <c r="C14" i="47"/>
  <c r="B34" i="34"/>
  <c r="E17" i="30"/>
  <c r="Q36" i="46"/>
  <c r="W36" i="46" s="1"/>
  <c r="Q40" i="46"/>
  <c r="Q44" i="46"/>
  <c r="T44" i="46" s="1"/>
  <c r="P203" i="46"/>
  <c r="Q203" i="46"/>
  <c r="Q207" i="46"/>
  <c r="Q33" i="46"/>
  <c r="Z33" i="46" s="1"/>
  <c r="Q37" i="46"/>
  <c r="Q41" i="46"/>
  <c r="Q49" i="46"/>
  <c r="P204" i="46"/>
  <c r="M177" i="46"/>
  <c r="M169" i="46"/>
  <c r="W258" i="46"/>
  <c r="AC258" i="46"/>
  <c r="AF258" i="46"/>
  <c r="Z258" i="46"/>
  <c r="Q55" i="46"/>
  <c r="Q247" i="46"/>
  <c r="P232" i="46"/>
  <c r="M203" i="46"/>
  <c r="E203" i="46"/>
  <c r="M202" i="46"/>
  <c r="W77" i="46"/>
  <c r="W53" i="46"/>
  <c r="W45" i="46"/>
  <c r="W52" i="46"/>
  <c r="W26" i="46"/>
  <c r="W75" i="46"/>
  <c r="W17" i="46"/>
  <c r="W7" i="46"/>
  <c r="W74" i="46"/>
  <c r="W66" i="46"/>
  <c r="W58" i="46"/>
  <c r="W41" i="46"/>
  <c r="W65" i="46"/>
  <c r="W49" i="46"/>
  <c r="W47" i="46"/>
  <c r="W21" i="46"/>
  <c r="W13" i="46"/>
  <c r="W62" i="46"/>
  <c r="E165" i="46"/>
  <c r="AC7" i="46"/>
  <c r="AF7" i="46"/>
  <c r="Z13" i="46"/>
  <c r="AC13" i="46"/>
  <c r="AF13" i="46"/>
  <c r="AC21" i="46"/>
  <c r="Z17" i="46"/>
  <c r="AF21" i="46"/>
  <c r="AC17" i="46"/>
  <c r="AF17" i="46"/>
  <c r="Z26" i="46"/>
  <c r="AC26" i="46"/>
  <c r="Z21" i="46"/>
  <c r="AF26" i="46"/>
  <c r="AF44" i="46"/>
  <c r="Z41" i="46"/>
  <c r="AC41" i="46"/>
  <c r="Z49" i="46"/>
  <c r="Z36" i="46"/>
  <c r="AF41" i="46"/>
  <c r="Z45" i="46"/>
  <c r="AC49" i="46"/>
  <c r="AF45" i="46"/>
  <c r="AC53" i="46"/>
  <c r="AC56" i="46"/>
  <c r="AC36" i="46"/>
  <c r="AF53" i="46"/>
  <c r="AF36" i="46"/>
  <c r="AF49" i="46"/>
  <c r="Z47" i="46"/>
  <c r="AC47" i="46"/>
  <c r="Z52" i="46"/>
  <c r="Z53" i="46"/>
  <c r="Z58" i="46"/>
  <c r="AC58" i="46"/>
  <c r="Z62" i="46"/>
  <c r="AF58" i="46"/>
  <c r="AC62" i="46"/>
  <c r="Z65" i="46"/>
  <c r="AF62" i="46"/>
  <c r="Z50" i="46"/>
  <c r="AC52" i="46"/>
  <c r="Z63" i="46"/>
  <c r="AC65" i="46"/>
  <c r="Z66" i="46"/>
  <c r="AC45" i="46"/>
  <c r="AF65" i="46"/>
  <c r="AF66" i="46"/>
  <c r="AC74" i="46"/>
  <c r="AF52" i="46"/>
  <c r="AF74" i="46"/>
  <c r="AF47" i="46"/>
  <c r="Z75" i="46"/>
  <c r="Z74" i="46"/>
  <c r="AC75" i="46"/>
  <c r="AF75" i="46"/>
  <c r="AC66" i="46"/>
  <c r="Z77" i="46"/>
  <c r="AC77" i="46"/>
  <c r="AF77" i="46"/>
  <c r="Z7" i="46"/>
  <c r="AC69" i="46"/>
  <c r="Q46" i="46"/>
  <c r="P221" i="46"/>
  <c r="Q222" i="46"/>
  <c r="Q68" i="46"/>
  <c r="Q16" i="46"/>
  <c r="AF16" i="46" s="1"/>
  <c r="T65" i="46"/>
  <c r="Q29" i="46"/>
  <c r="AC29" i="46" s="1"/>
  <c r="Q220" i="46"/>
  <c r="Q14" i="46"/>
  <c r="Z14" i="46" s="1"/>
  <c r="Q233" i="46"/>
  <c r="Q8" i="46"/>
  <c r="P178" i="46"/>
  <c r="P174" i="46"/>
  <c r="Q173" i="46"/>
  <c r="Q169" i="46"/>
  <c r="T47" i="46"/>
  <c r="Q50" i="46"/>
  <c r="W50" i="46" s="1"/>
  <c r="T75" i="46"/>
  <c r="Q70" i="46"/>
  <c r="Q71" i="46"/>
  <c r="Q23" i="46"/>
  <c r="M46" i="46"/>
  <c r="AF46" i="46" s="1"/>
  <c r="M71" i="46"/>
  <c r="M70" i="46"/>
  <c r="M23" i="46"/>
  <c r="W23" i="46" s="1"/>
  <c r="Q22" i="46"/>
  <c r="M22" i="46"/>
  <c r="AF22" i="46" s="1"/>
  <c r="Q200" i="46"/>
  <c r="T53" i="46"/>
  <c r="T50" i="46"/>
  <c r="T26" i="46"/>
  <c r="Q72" i="46"/>
  <c r="AF72" i="46" s="1"/>
  <c r="Q43" i="46"/>
  <c r="W43" i="46" s="1"/>
  <c r="T17" i="46"/>
  <c r="Q64" i="46"/>
  <c r="T36" i="46"/>
  <c r="T13" i="46"/>
  <c r="Q34" i="46"/>
  <c r="T7" i="46"/>
  <c r="F5" i="48" a="1"/>
  <c r="F5" i="48" s="1"/>
  <c r="V267" i="46"/>
  <c r="T258" i="46"/>
  <c r="T58" i="46"/>
  <c r="M39" i="46"/>
  <c r="M28" i="46"/>
  <c r="Q28" i="46"/>
  <c r="Q12" i="46"/>
  <c r="E205" i="46"/>
  <c r="Q205" i="46"/>
  <c r="M233" i="46"/>
  <c r="P233" i="46"/>
  <c r="M244" i="46"/>
  <c r="P244" i="46"/>
  <c r="E164" i="46"/>
  <c r="Q164" i="46"/>
  <c r="E176" i="46"/>
  <c r="Q172" i="46"/>
  <c r="E168" i="46"/>
  <c r="M35" i="46"/>
  <c r="Q35" i="46"/>
  <c r="M51" i="46"/>
  <c r="Q51" i="46"/>
  <c r="T63" i="46"/>
  <c r="Q11" i="46"/>
  <c r="W11" i="46" s="1"/>
  <c r="M64" i="46"/>
  <c r="Z64" i="46" s="1"/>
  <c r="M25" i="46"/>
  <c r="M10" i="46"/>
  <c r="Q18" i="46"/>
  <c r="Q57" i="46"/>
  <c r="AC57" i="46" s="1"/>
  <c r="Q61" i="46"/>
  <c r="AC61" i="46" s="1"/>
  <c r="Q69" i="46"/>
  <c r="Z69" i="46" s="1"/>
  <c r="Q73" i="46"/>
  <c r="M73" i="46"/>
  <c r="M12" i="46"/>
  <c r="M24" i="46"/>
  <c r="Q171" i="46"/>
  <c r="M32" i="46"/>
  <c r="M40" i="46"/>
  <c r="W40" i="46" s="1"/>
  <c r="Q48" i="46"/>
  <c r="AF48" i="46" s="1"/>
  <c r="M27" i="46"/>
  <c r="Z27" i="46" s="1"/>
  <c r="M19" i="46"/>
  <c r="Z19" i="46" s="1"/>
  <c r="D65" i="46"/>
  <c r="M59" i="46"/>
  <c r="T59" i="46" s="1"/>
  <c r="M15" i="46"/>
  <c r="P170" i="46"/>
  <c r="M60" i="46"/>
  <c r="Z60" i="46" s="1"/>
  <c r="M68" i="46"/>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AA11" i="3"/>
  <c r="AA27" i="3" s="1"/>
  <c r="AA43" i="3" s="1"/>
  <c r="AA142" i="3"/>
  <c r="AA91" i="3"/>
  <c r="AA100" i="3"/>
  <c r="AA19" i="3"/>
  <c r="AA35" i="3" s="1"/>
  <c r="AA83" i="3"/>
  <c r="AA146" i="3"/>
  <c r="AA137" i="3"/>
  <c r="AA67" i="3"/>
  <c r="AA59" i="3"/>
  <c r="AA119" i="3"/>
  <c r="AA75" i="3"/>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61" i="3"/>
  <c r="AO85" i="3"/>
  <c r="AO21" i="3"/>
  <c r="K252" i="46"/>
  <c r="AR29" i="3"/>
  <c r="AR69" i="3"/>
  <c r="AR77" i="3"/>
  <c r="AR21" i="3"/>
  <c r="AR53" i="3"/>
  <c r="AR93" i="3"/>
  <c r="AR37" i="3"/>
  <c r="AR101" i="3"/>
  <c r="BJ5" i="3"/>
  <c r="BJ57" i="3" s="1"/>
  <c r="AR13" i="3"/>
  <c r="AR45" i="3"/>
  <c r="AR85" i="3"/>
  <c r="Z19" i="3"/>
  <c r="Z35" i="3" s="1"/>
  <c r="Z67" i="3"/>
  <c r="Z91" i="3"/>
  <c r="Z59" i="3"/>
  <c r="Z51" i="3"/>
  <c r="Z11" i="3"/>
  <c r="Z27" i="3" s="1"/>
  <c r="Z43" i="3" s="1"/>
  <c r="Z75" i="3"/>
  <c r="Z83" i="3"/>
  <c r="AS45" i="3"/>
  <c r="AS85" i="3"/>
  <c r="AS21"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K195" i="46"/>
  <c r="E4" i="47"/>
  <c r="K241" i="46"/>
  <c r="K192" i="46"/>
  <c r="K187" i="46"/>
  <c r="T52" i="46"/>
  <c r="T74" i="46"/>
  <c r="M18" i="46"/>
  <c r="Z18" i="46" s="1"/>
  <c r="T61" i="46"/>
  <c r="T49" i="46"/>
  <c r="M42" i="46"/>
  <c r="T41" i="46"/>
  <c r="Q38" i="46"/>
  <c r="M34" i="46"/>
  <c r="Q32" i="46"/>
  <c r="T32" i="46" s="1"/>
  <c r="Q31" i="46"/>
  <c r="Q25" i="46"/>
  <c r="Q24" i="46"/>
  <c r="T21" i="46"/>
  <c r="Q20" i="46"/>
  <c r="AF20" i="46" s="1"/>
  <c r="Q19" i="46"/>
  <c r="Q15" i="46"/>
  <c r="Q10" i="46"/>
  <c r="M9" i="46"/>
  <c r="Z9" i="46" s="1"/>
  <c r="Q67" i="46"/>
  <c r="T62" i="46"/>
  <c r="T56" i="46"/>
  <c r="E167" i="46"/>
  <c r="T48" i="46"/>
  <c r="T45" i="46"/>
  <c r="M38" i="46"/>
  <c r="Z38" i="46" s="1"/>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5" i="46"/>
  <c r="K256" i="46"/>
  <c r="AJ61" i="3"/>
  <c r="AJ69" i="3"/>
  <c r="AJ37" i="3"/>
  <c r="AJ77" i="3"/>
  <c r="AJ21" i="3"/>
  <c r="AJ85" i="3"/>
  <c r="AJ29" i="3"/>
  <c r="AJ45" i="3"/>
  <c r="AJ93" i="3"/>
  <c r="AJ53" i="3"/>
  <c r="AJ13" i="3"/>
  <c r="AJ101" i="3"/>
  <c r="AD119" i="3"/>
  <c r="AD11" i="3"/>
  <c r="AD35" i="3"/>
  <c r="AD75" i="3"/>
  <c r="AD43" i="3"/>
  <c r="AD100" i="3"/>
  <c r="AD83" i="3"/>
  <c r="AD59" i="3"/>
  <c r="AF19" i="3"/>
  <c r="AF146"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T68" i="46" l="1"/>
  <c r="W37" i="46"/>
  <c r="Z73" i="46"/>
  <c r="AC25" i="46"/>
  <c r="Z71" i="46"/>
  <c r="AF70" i="46"/>
  <c r="Z68" i="46"/>
  <c r="Z20" i="46"/>
  <c r="AC19" i="46"/>
  <c r="T18" i="46"/>
  <c r="AC63" i="46"/>
  <c r="W63" i="46"/>
  <c r="W39" i="46"/>
  <c r="W12" i="46"/>
  <c r="Z56" i="46"/>
  <c r="AF56" i="46"/>
  <c r="Z8" i="46"/>
  <c r="AC40" i="46"/>
  <c r="Z67" i="46"/>
  <c r="AF100" i="3"/>
  <c r="DT100" i="3" s="1"/>
  <c r="T37" i="46"/>
  <c r="AS69" i="3"/>
  <c r="AO53" i="3"/>
  <c r="Z51" i="46"/>
  <c r="T29" i="46"/>
  <c r="AF71" i="46"/>
  <c r="AF37" i="46"/>
  <c r="W57" i="46"/>
  <c r="W51" i="46"/>
  <c r="W60" i="46"/>
  <c r="AF119" i="3"/>
  <c r="DT119" i="3" s="1"/>
  <c r="AF83" i="3"/>
  <c r="DT83" i="3" s="1"/>
  <c r="BK5" i="3"/>
  <c r="BK57" i="3" s="1"/>
  <c r="AS101" i="3"/>
  <c r="AS53" i="3"/>
  <c r="K3" i="45"/>
  <c r="K11" i="45" s="1"/>
  <c r="K19" i="45" s="1"/>
  <c r="K27" i="45" s="1"/>
  <c r="K35" i="45" s="1"/>
  <c r="K43" i="45" s="1"/>
  <c r="W3" i="45" s="1"/>
  <c r="W11" i="45" s="1"/>
  <c r="W19" i="45" s="1"/>
  <c r="W27" i="45" s="1"/>
  <c r="W35" i="45" s="1"/>
  <c r="W43" i="45" s="1"/>
  <c r="AO93" i="3"/>
  <c r="AO13" i="3"/>
  <c r="AO101" i="3"/>
  <c r="DT51" i="3"/>
  <c r="AF15" i="46"/>
  <c r="AC76" i="46"/>
  <c r="AC43" i="46"/>
  <c r="AC44" i="46"/>
  <c r="AC37" i="46"/>
  <c r="W20" i="46"/>
  <c r="W48" i="46"/>
  <c r="H220" i="46"/>
  <c r="H227" i="46"/>
  <c r="AF137" i="3"/>
  <c r="DT137" i="3" s="1"/>
  <c r="AF142" i="3"/>
  <c r="DT142" i="3" s="1"/>
  <c r="Y54" i="46"/>
  <c r="AF67" i="3"/>
  <c r="DT67" i="3" s="1"/>
  <c r="Y83" i="3"/>
  <c r="AF11" i="3"/>
  <c r="AF59" i="3"/>
  <c r="DT59" i="3" s="1"/>
  <c r="T40" i="46"/>
  <c r="T57" i="46"/>
  <c r="AS13" i="3"/>
  <c r="AS93" i="3"/>
  <c r="AS61" i="3"/>
  <c r="AO37" i="3"/>
  <c r="AO69" i="3"/>
  <c r="AO77" i="3"/>
  <c r="DT91" i="3"/>
  <c r="AC68" i="46"/>
  <c r="AC24" i="46"/>
  <c r="W70" i="46"/>
  <c r="AF76" i="46"/>
  <c r="AC72" i="46"/>
  <c r="AC71" i="46"/>
  <c r="AF39" i="46"/>
  <c r="Z37" i="46"/>
  <c r="AC46" i="46"/>
  <c r="Z44" i="46"/>
  <c r="AF27" i="46"/>
  <c r="AC15" i="46"/>
  <c r="W29" i="46"/>
  <c r="H222" i="46"/>
  <c r="V54" i="46"/>
  <c r="S54" i="46"/>
  <c r="T54" i="46" s="1"/>
  <c r="AB253" i="46"/>
  <c r="AF51" i="3"/>
  <c r="AB232" i="46"/>
  <c r="AF75" i="3"/>
  <c r="DT75" i="3" s="1"/>
  <c r="AS37" i="3"/>
  <c r="BG5" i="3"/>
  <c r="BG57" i="3" s="1"/>
  <c r="AO45" i="3"/>
  <c r="Z28" i="46"/>
  <c r="H185" i="46"/>
  <c r="H254" i="46"/>
  <c r="H252" i="46"/>
  <c r="H196" i="46"/>
  <c r="K213" i="46"/>
  <c r="S232" i="46"/>
  <c r="H250" i="46"/>
  <c r="H229" i="46"/>
  <c r="K140" i="46"/>
  <c r="K136" i="46"/>
  <c r="Y130" i="3"/>
  <c r="K197" i="46"/>
  <c r="AA158" i="3"/>
  <c r="M256" i="46" s="1"/>
  <c r="H164" i="46"/>
  <c r="H182" i="46"/>
  <c r="H165" i="46"/>
  <c r="C64" i="46"/>
  <c r="C56" i="46"/>
  <c r="H253" i="46"/>
  <c r="AH155" i="3"/>
  <c r="AG155" i="3" s="1"/>
  <c r="V253" i="46"/>
  <c r="K131" i="46"/>
  <c r="K152" i="46"/>
  <c r="AL5" i="3"/>
  <c r="BD5" i="3"/>
  <c r="BD57" i="3" s="1"/>
  <c r="Z254" i="46"/>
  <c r="K142" i="46"/>
  <c r="Y19" i="3"/>
  <c r="Y35" i="3" s="1"/>
  <c r="Y91" i="3"/>
  <c r="Y100" i="3"/>
  <c r="Y59" i="3"/>
  <c r="AC3" i="3"/>
  <c r="Y75" i="3"/>
  <c r="DT130" i="3"/>
  <c r="H223" i="46"/>
  <c r="H228" i="46"/>
  <c r="AC254" i="46"/>
  <c r="AF254" i="46"/>
  <c r="Y119" i="3"/>
  <c r="W254" i="46"/>
  <c r="Y253" i="46"/>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W256" i="46" l="1"/>
  <c r="AC256" i="46"/>
  <c r="T256" i="46"/>
  <c r="Z256" i="46"/>
  <c r="AF256" i="46"/>
  <c r="AL37" i="3"/>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AC257" i="46" l="1"/>
  <c r="T257" i="46"/>
  <c r="W257" i="46"/>
  <c r="Z257" i="46"/>
  <c r="AF257" i="46"/>
  <c r="Z255" i="46"/>
  <c r="AF255" i="46"/>
  <c r="T255" i="46"/>
  <c r="AC255" i="46"/>
  <c r="W255" i="46"/>
  <c r="AC253" i="46"/>
  <c r="W253" i="46"/>
  <c r="Z253" i="46"/>
  <c r="AF253" i="46"/>
  <c r="T253"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R16" i="45"/>
  <c r="AE65" i="3" a="1"/>
  <c r="AE65" i="3" s="1"/>
  <c r="DT22" i="3" l="1"/>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U33" i="32" l="1"/>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C36" i="32" l="1"/>
  <c r="X36" i="3" s="1"/>
  <c r="AK99" i="3"/>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Y36" i="3"/>
  <c r="BR22" i="3"/>
  <c r="BR51" i="3"/>
  <c r="X96" i="3" l="1"/>
  <c r="H76" i="46" s="1"/>
  <c r="H127" i="46" s="1"/>
  <c r="Y126" i="3"/>
  <c r="Y76" i="3"/>
  <c r="X33" i="3"/>
  <c r="H61" i="46" s="1"/>
  <c r="X124" i="3"/>
  <c r="Y113" i="3"/>
  <c r="Y84" i="3"/>
  <c r="X28" i="3"/>
  <c r="H12" i="46" s="1"/>
  <c r="Y23" i="3"/>
  <c r="Y105" i="3"/>
  <c r="X56" i="3"/>
  <c r="Y77" i="3"/>
  <c r="Y102" i="3"/>
  <c r="Y115" i="3"/>
  <c r="Y48" i="3"/>
  <c r="X134" i="3"/>
  <c r="E42" i="30"/>
  <c r="G20" i="30" s="1"/>
  <c r="X57" i="3"/>
  <c r="H67" i="46" s="1"/>
  <c r="X70" i="3"/>
  <c r="H46" i="46" s="1"/>
  <c r="X4" i="3"/>
  <c r="H6" i="46" s="1"/>
  <c r="Y110" i="3"/>
  <c r="X97" i="3"/>
  <c r="H77" i="46" s="1"/>
  <c r="X15" i="3"/>
  <c r="H33" i="46" s="1"/>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H58" i="46" s="1"/>
  <c r="H91" i="46" s="1"/>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62" i="46"/>
  <c r="H13" i="46"/>
  <c r="H20" i="46"/>
  <c r="H27" i="46"/>
  <c r="H69" i="46"/>
  <c r="H22" i="46"/>
  <c r="H44" i="46"/>
  <c r="H26" i="46"/>
  <c r="H48" i="46"/>
  <c r="H18" i="46"/>
  <c r="H52" i="46"/>
  <c r="H51" i="46"/>
  <c r="H43" i="46"/>
  <c r="H19" i="46"/>
  <c r="H66"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G19" i="30" l="1"/>
  <c r="E45" i="51"/>
  <c r="H116" i="46"/>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3" i="6" l="1" a="1"/>
  <c r="Q3" i="6" s="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X23" i="3" s="1"/>
  <c r="BU46" i="3"/>
  <c r="BV22" i="3"/>
  <c r="BV38" i="3"/>
  <c r="BV40" i="3"/>
  <c r="BV41" i="3"/>
  <c r="BV39" i="3"/>
  <c r="BX39" i="3" s="1"/>
  <c r="BX45" i="3" l="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I23" i="3" l="1"/>
  <c r="I87" i="3"/>
  <c r="H62" i="3"/>
  <c r="I84" i="3"/>
  <c r="I65" i="3"/>
  <c r="H88" i="3"/>
  <c r="I85" i="3"/>
  <c r="H63" i="3"/>
  <c r="I61" i="3"/>
  <c r="H49" i="3"/>
  <c r="H47" i="3"/>
  <c r="CB27" i="3" s="1"/>
  <c r="I81" i="3"/>
  <c r="H78" i="3"/>
  <c r="H21" i="3"/>
  <c r="I33" i="3"/>
  <c r="I14" i="3"/>
  <c r="CB13" i="3" s="1"/>
  <c r="I88" i="3"/>
  <c r="H94" i="3"/>
  <c r="I60" i="3"/>
  <c r="H86" i="3"/>
  <c r="H32" i="3"/>
  <c r="I77" i="3"/>
  <c r="H45" i="3"/>
  <c r="I17" i="3"/>
  <c r="H24" i="3"/>
  <c r="I29" i="3"/>
  <c r="H22" i="3"/>
  <c r="H46" i="3"/>
  <c r="H77" i="3"/>
  <c r="H15" i="3"/>
  <c r="I4" i="3"/>
  <c r="CA6" i="3" s="1"/>
  <c r="I15" i="3"/>
  <c r="I95" i="3"/>
  <c r="I92" i="3"/>
  <c r="I62" i="3"/>
  <c r="CA34" i="3" s="1"/>
  <c r="I64" i="3"/>
  <c r="I63" i="3"/>
  <c r="CB37" i="3" s="1"/>
  <c r="I52" i="3"/>
  <c r="H57" i="3"/>
  <c r="I53" i="3"/>
  <c r="H38" i="3"/>
  <c r="I32" i="3"/>
  <c r="H56" i="3"/>
  <c r="I22" i="3"/>
  <c r="I41" i="3"/>
  <c r="I78" i="3"/>
  <c r="H40" i="3"/>
  <c r="I39" i="3"/>
  <c r="H33" i="3"/>
  <c r="H12" i="3"/>
  <c r="H70" i="3"/>
  <c r="H79" i="3"/>
  <c r="I24" i="3"/>
  <c r="H20" i="3"/>
  <c r="I56" i="3"/>
  <c r="H28" i="3"/>
  <c r="CA19" i="3" s="1"/>
  <c r="I93" i="3"/>
  <c r="CA52" i="3" s="1"/>
  <c r="H52" i="3"/>
  <c r="I28" i="3"/>
  <c r="H54" i="3"/>
  <c r="I40" i="3"/>
  <c r="CB23" i="3" s="1"/>
  <c r="I71" i="3"/>
  <c r="I76" i="3"/>
  <c r="CB42" i="3" s="1"/>
  <c r="H96" i="3"/>
  <c r="I68" i="3"/>
  <c r="H80" i="3"/>
  <c r="CA44" i="3" s="1"/>
  <c r="H5" i="3"/>
  <c r="I49" i="3"/>
  <c r="H85" i="3"/>
  <c r="I70" i="3"/>
  <c r="I8" i="3"/>
  <c r="I46" i="3"/>
  <c r="I37" i="3"/>
  <c r="I86" i="3"/>
  <c r="H69" i="3"/>
  <c r="H7" i="3"/>
  <c r="H41" i="3"/>
  <c r="I9" i="3"/>
  <c r="H71" i="3"/>
  <c r="I13" i="3"/>
  <c r="I38" i="3"/>
  <c r="I47" i="3"/>
  <c r="H14" i="3"/>
  <c r="H53" i="3"/>
  <c r="CB33" i="3" s="1"/>
  <c r="H48" i="3"/>
  <c r="H17" i="3"/>
  <c r="Q9" i="6" a="1"/>
  <c r="Q9" i="6" s="1"/>
  <c r="G19" i="46"/>
  <c r="I97" i="3"/>
  <c r="CB51" i="3" s="1"/>
  <c r="H68" i="3"/>
  <c r="I20" i="3"/>
  <c r="I96" i="3"/>
  <c r="CA53" i="3" s="1"/>
  <c r="H29" i="3"/>
  <c r="H93" i="3"/>
  <c r="H6" i="3"/>
  <c r="H9" i="3"/>
  <c r="I5" i="3"/>
  <c r="I69" i="3"/>
  <c r="CB43" i="3"/>
  <c r="CA16" i="3"/>
  <c r="CB16" i="3"/>
  <c r="CA43" i="3"/>
  <c r="CB53" i="3"/>
  <c r="CA47" i="3"/>
  <c r="CA18" i="3"/>
  <c r="CB47" i="3"/>
  <c r="CB20" i="3"/>
  <c r="CB18" i="3"/>
  <c r="CA45" i="3"/>
  <c r="CB44" i="3"/>
  <c r="CB45" i="3"/>
  <c r="CB36" i="3"/>
  <c r="CA36" i="3"/>
  <c r="CA12" i="3" l="1"/>
  <c r="CB12" i="3"/>
  <c r="CA27" i="3"/>
  <c r="CC27" i="3" s="1"/>
  <c r="CB26" i="3"/>
  <c r="CA50" i="3"/>
  <c r="CB49" i="3"/>
  <c r="CB48" i="3"/>
  <c r="CB46" i="3"/>
  <c r="CA46" i="3"/>
  <c r="CA11" i="3"/>
  <c r="CA31" i="3"/>
  <c r="CA20" i="3"/>
  <c r="CC20" i="3" s="1"/>
  <c r="CA42" i="3"/>
  <c r="CC42" i="3" s="1"/>
  <c r="CB31" i="3"/>
  <c r="CB9" i="3"/>
  <c r="CA14" i="3"/>
  <c r="CB14" i="3"/>
  <c r="CA15" i="3"/>
  <c r="CB17" i="3"/>
  <c r="CB15" i="3"/>
  <c r="CA17" i="3"/>
  <c r="CB6" i="3"/>
  <c r="CC6" i="3" s="1"/>
  <c r="CB39" i="3"/>
  <c r="CB50" i="3"/>
  <c r="CC50" i="3" s="1"/>
  <c r="CA48" i="3"/>
  <c r="CA49" i="3"/>
  <c r="CB35" i="3"/>
  <c r="CA30" i="3"/>
  <c r="CB11" i="3"/>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A25" i="3"/>
  <c r="CB19" i="3"/>
  <c r="CC19" i="3" s="1"/>
  <c r="CB25" i="3"/>
  <c r="CA23" i="3"/>
  <c r="CC23" i="3" s="1"/>
  <c r="CA38" i="3"/>
  <c r="CA41" i="3"/>
  <c r="CA22" i="3"/>
  <c r="CA39" i="3"/>
  <c r="CB41" i="3"/>
  <c r="CB40" i="3"/>
  <c r="Q10" i="6" a="1"/>
  <c r="Q10" i="6" s="1"/>
  <c r="Q11" i="6" s="1" a="1"/>
  <c r="Q11" i="6" s="1"/>
  <c r="Q12" i="6" s="1" a="1"/>
  <c r="Q12" i="6" s="1"/>
  <c r="CC18" i="3"/>
  <c r="CC43" i="3"/>
  <c r="CC16" i="3"/>
  <c r="CC47" i="3"/>
  <c r="CC53" i="3"/>
  <c r="CC45" i="3"/>
  <c r="CC36" i="3"/>
  <c r="CC12" i="3" l="1"/>
  <c r="CC49" i="3"/>
  <c r="CC26" i="3"/>
  <c r="CC48" i="3"/>
  <c r="CC46" i="3"/>
  <c r="CC11" i="3"/>
  <c r="CC31" i="3"/>
  <c r="CC9"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64" i="6" a="1"/>
  <c r="Q64" i="6" s="1"/>
  <c r="Q48" i="6" a="1"/>
  <c r="Q48" i="6" s="1"/>
  <c r="Q42" i="6" a="1"/>
  <c r="Q42" i="6" s="1"/>
  <c r="Q52" i="6" a="1"/>
  <c r="Q52" i="6" s="1"/>
  <c r="Q62" i="6" a="1"/>
  <c r="Q62" i="6" s="1"/>
  <c r="Q41" i="6" a="1"/>
  <c r="Q41" i="6" s="1"/>
  <c r="Q61" i="6" a="1"/>
  <c r="Q61" i="6"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L84" i="3"/>
  <c r="K78" i="3"/>
  <c r="K76" i="3"/>
  <c r="L95" i="3"/>
  <c r="L92" i="3"/>
  <c r="CF50" i="3" s="1"/>
  <c r="K29" i="3"/>
  <c r="K94" i="3"/>
  <c r="CF52" i="3" s="1"/>
  <c r="L80" i="3"/>
  <c r="CF43" i="3" s="1"/>
  <c r="L78" i="3"/>
  <c r="L24" i="3"/>
  <c r="K80" i="3"/>
  <c r="L76" i="3"/>
  <c r="L88" i="3"/>
  <c r="K20" i="3"/>
  <c r="L40" i="3"/>
  <c r="CF23" i="3" s="1"/>
  <c r="K37" i="3"/>
  <c r="K48" i="3"/>
  <c r="L96" i="3"/>
  <c r="L30" i="3"/>
  <c r="K57" i="3"/>
  <c r="K5" i="3"/>
  <c r="K12" i="3"/>
  <c r="L16" i="3"/>
  <c r="CF13" i="3" s="1"/>
  <c r="K86" i="3"/>
  <c r="L17" i="3"/>
  <c r="L94" i="3"/>
  <c r="K93" i="3"/>
  <c r="K54" i="3"/>
  <c r="L57" i="3"/>
  <c r="K71" i="3"/>
  <c r="K72" i="3"/>
  <c r="L12" i="3"/>
  <c r="L49" i="3"/>
  <c r="K55" i="3"/>
  <c r="K81" i="3"/>
  <c r="K17" i="3"/>
  <c r="K85" i="3"/>
  <c r="CF49" i="3" s="1"/>
  <c r="L7" i="3"/>
  <c r="L77" i="3"/>
  <c r="CF44" i="3" s="1"/>
  <c r="L15" i="3"/>
  <c r="K47" i="3"/>
  <c r="L86" i="3"/>
  <c r="K65" i="3"/>
  <c r="K63" i="3"/>
  <c r="L45" i="3"/>
  <c r="K22" i="3"/>
  <c r="L60" i="3"/>
  <c r="CF34" i="3" s="1"/>
  <c r="K46" i="3"/>
  <c r="L23" i="3"/>
  <c r="L25" i="3"/>
  <c r="K24" i="3"/>
  <c r="L46" i="3"/>
  <c r="CF26" i="3" s="1"/>
  <c r="L48" i="3"/>
  <c r="K38" i="3"/>
  <c r="K69" i="3"/>
  <c r="L41" i="3"/>
  <c r="L70" i="3"/>
  <c r="CF38" i="3" s="1"/>
  <c r="K68" i="3"/>
  <c r="K56" i="3"/>
  <c r="L20" i="3"/>
  <c r="L32" i="3"/>
  <c r="L22" i="3"/>
  <c r="CF17" i="3" s="1"/>
  <c r="K8" i="3"/>
  <c r="K28" i="3"/>
  <c r="CF19" i="3" s="1"/>
  <c r="L28" i="3"/>
  <c r="L55" i="3"/>
  <c r="K33" i="3"/>
  <c r="K32" i="3"/>
  <c r="L72" i="3"/>
  <c r="K6" i="3"/>
  <c r="CF7" i="3" s="1"/>
  <c r="L13" i="3"/>
  <c r="K40" i="3"/>
  <c r="L8" i="3"/>
  <c r="K16" i="3"/>
  <c r="K7" i="3"/>
  <c r="CF8" i="3" s="1"/>
  <c r="K64" i="3"/>
  <c r="CF36" i="3" s="1"/>
  <c r="L39" i="3"/>
  <c r="L29" i="3"/>
  <c r="L71" i="3"/>
  <c r="K73" i="3"/>
  <c r="CF40" i="3" s="1"/>
  <c r="L6" i="3"/>
  <c r="CF31" i="3" s="1"/>
  <c r="K53" i="3"/>
  <c r="L4" i="3"/>
  <c r="L64" i="3"/>
  <c r="CF35" i="3" s="1"/>
  <c r="L54" i="3"/>
  <c r="CF30" i="3" s="1"/>
  <c r="K88" i="3"/>
  <c r="K87" i="3"/>
  <c r="CF47" i="3" s="1"/>
  <c r="K61" i="3"/>
  <c r="CF37" i="3" s="1"/>
  <c r="L47" i="3"/>
  <c r="CF29" i="3" s="1"/>
  <c r="CF33" i="3"/>
  <c r="CF45" i="3"/>
  <c r="CF16" i="3"/>
  <c r="CF32" i="3"/>
  <c r="CF46" i="3"/>
  <c r="CF53" i="3"/>
  <c r="CF21" i="3"/>
  <c r="E9" i="51"/>
  <c r="CF22" i="3"/>
  <c r="CF51" i="3"/>
  <c r="B46" i="51"/>
  <c r="B47" i="51" s="1"/>
  <c r="E10" i="51"/>
  <c r="E12" i="51"/>
  <c r="E11" i="51"/>
  <c r="CF12" i="3" l="1"/>
  <c r="CF24" i="3"/>
  <c r="CF25" i="3"/>
  <c r="CF18" i="3"/>
  <c r="CF11" i="3"/>
  <c r="CF14" i="3"/>
  <c r="CF27" i="3"/>
  <c r="CF28" i="3"/>
  <c r="CF42" i="3"/>
  <c r="CF6" i="3"/>
  <c r="CF20" i="3"/>
  <c r="CF10" i="3"/>
  <c r="CF48" i="3"/>
  <c r="CF15" i="3"/>
  <c r="CF39" i="3"/>
  <c r="CF9" i="3"/>
  <c r="CF41" i="3"/>
  <c r="F12" i="51"/>
  <c r="F10" i="51"/>
  <c r="F11" i="51" s="1"/>
  <c r="F9" i="51"/>
  <c r="F8" i="5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O46"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N71" i="3"/>
  <c r="O86" i="3" l="1"/>
  <c r="O89" i="3"/>
  <c r="N45" i="3"/>
  <c r="O48" i="3"/>
  <c r="O25" i="3"/>
  <c r="O88" i="3"/>
  <c r="CK49" i="3" s="1"/>
  <c r="O93" i="3"/>
  <c r="O78" i="3"/>
  <c r="O53" i="3"/>
  <c r="N96" i="3"/>
  <c r="O80" i="3"/>
  <c r="N47" i="3"/>
  <c r="O22" i="3"/>
  <c r="CJ17" i="3" s="1"/>
  <c r="N84" i="3"/>
  <c r="CK47" i="3" s="1"/>
  <c r="O97" i="3"/>
  <c r="O16" i="3"/>
  <c r="CI13" i="3" s="1"/>
  <c r="N15" i="3"/>
  <c r="O15" i="3"/>
  <c r="CJ10" i="3" s="1"/>
  <c r="O61" i="3"/>
  <c r="CJ37" i="3"/>
  <c r="N13" i="3"/>
  <c r="N65" i="3"/>
  <c r="O69" i="3"/>
  <c r="O62" i="3"/>
  <c r="N55" i="3"/>
  <c r="O20" i="3"/>
  <c r="CI14" i="3" s="1"/>
  <c r="O64" i="3"/>
  <c r="N5" i="3"/>
  <c r="O14" i="3"/>
  <c r="CJ13" i="3" s="1"/>
  <c r="N93" i="3"/>
  <c r="N33" i="3"/>
  <c r="N52" i="3"/>
  <c r="O57" i="3"/>
  <c r="N17" i="3"/>
  <c r="O31" i="3"/>
  <c r="O84" i="3"/>
  <c r="O45" i="3"/>
  <c r="N9" i="3"/>
  <c r="O52" i="3"/>
  <c r="N80" i="3"/>
  <c r="O55" i="3"/>
  <c r="O81" i="3"/>
  <c r="N76" i="3"/>
  <c r="O29" i="3"/>
  <c r="O71" i="3"/>
  <c r="N69" i="3"/>
  <c r="CI41" i="3" s="1"/>
  <c r="O37" i="3"/>
  <c r="CJ24" i="3" s="1"/>
  <c r="O60" i="3"/>
  <c r="O47" i="3"/>
  <c r="N8" i="3"/>
  <c r="N31" i="3"/>
  <c r="N48" i="3"/>
  <c r="O54" i="3"/>
  <c r="CK30" i="3" s="1"/>
  <c r="N16" i="3"/>
  <c r="CK10" i="3" s="1"/>
  <c r="O56" i="3"/>
  <c r="O38" i="3"/>
  <c r="N73" i="3"/>
  <c r="N24" i="3"/>
  <c r="N64" i="3"/>
  <c r="O5" i="3"/>
  <c r="O70" i="3"/>
  <c r="CJ38" i="3" s="1"/>
  <c r="N39" i="3"/>
  <c r="O40" i="3"/>
  <c r="O13" i="3"/>
  <c r="N22" i="3"/>
  <c r="N89" i="3"/>
  <c r="O4" i="3"/>
  <c r="N62" i="3"/>
  <c r="O92" i="3"/>
  <c r="N60" i="3"/>
  <c r="CK35" i="3" s="1"/>
  <c r="O41" i="3"/>
  <c r="CK25" i="3" s="1"/>
  <c r="N36" i="3"/>
  <c r="N4" i="3"/>
  <c r="N92" i="3"/>
  <c r="O76" i="3"/>
  <c r="N79" i="3"/>
  <c r="N81" i="3"/>
  <c r="N46" i="3"/>
  <c r="N68" i="3"/>
  <c r="O49" i="3"/>
  <c r="O32" i="3"/>
  <c r="N23" i="3"/>
  <c r="N70" i="3"/>
  <c r="N20" i="3"/>
  <c r="N30" i="3"/>
  <c r="O39" i="3"/>
  <c r="CI25" i="3" s="1"/>
  <c r="N29" i="3"/>
  <c r="N40" i="3"/>
  <c r="CI24" i="3" s="1"/>
  <c r="O8" i="3"/>
  <c r="CK27" i="3" s="1"/>
  <c r="O33" i="3"/>
  <c r="N94" i="3"/>
  <c r="O9" i="3"/>
  <c r="CJ7" i="3" s="1"/>
  <c r="O23" i="3"/>
  <c r="O95" i="3"/>
  <c r="N87" i="3"/>
  <c r="CJ47" i="3" s="1"/>
  <c r="N88" i="3"/>
  <c r="CJ28" i="3"/>
  <c r="CJ51" i="3"/>
  <c r="CJ19" i="3"/>
  <c r="CI12" i="3"/>
  <c r="CJ30" i="3"/>
  <c r="CK45" i="3"/>
  <c r="CJ45" i="3"/>
  <c r="CJ42" i="3"/>
  <c r="CI10" i="3"/>
  <c r="CK6" i="3"/>
  <c r="CK33" i="3"/>
  <c r="CJ52" i="3"/>
  <c r="CJ32" i="3"/>
  <c r="CJ53" i="3"/>
  <c r="CI15" i="3"/>
  <c r="CK48" i="3"/>
  <c r="CJ29" i="3"/>
  <c r="CK50" i="3"/>
  <c r="CI33" i="3"/>
  <c r="CK37" i="3"/>
  <c r="CK44" i="3"/>
  <c r="CK28" i="3"/>
  <c r="CK51" i="3"/>
  <c r="CJ21" i="3"/>
  <c r="CJ49" i="3"/>
  <c r="CI32" i="3"/>
  <c r="CJ43" i="3"/>
  <c r="CI47" i="3"/>
  <c r="CK18" i="3"/>
  <c r="CK36" i="3"/>
  <c r="CI49" i="3"/>
  <c r="CI17" i="3"/>
  <c r="CK53" i="3"/>
  <c r="CI31" i="3"/>
  <c r="CJ11" i="3"/>
  <c r="CK13" i="3"/>
  <c r="CI35" i="3"/>
  <c r="CI18" i="3"/>
  <c r="CK23" i="3"/>
  <c r="CK19" i="3"/>
  <c r="CI46" i="3"/>
  <c r="CK24" i="3"/>
  <c r="CI20" i="3"/>
  <c r="CI26" i="3"/>
  <c r="CK42" i="3"/>
  <c r="CK40" i="3"/>
  <c r="CI40" i="3"/>
  <c r="CJ12" i="3"/>
  <c r="CK41" i="3"/>
  <c r="CK26" i="3"/>
  <c r="CI23" i="3"/>
  <c r="CJ20" i="3"/>
  <c r="CI16" i="3"/>
  <c r="CI51" i="3"/>
  <c r="CI43" i="3"/>
  <c r="CI38" i="3"/>
  <c r="CI45" i="3"/>
  <c r="CK31" i="3"/>
  <c r="CK22" i="3"/>
  <c r="CJ33" i="3"/>
  <c r="CI22" i="3"/>
  <c r="CK43" i="3"/>
  <c r="CJ15" i="3"/>
  <c r="CI11" i="3"/>
  <c r="CI7" i="3"/>
  <c r="CK52" i="3"/>
  <c r="CJ31" i="3"/>
  <c r="CJ44" i="3"/>
  <c r="CI44" i="3"/>
  <c r="CI53" i="3"/>
  <c r="CK46" i="3"/>
  <c r="CJ46" i="3"/>
  <c r="CI9" i="3"/>
  <c r="CK38" i="3"/>
  <c r="CK17" i="3"/>
  <c r="CK8" i="3"/>
  <c r="CI29" i="3"/>
  <c r="CJ9" i="3"/>
  <c r="CJ50" i="3"/>
  <c r="CK16" i="3"/>
  <c r="CJ18" i="3"/>
  <c r="CI36" i="3"/>
  <c r="CK20" i="3"/>
  <c r="CI21" i="3"/>
  <c r="CI19" i="3"/>
  <c r="CJ22" i="3"/>
  <c r="CK39" i="3"/>
  <c r="CK29" i="3"/>
  <c r="CK14" i="3"/>
  <c r="CI28" i="3"/>
  <c r="CI34" i="3"/>
  <c r="CJ16" i="3"/>
  <c r="CI6" i="3"/>
  <c r="CJ48" i="3"/>
  <c r="CI50" i="3"/>
  <c r="CI39" i="3"/>
  <c r="CI37" i="3"/>
  <c r="CI42" i="3"/>
  <c r="CI30" i="3"/>
  <c r="CJ35" i="3"/>
  <c r="CK11" i="3"/>
  <c r="CI52" i="3"/>
  <c r="CK34" i="3"/>
  <c r="CK32" i="3"/>
  <c r="CK7" i="3"/>
  <c r="CI48" i="3"/>
  <c r="CK21" i="3"/>
  <c r="CK9" i="3"/>
  <c r="CJ6" i="3"/>
  <c r="CJ8" i="3"/>
  <c r="CJ39" i="3"/>
  <c r="CJ23" i="3"/>
  <c r="CJ25" i="3"/>
  <c r="CJ36" i="3"/>
  <c r="CJ34" i="3"/>
  <c r="CJ27" i="3"/>
  <c r="CJ26" i="3"/>
  <c r="CJ41" i="3"/>
  <c r="CK12" i="3" l="1"/>
  <c r="CI8" i="3"/>
  <c r="CL8" i="3" s="1"/>
  <c r="CI27" i="3"/>
  <c r="CL27" i="3" s="1"/>
  <c r="CK15" i="3"/>
  <c r="CL32" i="3"/>
  <c r="CL42" i="3"/>
  <c r="CL41" i="3"/>
  <c r="CL53" i="3"/>
  <c r="CJ14" i="3"/>
  <c r="CL14" i="3" s="1"/>
  <c r="CL30" i="3"/>
  <c r="CL28" i="3"/>
  <c r="CL13" i="3"/>
  <c r="CL11" i="3"/>
  <c r="CL35" i="3"/>
  <c r="CL19" i="3"/>
  <c r="CJ40" i="3"/>
  <c r="CL40" i="3" s="1"/>
  <c r="CL9" i="3"/>
  <c r="CL50" i="3"/>
  <c r="CL48" i="3"/>
  <c r="CL49" i="3"/>
  <c r="CL37" i="3"/>
  <c r="CL29" i="3"/>
  <c r="CL23" i="3"/>
  <c r="CL25" i="3"/>
  <c r="CL15" i="3"/>
  <c r="CL12" i="3"/>
  <c r="CL10" i="3"/>
  <c r="CL6" i="3"/>
  <c r="CL24" i="3"/>
  <c r="CL45" i="3"/>
  <c r="CL43" i="3"/>
  <c r="CL38" i="3"/>
  <c r="CL22" i="3"/>
  <c r="CL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27" i="3" l="1"/>
  <c r="CP9" i="3"/>
  <c r="CO40" i="3"/>
  <c r="CP7" i="3"/>
  <c r="CO8" i="3"/>
  <c r="CP51" i="3"/>
  <c r="CQ51" i="3" s="1"/>
  <c r="CP8" i="3"/>
  <c r="CP36" i="3"/>
  <c r="CO19" i="3"/>
  <c r="CO36" i="3"/>
  <c r="CP25" i="3"/>
  <c r="CO26" i="3"/>
  <c r="CO21" i="3"/>
  <c r="CO23" i="3"/>
  <c r="CP39" i="3"/>
  <c r="CQ39" i="3" s="1"/>
  <c r="CO27" i="3"/>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27" i="3" l="1"/>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l="1"/>
  <c r="CT11" i="3"/>
  <c r="CT16" i="3"/>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W22" i="45" s="1"/>
  <c r="AS70" i="3"/>
  <c r="AN70" i="3"/>
  <c r="AM70" i="3"/>
  <c r="U20" i="45" s="1"/>
  <c r="AQ70" i="3"/>
  <c r="T20" i="45"/>
  <c r="AK70" i="3" a="1"/>
  <c r="AK70" i="3" s="1"/>
  <c r="M105" i="3"/>
  <c r="AA106" i="3" s="1"/>
  <c r="AP70" i="3"/>
  <c r="AR70" i="3"/>
  <c r="W20" i="45" s="1"/>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J69" i="3" l="1"/>
  <c r="BK69" i="3"/>
  <c r="BK68" i="3"/>
  <c r="BL68" i="3" s="1"/>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7" i="3"/>
  <c r="BL59" i="3"/>
  <c r="BL58"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9" i="3" l="1"/>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BY69" i="3" l="1"/>
  <c r="BY65" i="3"/>
  <c r="BY58" i="3"/>
  <c r="BY61" i="3"/>
  <c r="BY59" i="3"/>
  <c r="BY64" i="3"/>
  <c r="BY62" i="3"/>
  <c r="BY60" i="3"/>
  <c r="BY68" i="3"/>
  <c r="BY66" i="3"/>
  <c r="BY67" i="3"/>
  <c r="BY63" i="3"/>
  <c r="BZ67" i="3" l="1"/>
  <c r="CA67" i="3" s="1"/>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H2" i="50" s="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D134" i="3" s="1"/>
  <c r="AG127" i="3"/>
  <c r="N132" i="3"/>
  <c r="AF132" i="3" s="1"/>
  <c r="D132" i="3" s="1"/>
  <c r="AG125" i="3"/>
  <c r="AG121" i="3"/>
  <c r="M131" i="3"/>
  <c r="AA131" i="3" s="1"/>
  <c r="N133" i="3"/>
  <c r="AF133" i="3" s="1"/>
  <c r="D133" i="3" s="1"/>
  <c r="AG123" i="3"/>
  <c r="N139" i="3" l="1"/>
  <c r="AF139" i="3" s="1"/>
  <c r="AG134" i="3"/>
  <c r="AF198" i="46"/>
  <c r="AC198" i="46"/>
  <c r="AF208" i="46"/>
  <c r="Z208" i="46"/>
  <c r="AC208" i="46"/>
  <c r="W208" i="46"/>
  <c r="Z198" i="46"/>
  <c r="W198" i="46"/>
  <c r="AP35" i="51"/>
  <c r="T208" i="46"/>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F143" i="3" l="1"/>
  <c r="H139" i="3"/>
  <c r="AM38" i="45" a="1"/>
  <c r="AM38" i="45" s="1"/>
  <c r="M229" i="46"/>
  <c r="Z223" i="46"/>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M228" i="46"/>
  <c r="AM14" i="45"/>
  <c r="AM37" i="45"/>
  <c r="C233" i="46"/>
  <c r="DT139" i="3"/>
  <c r="K233" i="46"/>
  <c r="AF147" i="3"/>
  <c r="D139" i="3"/>
  <c r="M227" i="46"/>
  <c r="M138" i="3"/>
  <c r="AA138" i="3" s="1"/>
  <c r="H138" i="3" s="1"/>
  <c r="AG131" i="3"/>
  <c r="G7" i="48"/>
  <c r="G4" i="48"/>
  <c r="G8" i="48"/>
  <c r="G6" i="48"/>
  <c r="G5" i="48"/>
  <c r="T212" i="46"/>
  <c r="T213" i="46"/>
  <c r="T210" i="46"/>
  <c r="T217" i="46"/>
  <c r="T216" i="46"/>
  <c r="T214" i="46"/>
  <c r="T215" i="46"/>
  <c r="T211" i="46"/>
  <c r="L3" i="47"/>
  <c r="L2" i="47"/>
  <c r="M2" i="47"/>
  <c r="AA143" i="3" l="1"/>
  <c r="AQ31" i="45" s="1"/>
  <c r="AQ32" i="45"/>
  <c r="M237" i="46"/>
  <c r="S266" i="46"/>
  <c r="V266" i="46"/>
  <c r="AB266" i="46"/>
  <c r="AE266" i="46"/>
  <c r="Y266" i="46"/>
  <c r="W224" i="46"/>
  <c r="AF224" i="46"/>
  <c r="Z218" i="46"/>
  <c r="W218" i="46"/>
  <c r="Z224" i="46"/>
  <c r="AC218" i="46"/>
  <c r="AF218" i="46"/>
  <c r="AC224" i="46"/>
  <c r="N143" i="3"/>
  <c r="N147" i="3"/>
  <c r="AG139" i="3"/>
  <c r="AU26" i="45"/>
  <c r="M241" i="46"/>
  <c r="AA152" i="3"/>
  <c r="M236" i="46"/>
  <c r="D143" i="3"/>
  <c r="AG143" i="3" s="1"/>
  <c r="K232" i="46"/>
  <c r="AA147" i="3"/>
  <c r="AA151" i="3" s="1"/>
  <c r="C232" i="46"/>
  <c r="AM13" i="45"/>
  <c r="DT138" i="3"/>
  <c r="D138" i="3"/>
  <c r="M226" i="46"/>
  <c r="T218" i="46"/>
  <c r="M218" i="46"/>
  <c r="K3" i="47" s="1"/>
  <c r="T224" i="46"/>
  <c r="DT143" i="3" l="1"/>
  <c r="K244" i="46"/>
  <c r="AC244" i="46" s="1"/>
  <c r="AC245" i="46" s="1"/>
  <c r="C244" i="46"/>
  <c r="H147" i="3"/>
  <c r="AE264" i="46"/>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AF244" i="46" l="1"/>
  <c r="AF245" i="46" s="1"/>
  <c r="W244" i="46"/>
  <c r="W245" i="46" s="1"/>
  <c r="Z244" i="46"/>
  <c r="Z245" i="46" s="1"/>
  <c r="BN24" i="45"/>
  <c r="BN26" i="45"/>
  <c r="BN47" i="45"/>
  <c r="BN20" i="45"/>
  <c r="BN11" i="45"/>
  <c r="BN18" i="45"/>
  <c r="BN14" i="45"/>
  <c r="BN33" i="45"/>
  <c r="BN34" i="45"/>
  <c r="BN45" i="45"/>
  <c r="BN15" i="45"/>
  <c r="BN44" i="45"/>
  <c r="BN4" i="45"/>
  <c r="BN19" i="45"/>
  <c r="BN46" i="45"/>
  <c r="BN30" i="45"/>
  <c r="BN17" i="45"/>
  <c r="BN22" i="45"/>
  <c r="BN48" i="45"/>
  <c r="BN29" i="45"/>
  <c r="BN41" i="45"/>
  <c r="BN31" i="45"/>
  <c r="BN36" i="45"/>
  <c r="BN38" i="45"/>
  <c r="BN27" i="45"/>
  <c r="BN7" i="45"/>
  <c r="BN28" i="45"/>
  <c r="BN5" i="45"/>
  <c r="BN37" i="45"/>
  <c r="BN35" i="45"/>
  <c r="BN21" i="45"/>
  <c r="BN13" i="45"/>
  <c r="BN39" i="45"/>
  <c r="BN43" i="45"/>
  <c r="BN51" i="45"/>
  <c r="BN16" i="45"/>
  <c r="BN49" i="45"/>
  <c r="BN6" i="45"/>
  <c r="BN40" i="45"/>
  <c r="BN8" i="45"/>
  <c r="BN32" i="45"/>
  <c r="BN12" i="45"/>
  <c r="BN9" i="45"/>
  <c r="BN10" i="45"/>
  <c r="BN23" i="45"/>
  <c r="BN25" i="45"/>
  <c r="BN42" i="45"/>
  <c r="BN50" i="45"/>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S3" i="47"/>
  <c r="R2" i="47"/>
  <c r="T252" i="46"/>
  <c r="T238" i="46"/>
  <c r="M238" i="46"/>
  <c r="O3" i="47" s="1"/>
  <c r="T251" i="46"/>
  <c r="S2" i="47"/>
  <c r="R3" i="47"/>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s="1"/>
  <c r="V4" i="46" s="1"/>
  <c r="V3" i="46" l="1"/>
  <c r="V2" i="46"/>
  <c r="AE3" i="46"/>
  <c r="S3" i="46"/>
  <c r="AB3" i="46"/>
  <c r="Y3" i="46"/>
  <c r="AB1" i="46" l="1"/>
  <c r="V1" i="46"/>
  <c r="AE1" i="46"/>
  <c r="S1" i="46"/>
  <c r="Y1" i="46"/>
  <c r="D9" i="47" l="1"/>
  <c r="N9" i="47" a="1"/>
  <c r="N9" i="47" s="1"/>
  <c r="S9" i="47" a="1"/>
  <c r="S9" i="47" s="1"/>
  <c r="C9" i="47"/>
  <c r="I8" i="47" a="1"/>
  <c r="I8" i="47" s="1"/>
  <c r="F8" i="47" a="1"/>
  <c r="F8" i="47" s="1"/>
  <c r="G9" i="47" a="1"/>
  <c r="G9" i="47" s="1"/>
  <c r="F9" i="47" a="1"/>
  <c r="F9" i="47" s="1"/>
  <c r="F7" i="47" a="1"/>
  <c r="F7" i="47" s="1"/>
  <c r="I9" i="47" a="1"/>
  <c r="I9" i="47" s="1"/>
  <c r="J9" i="47" a="1"/>
  <c r="J9" i="47" s="1"/>
  <c r="P9" i="47" a="1"/>
  <c r="P9" i="47" s="1"/>
  <c r="B9" i="47"/>
  <c r="C8" i="47"/>
  <c r="L9" i="47" a="1"/>
  <c r="L9" i="47" s="1"/>
  <c r="Q9" i="47" a="1"/>
  <c r="Q9" i="47" s="1"/>
  <c r="R9" i="47" a="1"/>
  <c r="R9" i="47" s="1"/>
  <c r="K9" i="47" a="1"/>
  <c r="K9" i="47" s="1"/>
  <c r="E9" i="47" a="1"/>
  <c r="E9" i="47" s="1"/>
  <c r="O9" i="47" a="1"/>
  <c r="O9" i="47" s="1"/>
  <c r="H9" i="47" a="1"/>
  <c r="H9" i="47" s="1"/>
  <c r="I7" i="47" a="1"/>
  <c r="I7" i="47" s="1"/>
  <c r="M9" i="47" a="1"/>
  <c r="M9" i="47" s="1"/>
  <c r="H8" i="47" a="1"/>
  <c r="H8" i="47" s="1"/>
  <c r="E8" i="47" a="1"/>
  <c r="E8" i="47" s="1"/>
  <c r="E7" i="47" a="1"/>
  <c r="E7" i="47" s="1"/>
  <c r="D5" i="47"/>
  <c r="C6" i="47"/>
  <c r="B5" i="47"/>
  <c r="D8" i="47"/>
  <c r="G5" i="47" a="1"/>
  <c r="G5" i="47" s="1"/>
  <c r="B6" i="47"/>
  <c r="H5" i="47" a="1"/>
  <c r="H5" i="47" s="1"/>
  <c r="C5" i="47"/>
  <c r="H7" i="47" a="1"/>
  <c r="H7" i="47" s="1"/>
  <c r="B8" i="47"/>
  <c r="C7" i="47"/>
  <c r="O6" i="47" a="1"/>
  <c r="O6" i="47" s="1"/>
  <c r="N7" i="47" a="1"/>
  <c r="N7" i="47" s="1"/>
  <c r="I5" i="47" a="1"/>
  <c r="I5" i="47" s="1"/>
  <c r="K8" i="47" a="1"/>
  <c r="K8" i="47" s="1"/>
  <c r="E5" i="47" a="1"/>
  <c r="E5" i="47" s="1"/>
  <c r="G8" i="47" a="1"/>
  <c r="G8" i="47" s="1"/>
  <c r="D7" i="47"/>
  <c r="B7" i="47"/>
  <c r="F5" i="47" a="1"/>
  <c r="F5" i="47" s="1"/>
  <c r="F6" i="47" a="1"/>
  <c r="F6" i="47" s="1"/>
  <c r="J8" i="47" a="1"/>
  <c r="J8" i="47" s="1"/>
  <c r="J5" i="47" a="1"/>
  <c r="J5" i="47" s="1"/>
  <c r="M5" i="47" a="1"/>
  <c r="M5" i="47" s="1"/>
  <c r="J7" i="47" a="1"/>
  <c r="J7" i="47" s="1"/>
  <c r="E6" i="47" a="1"/>
  <c r="E6" i="47" s="1"/>
  <c r="G7" i="47" a="1"/>
  <c r="G7" i="47" s="1"/>
  <c r="N5" i="47" a="1"/>
  <c r="N5" i="47" s="1"/>
  <c r="L6" i="47" a="1"/>
  <c r="L6" i="47" s="1"/>
  <c r="D6" i="47"/>
  <c r="O8" i="47" a="1"/>
  <c r="O8" i="47" s="1"/>
  <c r="P5" i="47" a="1"/>
  <c r="P5" i="47" s="1"/>
  <c r="G6" i="47" a="1"/>
  <c r="G6" i="47" s="1"/>
  <c r="S6" i="47" a="1"/>
  <c r="S6" i="47" s="1"/>
  <c r="K5" i="47" a="1"/>
  <c r="K5" i="47" s="1"/>
  <c r="P6" i="47" a="1"/>
  <c r="P6" i="47" s="1"/>
  <c r="I6" i="47" a="1"/>
  <c r="I6" i="47" s="1"/>
  <c r="M6" i="47" a="1"/>
  <c r="M6" i="47" s="1"/>
  <c r="K6" i="47" a="1"/>
  <c r="K6" i="47" s="1"/>
  <c r="M8" i="47" a="1"/>
  <c r="M8" i="47" s="1"/>
  <c r="O7" i="47" a="1"/>
  <c r="O7" i="47" s="1"/>
  <c r="N8" i="47" a="1"/>
  <c r="N8" i="47" s="1"/>
  <c r="Q6" i="47" a="1"/>
  <c r="Q6" i="47" s="1"/>
  <c r="R7" i="47" a="1"/>
  <c r="R7" i="47" s="1"/>
  <c r="H6" i="47" a="1"/>
  <c r="H6" i="47" s="1"/>
  <c r="L8" i="47" a="1"/>
  <c r="L8" i="47" s="1"/>
  <c r="K7" i="47" a="1"/>
  <c r="K7" i="47" s="1"/>
  <c r="R5" i="47" a="1"/>
  <c r="R5" i="47" s="1"/>
  <c r="S8" i="47" a="1"/>
  <c r="S8" i="47" s="1"/>
  <c r="Q5" i="47" a="1"/>
  <c r="Q5" i="47" s="1"/>
  <c r="Q7" i="47" a="1"/>
  <c r="Q7" i="47" s="1"/>
  <c r="L7" i="47" a="1"/>
  <c r="L7" i="47" s="1"/>
  <c r="R6" i="47" a="1"/>
  <c r="R6" i="47" s="1"/>
  <c r="J6" i="47" a="1"/>
  <c r="J6" i="47" s="1"/>
  <c r="N6" i="47" a="1"/>
  <c r="N6" i="47" s="1"/>
  <c r="M7" i="47" a="1"/>
  <c r="M7" i="47" s="1"/>
  <c r="P7" i="47" a="1"/>
  <c r="P7" i="47" s="1"/>
  <c r="R8" i="47" a="1"/>
  <c r="R8" i="47" s="1"/>
  <c r="L5" i="47" a="1"/>
  <c r="L5" i="47" s="1"/>
  <c r="S7" i="47" a="1"/>
  <c r="S7" i="47" s="1"/>
  <c r="Q8" i="47" a="1"/>
  <c r="Q8" i="47" s="1"/>
  <c r="S5" i="47" a="1"/>
  <c r="S5" i="47" s="1"/>
  <c r="P8" i="47" a="1"/>
  <c r="P8" i="47" s="1"/>
  <c r="O5" i="47" a="1"/>
  <c r="O5" i="47" s="1"/>
  <c r="H7" i="50" l="1"/>
  <c r="H8" i="50"/>
  <c r="H6" i="50"/>
  <c r="H4" i="50"/>
  <c r="H5" i="50"/>
  <c r="R63" i="6"/>
  <c r="R62" i="6"/>
  <c r="R61" i="6"/>
  <c r="R60" i="6"/>
  <c r="R59" i="6"/>
  <c r="R58" i="6"/>
  <c r="R57" i="6"/>
  <c r="R56" i="6"/>
  <c r="R55" i="6"/>
  <c r="R54" i="6"/>
  <c r="R53" i="6"/>
  <c r="R52" i="6"/>
  <c r="R51" i="6"/>
  <c r="R50" i="6"/>
  <c r="R49" i="6"/>
  <c r="R48" i="6"/>
  <c r="R47" i="6"/>
  <c r="R46" i="6"/>
  <c r="R45" i="6"/>
  <c r="R44" i="6"/>
  <c r="R43" i="6"/>
  <c r="R42" i="6"/>
  <c r="R41" i="6"/>
  <c r="AE35" i="51"/>
  <c r="AD35" i="51"/>
  <c r="I8" i="51"/>
  <c r="AM3" i="50"/>
  <c r="AL3" i="50"/>
  <c r="AK3" i="50"/>
  <c r="AJ3" i="50"/>
  <c r="AI3" i="50"/>
  <c r="AH3" i="50"/>
  <c r="AG3" i="50"/>
  <c r="AF3" i="50"/>
  <c r="AE3" i="50"/>
  <c r="AD3" i="50"/>
  <c r="AC3" i="50"/>
  <c r="AB3" i="50"/>
  <c r="AA3" i="50"/>
  <c r="Z3" i="50"/>
  <c r="Y3" i="50"/>
  <c r="X3" i="50"/>
  <c r="W3" i="50"/>
  <c r="V3" i="50"/>
  <c r="U3" i="50"/>
  <c r="T3" i="50"/>
  <c r="S3" i="50"/>
  <c r="R3" i="50"/>
  <c r="Q3" i="50"/>
  <c r="P3" i="50"/>
  <c r="O3" i="50"/>
  <c r="N3" i="50"/>
  <c r="M3" i="50"/>
  <c r="L3" i="50"/>
  <c r="K3" i="50"/>
  <c r="J3" i="50"/>
  <c r="I3" i="50"/>
  <c r="AM2" i="50"/>
  <c r="AM5" i="50" s="1"/>
  <c r="AL2" i="50"/>
  <c r="AL7" i="50" s="1"/>
  <c r="AK2" i="50"/>
  <c r="AK6" i="50" s="1"/>
  <c r="AJ2" i="50"/>
  <c r="AJ7" i="50" s="1"/>
  <c r="AI2" i="50"/>
  <c r="AI8" i="50" s="1"/>
  <c r="AH2" i="50"/>
  <c r="AH8" i="50" s="1"/>
  <c r="AG2" i="50"/>
  <c r="AG4" i="50" s="1"/>
  <c r="AF2" i="50"/>
  <c r="AF5" i="50" s="1"/>
  <c r="AE2" i="50"/>
  <c r="AE7" i="50" s="1"/>
  <c r="AD2" i="50"/>
  <c r="AD8" i="50" s="1"/>
  <c r="AC2" i="50"/>
  <c r="AC8" i="50" s="1"/>
  <c r="AB2" i="50"/>
  <c r="AB7" i="50" s="1"/>
  <c r="AA2" i="50"/>
  <c r="AA5" i="50" s="1"/>
  <c r="Z2" i="50"/>
  <c r="Z8" i="50" s="1"/>
  <c r="Y2" i="50"/>
  <c r="Y6" i="50" s="1"/>
  <c r="X2" i="50"/>
  <c r="X5" i="50" s="1"/>
  <c r="W2" i="50"/>
  <c r="W5" i="50" s="1"/>
  <c r="V2" i="50"/>
  <c r="V6" i="50" s="1"/>
  <c r="U2" i="50"/>
  <c r="U8" i="50" s="1"/>
  <c r="T2" i="50"/>
  <c r="T6" i="50" s="1"/>
  <c r="S2" i="50"/>
  <c r="S7" i="50" s="1"/>
  <c r="R2" i="50"/>
  <c r="R4" i="50" s="1"/>
  <c r="Q2" i="50"/>
  <c r="Q7" i="50" s="1"/>
  <c r="P2" i="50"/>
  <c r="P4" i="50" s="1"/>
  <c r="O2" i="50"/>
  <c r="O4" i="50" s="1"/>
  <c r="N2" i="50"/>
  <c r="N8" i="50" s="1"/>
  <c r="M2" i="50"/>
  <c r="M6" i="50" s="1"/>
  <c r="L2" i="50"/>
  <c r="L8" i="50" s="1"/>
  <c r="K2" i="50"/>
  <c r="K7" i="50" s="1"/>
  <c r="J2" i="50"/>
  <c r="J8" i="50" s="1"/>
  <c r="I2" i="50"/>
  <c r="I5" i="50" s="1"/>
  <c r="AL3" i="48"/>
  <c r="AK3" i="48"/>
  <c r="AJ3" i="48"/>
  <c r="AI3" i="48"/>
  <c r="AH3" i="48"/>
  <c r="AG3" i="48"/>
  <c r="AF3" i="48"/>
  <c r="AE3" i="48"/>
  <c r="AD3" i="48"/>
  <c r="AC3" i="48"/>
  <c r="AB3" i="48"/>
  <c r="AA3" i="48"/>
  <c r="Z3" i="48"/>
  <c r="Y3" i="48"/>
  <c r="X3" i="48"/>
  <c r="W3" i="48"/>
  <c r="V3" i="48"/>
  <c r="U3" i="48"/>
  <c r="T3" i="48"/>
  <c r="S3" i="48"/>
  <c r="R3" i="48"/>
  <c r="Q3" i="48"/>
  <c r="P3" i="48"/>
  <c r="O3" i="48"/>
  <c r="N3" i="48"/>
  <c r="M3" i="48"/>
  <c r="L3" i="48"/>
  <c r="K3" i="48"/>
  <c r="J3" i="48"/>
  <c r="I3" i="48"/>
  <c r="H3" i="48"/>
  <c r="AL2" i="48"/>
  <c r="AK2" i="48"/>
  <c r="AJ2" i="48"/>
  <c r="AI2" i="48"/>
  <c r="AH2" i="48"/>
  <c r="AG2" i="48"/>
  <c r="AF2" i="48"/>
  <c r="AE2" i="48"/>
  <c r="AD2" i="48"/>
  <c r="AC2" i="48"/>
  <c r="AB2" i="48"/>
  <c r="AA2" i="48"/>
  <c r="Z2" i="48"/>
  <c r="Y2" i="48"/>
  <c r="X2" i="48"/>
  <c r="W2" i="48"/>
  <c r="V2" i="48"/>
  <c r="U2" i="48"/>
  <c r="T2" i="48"/>
  <c r="S2" i="48"/>
  <c r="R2" i="48"/>
  <c r="Q2" i="48"/>
  <c r="P2" i="48"/>
  <c r="O2" i="48"/>
  <c r="N2" i="48"/>
  <c r="M2" i="48"/>
  <c r="L2" i="48"/>
  <c r="K2" i="48"/>
  <c r="J2" i="48"/>
  <c r="I2" i="48"/>
  <c r="H2" i="48"/>
  <c r="AH6" i="50" l="1"/>
  <c r="AC4" i="50"/>
  <c r="V8" i="50"/>
  <c r="AB5" i="50"/>
  <c r="M4" i="50"/>
  <c r="X4" i="50"/>
  <c r="AB8" i="50"/>
  <c r="L5" i="50"/>
  <c r="P6" i="50"/>
  <c r="S8" i="50"/>
  <c r="AI5" i="50"/>
  <c r="AC6" i="50"/>
  <c r="J7" i="50"/>
  <c r="AH5" i="50"/>
  <c r="T7" i="50"/>
  <c r="AD4" i="50"/>
  <c r="AJ6" i="50"/>
  <c r="AA7" i="50"/>
  <c r="AD7" i="50"/>
  <c r="O7" i="48"/>
  <c r="O4" i="48"/>
  <c r="O8" i="48"/>
  <c r="O6" i="48"/>
  <c r="O5" i="48"/>
  <c r="W6" i="48"/>
  <c r="W5" i="48"/>
  <c r="W7" i="48"/>
  <c r="W4" i="48"/>
  <c r="W8" i="48"/>
  <c r="AE5" i="48"/>
  <c r="AE4" i="48"/>
  <c r="AE6" i="48"/>
  <c r="AE7" i="48"/>
  <c r="AE8" i="48"/>
  <c r="AJ5" i="50"/>
  <c r="AD5" i="50"/>
  <c r="Z5" i="50"/>
  <c r="AL5" i="50"/>
  <c r="AA4" i="50"/>
  <c r="N4" i="50"/>
  <c r="I4" i="50"/>
  <c r="Q4" i="50"/>
  <c r="AA6" i="50"/>
  <c r="O6" i="50"/>
  <c r="W6" i="50"/>
  <c r="K6" i="50"/>
  <c r="AE8" i="50"/>
  <c r="K8" i="50"/>
  <c r="AK8" i="50"/>
  <c r="AM8" i="50"/>
  <c r="N7" i="50"/>
  <c r="R7" i="50"/>
  <c r="AG7" i="50"/>
  <c r="P7" i="50"/>
  <c r="P6" i="48"/>
  <c r="P8" i="48"/>
  <c r="P4" i="48"/>
  <c r="P5" i="48"/>
  <c r="P7" i="48"/>
  <c r="X8" i="48"/>
  <c r="X6" i="48"/>
  <c r="X4" i="48"/>
  <c r="X7" i="48"/>
  <c r="X5" i="48"/>
  <c r="AF8" i="48"/>
  <c r="AF5" i="48"/>
  <c r="AF7" i="48"/>
  <c r="AF6" i="48"/>
  <c r="AF4" i="48"/>
  <c r="R5" i="50"/>
  <c r="M5" i="50"/>
  <c r="AC5" i="50"/>
  <c r="Y5" i="50"/>
  <c r="AE4" i="50"/>
  <c r="J4" i="50"/>
  <c r="AJ4" i="50"/>
  <c r="V4" i="50"/>
  <c r="X6" i="50"/>
  <c r="N6" i="50"/>
  <c r="AI6" i="50"/>
  <c r="I6" i="50"/>
  <c r="T8" i="50"/>
  <c r="X8" i="50"/>
  <c r="AA8" i="50"/>
  <c r="R8" i="50"/>
  <c r="L7" i="50"/>
  <c r="U7" i="50"/>
  <c r="AI7" i="50"/>
  <c r="W8" i="50"/>
  <c r="I5" i="48"/>
  <c r="I8" i="48"/>
  <c r="I6" i="48"/>
  <c r="I4" i="48"/>
  <c r="I7" i="48"/>
  <c r="Q6" i="48"/>
  <c r="Q7" i="48"/>
  <c r="Q5" i="48"/>
  <c r="Q8" i="48"/>
  <c r="Q4" i="48"/>
  <c r="Y4" i="48"/>
  <c r="Y6" i="48"/>
  <c r="Y5" i="48"/>
  <c r="Y7" i="48"/>
  <c r="Y8" i="48"/>
  <c r="AG8" i="48"/>
  <c r="AG4" i="48"/>
  <c r="AG7" i="48"/>
  <c r="AG5" i="48"/>
  <c r="AG6" i="48"/>
  <c r="P5" i="50"/>
  <c r="K5" i="50"/>
  <c r="O5" i="50"/>
  <c r="N5" i="50"/>
  <c r="AF4" i="50"/>
  <c r="AI4" i="50"/>
  <c r="W4" i="50"/>
  <c r="AK4" i="50"/>
  <c r="AD6" i="50"/>
  <c r="Q6" i="50"/>
  <c r="AG6" i="50"/>
  <c r="J6" i="50"/>
  <c r="AJ8" i="50"/>
  <c r="I8" i="50"/>
  <c r="Q8" i="50"/>
  <c r="AC7" i="50"/>
  <c r="AH7" i="50"/>
  <c r="X7" i="50"/>
  <c r="Y7" i="50"/>
  <c r="H4" i="48"/>
  <c r="H8" i="48"/>
  <c r="H5" i="48"/>
  <c r="H6" i="48"/>
  <c r="H7" i="48"/>
  <c r="J7" i="48"/>
  <c r="J5" i="48"/>
  <c r="J4" i="48"/>
  <c r="J6" i="48"/>
  <c r="J8" i="48"/>
  <c r="R8" i="48"/>
  <c r="R4" i="48"/>
  <c r="R7" i="48"/>
  <c r="R5" i="48"/>
  <c r="R6" i="48"/>
  <c r="Z8" i="48"/>
  <c r="Z6" i="48"/>
  <c r="Z5" i="48"/>
  <c r="Z7" i="48"/>
  <c r="Z4" i="48"/>
  <c r="AH4" i="48"/>
  <c r="AH5" i="48"/>
  <c r="AH6" i="48"/>
  <c r="AH8" i="48"/>
  <c r="AH7" i="48"/>
  <c r="Q5" i="50"/>
  <c r="U5" i="50"/>
  <c r="AE5" i="50"/>
  <c r="AH4" i="50"/>
  <c r="AM4" i="50"/>
  <c r="Z4" i="50"/>
  <c r="AL4" i="50"/>
  <c r="Z6" i="50"/>
  <c r="R6" i="50"/>
  <c r="AF6" i="50"/>
  <c r="AM6" i="50"/>
  <c r="M8" i="50"/>
  <c r="AF8" i="50"/>
  <c r="AL8" i="50"/>
  <c r="AF7" i="50"/>
  <c r="Z7" i="50"/>
  <c r="AM7" i="50"/>
  <c r="N5" i="48"/>
  <c r="N4" i="48"/>
  <c r="N7" i="48"/>
  <c r="N8" i="48"/>
  <c r="N6" i="48"/>
  <c r="V5" i="48"/>
  <c r="V6" i="48"/>
  <c r="V8" i="48"/>
  <c r="V4" i="48"/>
  <c r="V7" i="48"/>
  <c r="AD5" i="48"/>
  <c r="AD6" i="48"/>
  <c r="AD4" i="48"/>
  <c r="AD7" i="48"/>
  <c r="AD8" i="48"/>
  <c r="AL4" i="48"/>
  <c r="AL5" i="48"/>
  <c r="AL7" i="48"/>
  <c r="AL6" i="48"/>
  <c r="AL8" i="48"/>
  <c r="J5" i="50"/>
  <c r="T5" i="50"/>
  <c r="Y4" i="50"/>
  <c r="T4" i="50"/>
  <c r="L4" i="50"/>
  <c r="AE6" i="50"/>
  <c r="L6" i="50"/>
  <c r="S6" i="50"/>
  <c r="AG8" i="50"/>
  <c r="Y8" i="50"/>
  <c r="W7" i="50"/>
  <c r="O7" i="50"/>
  <c r="M7" i="50"/>
  <c r="I7" i="50"/>
  <c r="K5" i="48"/>
  <c r="K7" i="48"/>
  <c r="K4" i="48"/>
  <c r="K6" i="48"/>
  <c r="K8" i="48"/>
  <c r="AI6" i="48"/>
  <c r="AI7" i="48"/>
  <c r="AI8" i="48"/>
  <c r="AI4" i="48"/>
  <c r="AI5" i="48"/>
  <c r="L7" i="48"/>
  <c r="L6" i="48"/>
  <c r="L5" i="48"/>
  <c r="L8" i="48"/>
  <c r="L4" i="48"/>
  <c r="T5" i="48"/>
  <c r="T6" i="48"/>
  <c r="T4" i="48"/>
  <c r="T8" i="48"/>
  <c r="T7" i="48"/>
  <c r="AB8" i="48"/>
  <c r="AB5" i="48"/>
  <c r="AB4" i="48"/>
  <c r="AB7" i="48"/>
  <c r="AB6" i="48"/>
  <c r="AJ6" i="48"/>
  <c r="AJ8" i="48"/>
  <c r="AJ5" i="48"/>
  <c r="AJ7" i="48"/>
  <c r="AJ4" i="48"/>
  <c r="S5" i="50"/>
  <c r="AB4" i="50"/>
  <c r="K4" i="50"/>
  <c r="S4" i="50"/>
  <c r="AL6" i="50"/>
  <c r="AB6" i="50"/>
  <c r="P8" i="50"/>
  <c r="O8" i="50"/>
  <c r="AK7" i="50"/>
  <c r="V7" i="50"/>
  <c r="S8" i="48"/>
  <c r="S5" i="48"/>
  <c r="S6" i="48"/>
  <c r="S4" i="48"/>
  <c r="S7" i="48"/>
  <c r="AA5" i="48"/>
  <c r="AA6" i="48"/>
  <c r="AA8" i="48"/>
  <c r="AA7" i="48"/>
  <c r="AA4" i="48"/>
  <c r="M8" i="48"/>
  <c r="M6" i="48"/>
  <c r="M5" i="48"/>
  <c r="M4" i="48"/>
  <c r="M7" i="48"/>
  <c r="U5" i="48"/>
  <c r="U8" i="48"/>
  <c r="U7" i="48"/>
  <c r="U6" i="48"/>
  <c r="U4" i="48"/>
  <c r="AC8" i="48"/>
  <c r="AC4" i="48"/>
  <c r="AC5" i="48"/>
  <c r="AC7" i="48"/>
  <c r="AC6" i="48"/>
  <c r="AK6" i="48"/>
  <c r="AK7" i="48"/>
  <c r="AK8" i="48"/>
  <c r="AK5" i="48"/>
  <c r="AK4" i="48"/>
  <c r="AK5" i="50"/>
  <c r="AG5" i="50"/>
  <c r="V5" i="50"/>
  <c r="U4" i="50"/>
  <c r="U6" i="50"/>
</calcChain>
</file>

<file path=xl/metadata.xml><?xml version="1.0" encoding="utf-8"?>
<metadata xmlns="http://schemas.openxmlformats.org/spreadsheetml/2006/main" xmlns:xlrd="http://schemas.microsoft.com/office/spreadsheetml/2017/richdata">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<sst xmlns="http://schemas.openxmlformats.org/spreadsheetml/2006/main" count="7611" uniqueCount="1946">
  <si>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</si>
  <si>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</si>
  <si>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</si>
  <si>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</si>
  <si>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</si>
  <si>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</si>
  <si>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</si>
  <si>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</si>
  <si>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</si>
  <si>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</si>
  <si>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</si>
  <si>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</si>
  <si>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</si>
  <si>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</si>
  <si>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</si>
  <si>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</si>
  <si>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</si>
  <si>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</si>
  <si>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</si>
  <si>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</si>
  <si>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</si>
  <si>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</si>
  <si>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</si>
  <si>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</si>
  <si>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</si>
  <si>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</si>
  <si>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</si>
  <si>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</si>
  <si>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</si>
  <si>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</si>
  <si>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</si>
  <si>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</si>
  <si>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</si>
  <si>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</si>
  <si>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</si>
  <si>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</si>
  <si>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</si>
  <si>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</si>
  <si>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</si>
  <si>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</si>
  <si>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</si>
  <si>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</si>
  <si>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</si>
  <si>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</si>
  <si>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</si>
  <si>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</si>
  <si>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</si>
  <si>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</si>
  <si>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</si>
  <si>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</si>
  <si>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</si>
  <si>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</si>
  <si>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</si>
  <si>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</si>
  <si>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</si>
  <si>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</si>
  <si>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</si>
  <si>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</si>
  <si>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</si>
  <si>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</si>
  <si>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</si>
  <si>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</si>
  <si>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</si>
  <si>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</si>
  <si>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</si>
  <si>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</si>
  <si>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</si>
  <si>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</si>
  <si>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</si>
  <si>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</si>
  <si>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</si>
  <si>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</si>
  <si>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</si>
  <si>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</si>
  <si>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</si>
  <si>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</si>
  <si>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</si>
  <si>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</si>
  <si>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</si>
  <si>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</si>
  <si>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</si>
  <si>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</si>
  <si>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</si>
  <si>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</si>
  <si>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</si>
  <si>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</si>
  <si>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</si>
  <si>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</si>
  <si>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</si>
  <si>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</si>
  <si>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</si>
  <si>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</si>
  <si>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</si>
  <si>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</si>
  <si>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</si>
  <si>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</si>
  <si>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</si>
  <si>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</si>
  <si>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</si>
  <si>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</si>
  <si>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</si>
  <si>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</si>
  <si>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</si>
  <si>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</si>
  <si>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</si>
  <si>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</si>
  <si>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</si>
  <si>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</si>
  <si>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</si>
  <si>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</si>
  <si>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</si>
  <si>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</si>
  <si>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</si>
  <si>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</si>
  <si>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</si>
  <si>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</si>
  <si>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</si>
  <si>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</si>
  <si>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</si>
  <si>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</si>
  <si>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</si>
  <si>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</si>
  <si>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</si>
  <si>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</si>
  <si>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</si>
  <si>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</si>
  <si>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</si>
  <si>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</si>
  <si>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</si>
  <si>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</si>
  <si>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</si>
  <si>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</si>
  <si>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</si>
  <si>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</si>
  <si>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</si>
  <si>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</si>
  <si>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</si>
  <si>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</si>
  <si>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</si>
  <si>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</si>
  <si>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</si>
  <si>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</si>
  <si>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</si>
  <si>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</si>
  <si>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</si>
  <si>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</si>
  <si>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</si>
  <si>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</si>
  <si>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</si>
  <si>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</si>
  <si>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</si>
  <si>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</si>
  <si>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</si>
  <si>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</si>
  <si>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</si>
  <si>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</si>
  <si>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</si>
  <si>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</si>
  <si>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</si>
  <si>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</si>
  <si>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</si>
  <si>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</si>
  <si>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</si>
  <si>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</si>
  <si>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</si>
  <si>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</si>
  <si>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</si>
  <si>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</si>
  <si>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</si>
  <si>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</si>
  <si>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</si>
  <si>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</si>
  <si>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</si>
  <si>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</si>
  <si>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</si>
  <si>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</si>
  <si>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</si>
  <si>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</si>
  <si>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</si>
  <si>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</si>
  <si>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</si>
  <si>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</si>
  <si>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</si>
  <si>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</si>
  <si>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</si>
  <si>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</si>
  <si>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</si>
  <si>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</si>
  <si>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</si>
  <si>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</si>
  <si>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</si>
  <si>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</si>
  <si>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</si>
  <si>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</si>
  <si>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</si>
  <si>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</si>
  <si>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</si>
  <si>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</si>
  <si>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</si>
  <si>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</si>
  <si>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</si>
  <si>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</si>
  <si>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</si>
  <si>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</si>
  <si>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</si>
  <si>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</si>
  <si>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</si>
  <si>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</si>
  <si>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</si>
  <si>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</si>
  <si>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</si>
  <si>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</si>
  <si>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</si>
  <si>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</si>
  <si>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</si>
  <si>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</si>
  <si>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</si>
  <si>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</si>
  <si>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</si>
  <si>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</si>
  <si>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</si>
  <si>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</si>
  <si>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</si>
  <si>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</si>
  <si>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</si>
  <si>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</si>
  <si>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</si>
  <si>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</si>
  <si>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</si>
  <si>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</si>
  <si>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</si>
  <si>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</si>
  <si>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</si>
  <si>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</si>
  <si>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</si>
  <si>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</si>
  <si>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</si>
  <si>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</si>
  <si>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</si>
  <si>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</si>
  <si>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</si>
  <si>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</si>
  <si>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</si>
  <si>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</si>
  <si>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</si>
  <si>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</si>
  <si>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</si>
  <si>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</si>
  <si>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</si>
  <si>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</si>
  <si>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</si>
  <si>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</si>
  <si>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</si>
  <si>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</si>
  <si>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</si>
  <si>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</si>
  <si>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</si>
  <si>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</si>
  <si>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</si>
  <si>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</si>
  <si>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</si>
  <si>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</si>
  <si>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</si>
  <si>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</si>
  <si>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</si>
  <si>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</si>
  <si>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</si>
  <si>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</si>
  <si>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</si>
  <si>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</si>
  <si>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</si>
  <si>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</si>
  <si>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</si>
  <si>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</si>
  <si>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</si>
  <si>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</si>
  <si>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</si>
  <si>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</si>
  <si>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</si>
  <si>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</si>
  <si>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</si>
  <si>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</si>
  <si>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</si>
  <si>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</si>
  <si>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</si>
  <si>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</si>
  <si>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</si>
  <si>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</si>
  <si>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</si>
  <si>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</si>
  <si>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</si>
  <si>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</si>
  <si>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</si>
  <si>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</si>
  <si>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</si>
  <si>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</si>
  <si>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</si>
  <si>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</si>
  <si>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</si>
  <si>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</si>
  <si>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</si>
  <si>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</si>
  <si>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</si>
  <si>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</si>
  <si>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</si>
  <si>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</si>
  <si>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</si>
  <si>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</si>
  <si>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</si>
  <si>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</si>
  <si>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</si>
  <si>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</si>
  <si>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</si>
  <si>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</si>
  <si>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</si>
  <si>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</si>
  <si>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</si>
  <si>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</si>
  <si>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</si>
  <si>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</si>
  <si>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</si>
  <si>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</si>
  <si>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</si>
  <si>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</si>
  <si>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</si>
  <si>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</si>
  <si>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</si>
  <si>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</si>
  <si>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</si>
  <si>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</si>
  <si>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</si>
  <si>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</si>
  <si>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</si>
  <si>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</si>
  <si>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</si>
  <si>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</si>
  <si>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</si>
  <si>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</si>
  <si>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</si>
  <si>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</si>
  <si>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</si>
  <si>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</si>
  <si>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</si>
  <si>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</si>
  <si>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</si>
  <si>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</si>
  <si>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</si>
  <si>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</si>
  <si>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</si>
  <si>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</si>
  <si>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</si>
  <si>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</si>
  <si>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</si>
  <si>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</si>
  <si>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</si>
  <si>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</si>
  <si>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</si>
  <si>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</si>
  <si>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</si>
  <si>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</si>
  <si>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</si>
  <si>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</si>
  <si>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</si>
  <si>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</si>
  <si>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</si>
  <si>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</si>
  <si>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</si>
  <si>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</si>
  <si>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</si>
  <si>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</si>
  <si>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</si>
  <si>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</si>
  <si>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</si>
  <si>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</si>
  <si>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</si>
  <si>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</si>
  <si>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</si>
  <si>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</si>
  <si>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</si>
  <si>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</si>
  <si>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</si>
  <si>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</si>
  <si>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</si>
  <si>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</si>
  <si>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</si>
  <si>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</si>
  <si>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</si>
  <si>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</si>
  <si>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</si>
  <si>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</si>
  <si>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</si>
  <si>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</si>
  <si>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</si>
  <si>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</si>
  <si>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</si>
  <si>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</si>
  <si>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</si>
  <si>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</si>
  <si>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</si>
  <si>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</si>
  <si>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</si>
  <si>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</si>
  <si>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</si>
  <si>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</si>
  <si>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</si>
  <si>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</si>
  <si>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</si>
  <si>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</si>
  <si>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</si>
  <si>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</si>
  <si>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</si>
  <si>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</si>
  <si>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</si>
  <si>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</si>
  <si>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</si>
  <si>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</si>
  <si>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</si>
  <si>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</si>
  <si>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</si>
  <si>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</si>
  <si>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</si>
  <si>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</si>
  <si>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</si>
  <si>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</si>
  <si>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</si>
  <si>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</si>
  <si>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</si>
  <si>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</si>
  <si>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</si>
  <si>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</si>
  <si>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</si>
  <si>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</si>
  <si>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</si>
  <si>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</si>
  <si>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</si>
  <si>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</si>
  <si>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</si>
  <si>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</si>
  <si>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</si>
  <si>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</si>
  <si>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</si>
  <si>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</si>
  <si>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</si>
  <si>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</si>
  <si>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</si>
  <si>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</si>
  <si>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</si>
  <si>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</si>
  <si>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</si>
  <si>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</si>
  <si>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</si>
  <si>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</si>
  <si>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</si>
  <si>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</si>
  <si>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</si>
  <si>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</si>
  <si>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</si>
  <si>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</si>
  <si>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</si>
  <si>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</si>
  <si>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</si>
  <si>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</si>
  <si>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</si>
  <si>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</si>
  <si>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</si>
  <si>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</si>
  <si>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</si>
  <si>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</si>
  <si>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</si>
  <si>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</si>
  <si>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</si>
  <si>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</si>
  <si>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</si>
  <si>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</si>
  <si>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</si>
  <si>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</si>
  <si>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</si>
  <si>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</si>
  <si>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</si>
  <si>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</si>
  <si>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</si>
  <si>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</si>
  <si>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</si>
  <si>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</si>
  <si>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</si>
  <si>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</si>
  <si>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</si>
  <si>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</si>
  <si>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</si>
  <si>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</si>
  <si>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</si>
  <si>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</si>
  <si>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</si>
  <si>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</si>
  <si>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</si>
  <si>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</si>
  <si>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</si>
  <si>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</si>
  <si>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</si>
  <si>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</si>
  <si>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</si>
  <si>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</si>
  <si>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</si>
  <si>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</si>
  <si>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</si>
  <si>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</si>
  <si>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</si>
  <si>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</si>
  <si>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</si>
  <si>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</si>
  <si>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</si>
  <si>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</si>
  <si>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</si>
  <si>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</si>
  <si>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</si>
  <si>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</si>
  <si>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</si>
  <si>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</si>
  <si>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</si>
  <si>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</si>
  <si>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</si>
  <si>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</si>
  <si>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</si>
  <si>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</si>
  <si>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</si>
  <si>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</si>
  <si>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</si>
  <si>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</si>
  <si>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</si>
  <si>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</si>
  <si>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</si>
  <si>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</si>
  <si>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</si>
  <si>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</si>
  <si>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</si>
  <si>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</si>
  <si>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</si>
  <si>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</si>
  <si>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</si>
  <si>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</si>
  <si>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</si>
  <si>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</si>
  <si>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</si>
  <si>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</si>
  <si>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</si>
  <si>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</si>
  <si>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</si>
  <si>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</si>
  <si>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</si>
  <si>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</si>
  <si>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</si>
  <si>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</si>
  <si>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</si>
  <si>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</si>
  <si>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</si>
  <si>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</si>
  <si>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</si>
  <si>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</si>
  <si>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</si>
  <si>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</si>
  <si>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</si>
  <si>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</si>
  <si>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</si>
  <si>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</si>
  <si>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</si>
  <si>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</si>
  <si>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</si>
  <si>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</si>
  <si>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</si>
  <si>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</si>
  <si>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</si>
  <si>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</si>
  <si>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</si>
  <si>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</si>
  <si>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</si>
  <si>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</si>
  <si>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</si>
  <si>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</si>
  <si>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</si>
  <si>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</si>
  <si>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</si>
  <si>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</si>
  <si>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</si>
  <si>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</si>
  <si>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</si>
  <si>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</si>
  <si>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</si>
  <si>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</si>
  <si>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</si>
  <si>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</si>
  <si>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</si>
  <si>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</si>
  <si>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</si>
  <si>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</si>
  <si>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</si>
  <si>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</si>
  <si>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</si>
  <si>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</si>
  <si>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</si>
  <si>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</si>
  <si>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</si>
  <si>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</si>
  <si>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</si>
  <si>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</si>
  <si>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</si>
  <si>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</si>
  <si>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</si>
  <si>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</si>
  <si>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</si>
  <si>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</si>
  <si>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</si>
  <si>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</si>
  <si>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</si>
  <si>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</si>
  <si>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</si>
  <si>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</si>
  <si>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</si>
  <si>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</si>
  <si>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</si>
  <si>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</si>
  <si>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</si>
  <si>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</si>
  <si>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</si>
  <si>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</si>
  <si>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</si>
  <si>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</si>
  <si>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</si>
  <si>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</si>
  <si>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</si>
  <si>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</si>
  <si>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</si>
  <si>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</si>
  <si>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</si>
  <si>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</si>
  <si>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</si>
  <si>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</si>
  <si>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</si>
  <si>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</si>
  <si>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</si>
  <si>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</si>
  <si>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</si>
  <si>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</si>
  <si>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</si>
  <si>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</si>
  <si>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</si>
  <si>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</si>
  <si>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</si>
  <si>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</si>
  <si>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</si>
  <si>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</si>
  <si>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</si>
  <si>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</si>
  <si>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</si>
  <si>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</si>
  <si>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</si>
  <si>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</si>
  <si>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</si>
  <si>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</si>
  <si>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</si>
  <si>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</si>
  <si>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</si>
  <si>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</si>
  <si>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</si>
  <si>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</si>
  <si>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</si>
  <si>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</si>
  <si>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</si>
  <si>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</si>
  <si>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</si>
  <si>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</si>
  <si>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</si>
  <si>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</si>
  <si>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</si>
  <si>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</si>
  <si>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</si>
  <si>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</si>
  <si>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</si>
  <si>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</si>
  <si>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</si>
  <si>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</si>
  <si>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</si>
  <si>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</si>
  <si>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</si>
  <si>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</si>
  <si>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</si>
  <si>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</si>
  <si>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</si>
  <si>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</si>
  <si>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</si>
  <si>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</si>
  <si>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</si>
  <si>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</si>
  <si>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</si>
  <si>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</si>
  <si>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</si>
  <si>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</si>
  <si>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</si>
  <si>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</si>
  <si>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</si>
  <si>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</si>
  <si>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</si>
  <si>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</si>
  <si>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</si>
  <si>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</si>
  <si>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</si>
  <si>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</si>
  <si>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</si>
  <si>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</si>
  <si>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</si>
  <si>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</si>
  <si>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</si>
  <si>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</si>
  <si>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</si>
  <si>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</si>
  <si>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</si>
  <si>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</si>
  <si>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</si>
  <si>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</si>
  <si>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</si>
  <si>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</si>
  <si>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</si>
  <si>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</si>
  <si>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</si>
  <si>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</si>
  <si>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</si>
  <si>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</si>
  <si>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</si>
  <si>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</si>
  <si>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</si>
  <si>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</si>
  <si>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</si>
  <si>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</si>
  <si>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</si>
  <si>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</si>
  <si>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</si>
  <si>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</si>
  <si>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</si>
  <si>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</si>
  <si>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</si>
  <si>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</si>
  <si>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</si>
  <si>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</si>
  <si>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</si>
  <si>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</si>
  <si>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</si>
  <si>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</si>
  <si>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</si>
  <si>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</si>
  <si>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</si>
  <si>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</si>
  <si>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</si>
  <si>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</si>
  <si>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</si>
  <si>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</si>
  <si>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</si>
  <si>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</si>
  <si>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</si>
  <si>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</si>
  <si>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</si>
  <si>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</si>
  <si>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</si>
  <si>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</si>
  <si>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</si>
  <si>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</si>
  <si>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</si>
  <si>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</si>
  <si>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</si>
  <si>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</si>
  <si>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</si>
  <si>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</si>
  <si>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</si>
  <si>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</si>
  <si>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</si>
  <si>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</si>
  <si>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</si>
  <si>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</si>
  <si>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</si>
  <si>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</si>
  <si>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</si>
  <si>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</si>
  <si>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</si>
  <si>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</si>
  <si>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</si>
  <si>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</si>
  <si>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</si>
  <si>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</si>
  <si>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</si>
  <si>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</si>
  <si>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</si>
  <si>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</si>
  <si>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</si>
  <si>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</si>
  <si>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</si>
  <si>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</si>
  <si>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</si>
  <si>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</si>
  <si>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</si>
  <si>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</si>
  <si>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</si>
  <si>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</si>
  <si>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</si>
  <si>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</si>
  <si>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</si>
  <si>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</si>
  <si>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</si>
  <si>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</si>
  <si>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</si>
  <si>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</si>
  <si>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</si>
  <si>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</si>
  <si>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</si>
  <si>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</si>
  <si>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</si>
  <si>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</si>
  <si>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</si>
  <si>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</si>
  <si>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</si>
  <si>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</si>
  <si>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</si>
  <si>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</si>
  <si>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</si>
  <si>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</si>
  <si>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</si>
  <si>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</si>
  <si>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</si>
  <si>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</si>
  <si>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</si>
  <si>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</si>
  <si>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</si>
  <si>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</si>
  <si>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</si>
  <si>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</si>
  <si>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</si>
  <si>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</si>
  <si>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</si>
  <si>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</si>
  <si>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</si>
  <si>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</si>
  <si>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</si>
  <si>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</si>
  <si>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</si>
  <si>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</si>
  <si>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</si>
  <si>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</si>
  <si>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</si>
  <si>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</si>
  <si>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</si>
  <si>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</si>
  <si>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</si>
  <si>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</si>
  <si>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</si>
  <si>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</si>
  <si>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</si>
  <si>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</si>
  <si>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</si>
  <si>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</si>
  <si>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</si>
  <si>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</si>
  <si>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</si>
  <si>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</si>
  <si>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</si>
  <si>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</si>
  <si>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</si>
  <si>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</si>
  <si>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</si>
  <si>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</si>
  <si>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</si>
  <si>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</si>
  <si>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</si>
  <si>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</si>
  <si>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</si>
  <si>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</si>
  <si>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</si>
  <si>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</si>
  <si>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</si>
  <si>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</si>
  <si>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</si>
  <si>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</si>
  <si>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</si>
  <si>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</si>
  <si>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</si>
  <si>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</si>
  <si>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</si>
  <si>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</si>
  <si>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</si>
  <si>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</si>
  <si>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</si>
  <si>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</si>
  <si>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</si>
  <si>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</si>
  <si>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</si>
  <si>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</si>
  <si>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</si>
  <si>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</si>
  <si>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</si>
  <si>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</si>
  <si>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</si>
  <si>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</si>
  <si>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</si>
  <si>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</si>
  <si>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</si>
  <si>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</si>
  <si>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</si>
  <si>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</si>
  <si>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</si>
  <si>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</si>
  <si>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</si>
  <si>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</si>
  <si>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</si>
  <si>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</si>
  <si>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</si>
  <si>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</si>
  <si>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</si>
  <si>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</si>
  <si>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</si>
  <si>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</si>
  <si>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</si>
  <si>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</si>
  <si>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</si>
  <si>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</si>
  <si>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</si>
  <si>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</si>
  <si>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</si>
  <si>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</si>
  <si>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</si>
  <si>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</si>
  <si>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</si>
  <si>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</si>
  <si>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</si>
  <si>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</si>
  <si>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</si>
  <si>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</si>
  <si>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</si>
  <si>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</si>
  <si>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</si>
  <si>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</si>
  <si>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</si>
  <si>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</si>
  <si>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</si>
  <si>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</si>
  <si>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</si>
  <si>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</si>
  <si>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</si>
  <si>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</si>
  <si>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</si>
  <si>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</si>
  <si>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</si>
  <si>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</si>
  <si>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</si>
  <si>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</si>
  <si>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</si>
  <si>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</si>
  <si>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</si>
  <si>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</si>
  <si>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</si>
  <si>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</si>
  <si>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</si>
  <si>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</si>
  <si>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</si>
  <si>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</si>
  <si>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</si>
  <si>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</si>
  <si>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</si>
  <si>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</si>
  <si>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</si>
  <si>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</si>
  <si>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</si>
  <si>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</si>
  <si>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</si>
  <si>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</si>
  <si>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</si>
  <si>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</si>
  <si>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</si>
  <si>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</si>
  <si>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</si>
  <si>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</si>
  <si>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</si>
  <si>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</si>
  <si>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</si>
  <si>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</si>
  <si>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</si>
  <si>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</si>
  <si>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</si>
  <si>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</si>
  <si>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</si>
  <si>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</si>
  <si>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</si>
  <si>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</si>
  <si>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</si>
  <si>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</si>
  <si>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</si>
  <si>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</si>
  <si>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</si>
  <si>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</si>
  <si>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</si>
  <si>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</si>
  <si>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</si>
  <si>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</si>
  <si>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</si>
  <si>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</si>
  <si>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</si>
  <si>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</si>
  <si>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</si>
  <si>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</si>
  <si>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</si>
  <si>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</si>
  <si>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</si>
  <si>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</si>
  <si>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</si>
  <si>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</si>
  <si>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</si>
  <si>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</si>
  <si>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</si>
  <si>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</si>
  <si>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</si>
  <si>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</si>
  <si>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</si>
  <si>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</si>
  <si>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</si>
  <si>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</si>
  <si>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</si>
  <si>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</si>
  <si>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</si>
  <si>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</si>
  <si>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</si>
  <si>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</si>
  <si>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</si>
  <si>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</si>
  <si>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</si>
  <si>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</si>
  <si>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</si>
  <si>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</si>
  <si>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</si>
  <si>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</si>
  <si>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</si>
  <si>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</si>
  <si>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</si>
  <si>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</si>
  <si>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</si>
  <si>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</si>
  <si>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</si>
  <si>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</si>
  <si>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</si>
  <si>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</si>
  <si>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</si>
  <si>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</si>
  <si>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</si>
  <si>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</si>
  <si>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</si>
  <si>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</si>
  <si>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</si>
  <si>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</si>
  <si>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</si>
  <si>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</si>
  <si>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</si>
  <si>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</si>
  <si>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</si>
  <si>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</si>
  <si>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</si>
  <si>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</si>
  <si>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</si>
  <si>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</si>
  <si>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</si>
  <si>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</si>
  <si>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</si>
  <si>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</si>
  <si>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</si>
  <si>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</si>
  <si>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</si>
  <si>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</si>
  <si>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</si>
  <si>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</si>
  <si>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</si>
  <si>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</si>
  <si>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</si>
  <si>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</si>
  <si>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</si>
  <si>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</si>
  <si>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</si>
  <si>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</si>
  <si>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</si>
  <si>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</si>
  <si>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</si>
  <si>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</si>
  <si>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</si>
  <si>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</si>
  <si>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</si>
  <si>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</si>
  <si>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</si>
  <si>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</si>
  <si>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</si>
  <si>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</si>
  <si>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</si>
  <si>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</si>
  <si>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</si>
  <si>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</si>
  <si>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</si>
  <si>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</si>
  <si>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</si>
  <si>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</si>
  <si>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</si>
  <si>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</si>
  <si>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</si>
  <si>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</si>
  <si>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</si>
  <si>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</si>
  <si>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</si>
  <si>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</si>
  <si>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</si>
  <si>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</si>
  <si>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</si>
  <si>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</si>
  <si>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</si>
  <si>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</si>
  <si>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</si>
  <si>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</si>
  <si>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</si>
  <si>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</si>
  <si>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</si>
  <si>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</si>
  <si>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</si>
  <si>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</si>
  <si>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</si>
  <si>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</si>
  <si>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</si>
  <si>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</si>
  <si>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</si>
  <si>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</si>
  <si>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</si>
  <si>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</si>
  <si>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</si>
  <si>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</si>
  <si>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</si>
  <si>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</si>
  <si>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</si>
  <si>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</si>
  <si>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</si>
  <si>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</si>
  <si>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</si>
  <si>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</si>
  <si>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</si>
  <si>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</si>
  <si>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</si>
  <si>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</si>
  <si>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</si>
  <si>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</si>
  <si>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</si>
  <si>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</si>
  <si>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</si>
  <si>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</si>
  <si>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</si>
  <si>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</si>
  <si>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</si>
  <si>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</si>
  <si>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</si>
  <si>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</si>
  <si>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</si>
  <si>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</si>
  <si>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</si>
  <si>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</si>
  <si>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</si>
  <si>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</si>
  <si>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</si>
  <si>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</si>
  <si>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</si>
  <si>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</si>
  <si>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</si>
  <si>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</si>
  <si>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</si>
  <si>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</si>
  <si>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</si>
  <si>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</si>
  <si>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</si>
  <si>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</si>
  <si>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</si>
  <si>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</si>
  <si>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</si>
  <si>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</si>
  <si>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</si>
  <si>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</si>
  <si>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</si>
  <si>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</si>
  <si>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</si>
  <si>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</si>
  <si>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</si>
  <si>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</si>
  <si>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</si>
  <si>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</si>
  <si>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</si>
  <si>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</si>
  <si>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</si>
  <si>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</si>
  <si>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</si>
  <si>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</si>
  <si>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</si>
  <si>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</si>
  <si>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</si>
  <si>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</si>
  <si>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</si>
  <si>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</si>
  <si>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</si>
  <si>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</si>
  <si>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</si>
  <si>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</si>
  <si>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</si>
  <si>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</si>
  <si>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</si>
  <si>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</si>
  <si>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</si>
  <si>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</si>
  <si>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</si>
  <si>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</si>
  <si>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</si>
  <si>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</si>
  <si>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</si>
  <si>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</si>
  <si>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</si>
  <si>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</si>
  <si>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</si>
  <si>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</si>
  <si>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</si>
  <si>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</si>
  <si>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</si>
  <si>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</si>
  <si>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</si>
  <si>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</si>
  <si>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</si>
  <si>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</si>
  <si>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</si>
  <si>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</si>
  <si>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</si>
  <si>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</si>
  <si>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</si>
  <si>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</si>
  <si>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</si>
  <si>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</si>
  <si>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</si>
  <si>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</si>
  <si>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</si>
  <si>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</si>
  <si>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</si>
  <si>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</si>
  <si>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</si>
  <si>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</si>
  <si>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</si>
  <si>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</si>
  <si>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</si>
  <si>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</si>
  <si>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</si>
  <si>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</si>
  <si>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</si>
  <si>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</si>
  <si>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</si>
  <si>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</si>
  <si>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</si>
  <si>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</si>
  <si>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</si>
  <si>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</si>
  <si>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</si>
  <si>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</si>
  <si>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</si>
  <si>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</si>
  <si>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</si>
  <si>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</si>
  <si>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</si>
  <si>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</si>
  <si>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</si>
  <si>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</si>
  <si>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</si>
  <si>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</si>
  <si>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</si>
  <si>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</si>
  <si>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</si>
  <si>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</si>
  <si>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</si>
  <si>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</si>
  <si>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</si>
  <si>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</si>
  <si>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</si>
  <si>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</si>
  <si>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</si>
  <si>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</si>
  <si>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</si>
  <si>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</si>
  <si>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</si>
  <si>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</si>
  <si>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</si>
  <si>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</si>
  <si>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</si>
  <si>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</si>
  <si>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</si>
  <si>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</si>
  <si>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</si>
  <si>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</si>
  <si>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</si>
  <si>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</si>
  <si>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</si>
  <si>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</si>
  <si>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</si>
  <si>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</si>
  <si>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</si>
  <si>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</si>
  <si>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</si>
  <si>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</si>
  <si>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</si>
  <si>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</si>
  <si>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</si>
  <si>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</si>
  <si>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</si>
  <si>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</si>
  <si>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</si>
  <si>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</si>
  <si>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</si>
  <si>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</si>
  <si>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</si>
  <si>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</si>
  <si>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</si>
  <si>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</si>
  <si>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</si>
  <si>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</si>
  <si>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</si>
  <si>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</si>
  <si>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</si>
  <si>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</si>
  <si>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</si>
  <si>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</si>
  <si>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</si>
  <si>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</si>
  <si>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</si>
  <si>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</si>
  <si>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</si>
  <si>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</si>
  <si>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</si>
  <si>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</si>
  <si>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</si>
  <si>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</si>
  <si>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</si>
  <si>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</si>
  <si>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</si>
  <si>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</si>
  <si>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</si>
  <si>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</si>
  <si>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</si>
  <si>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</si>
  <si>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</si>
  <si>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</si>
  <si>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</si>
  <si>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</si>
  <si>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</si>
  <si>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</si>
  <si>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</si>
  <si>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</si>
  <si>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</si>
  <si>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</si>
  <si>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</si>
  <si>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</si>
  <si>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</si>
  <si>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</si>
  <si>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</si>
  <si>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</si>
  <si>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</si>
  <si>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</si>
  <si>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</si>
  <si>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</si>
  <si>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</si>
  <si>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</si>
  <si>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</si>
  <si>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</si>
  <si>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</si>
  <si>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</si>
  <si>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</si>
  <si>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</si>
  <si>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</si>
  <si>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</si>
  <si>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</si>
  <si>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</si>
  <si>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</si>
  <si>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</si>
  <si>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</si>
  <si>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</si>
  <si>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</si>
  <si>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</si>
  <si>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</si>
  <si>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</si>
  <si>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</si>
  <si>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</si>
  <si>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</si>
  <si>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</si>
  <si>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</si>
  <si>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</si>
  <si>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</si>
  <si>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</si>
  <si>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</si>
  <si>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</si>
  <si>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</si>
  <si>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</si>
  <si>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</si>
  <si>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</si>
  <si>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</si>
  <si>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</si>
  <si>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</si>
  <si>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</si>
  <si>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</si>
  <si>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</si>
  <si>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</si>
  <si>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</si>
  <si>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</si>
  <si>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</si>
  <si>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</si>
  <si>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</si>
  <si>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</si>
  <si>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</si>
  <si>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</si>
  <si>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</si>
  <si>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</si>
  <si>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</si>
  <si>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</si>
  <si>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</si>
  <si>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</si>
  <si>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</si>
  <si>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</si>
  <si>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</si>
  <si>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</si>
  <si>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</si>
  <si>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</si>
  <si>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</si>
  <si>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</si>
  <si>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</si>
  <si>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</si>
  <si>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</si>
  <si>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</si>
  <si>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</si>
  <si>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</si>
  <si>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</si>
  <si>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</si>
  <si>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</si>
  <si>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</si>
  <si>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</si>
  <si>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</si>
  <si>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</si>
  <si>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</si>
  <si>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</si>
  <si>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</si>
  <si>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</si>
  <si>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</si>
  <si>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</si>
  <si>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</si>
  <si>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</si>
  <si>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</si>
  <si>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</si>
  <si>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</si>
  <si>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</si>
  <si>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</si>
  <si>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</si>
  <si>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</si>
  <si>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</si>
  <si>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</si>
  <si>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</si>
  <si>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</si>
  <si>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</si>
  <si>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</si>
  <si>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</si>
  <si>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</si>
  <si>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</si>
  <si>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</si>
  <si>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</si>
  <si>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</si>
  <si>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</si>
  <si>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</si>
  <si>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</si>
  <si>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</si>
  <si>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</si>
  <si>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</si>
  <si>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</si>
  <si>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</si>
  <si>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</si>
  <si>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</si>
  <si>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</si>
  <si>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</si>
  <si>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</si>
  <si>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</si>
  <si>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</si>
  <si>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</si>
  <si>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</si>
  <si>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</si>
  <si>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</si>
  <si>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</si>
  <si>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</si>
  <si>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</si>
  <si>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</si>
  <si>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</si>
  <si>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</si>
  <si>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</si>
  <si>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</si>
  <si>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</si>
  <si>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</si>
  <si>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</si>
  <si>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</si>
  <si>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</si>
  <si>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</si>
  <si>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</si>
  <si>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</si>
  <si>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</si>
  <si>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</si>
  <si>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</si>
  <si>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</si>
  <si>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</si>
  <si>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</si>
  <si>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</si>
  <si>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</si>
  <si>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</si>
  <si>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</si>
  <si>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</si>
  <si>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</si>
  <si>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</si>
  <si>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</si>
  <si>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</si>
  <si>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</si>
  <si>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</si>
  <si>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</si>
  <si>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</si>
  <si>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</si>
  <si>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</si>
  <si>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</si>
  <si>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</si>
  <si>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</si>
  <si>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</si>
  <si>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</si>
  <si>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</si>
  <si>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</si>
  <si>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</si>
  <si>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</si>
  <si>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</si>
  <si>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</si>
  <si>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</si>
  <si>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</si>
  <si>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</si>
  <si>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</si>
  <si>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</si>
  <si>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</si>
  <si>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</si>
  <si>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</si>
  <si>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</si>
  <si>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</si>
  <si>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</si>
  <si>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</si>
  <si>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</si>
  <si>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</si>
  <si>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</si>
  <si>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</si>
  <si>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</si>
  <si>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</si>
  <si>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</si>
  <si>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</si>
  <si>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</si>
  <si>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</si>
  <si>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</si>
  <si>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</si>
  <si>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</si>
  <si>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</si>
  <si>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</si>
  <si>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</si>
  <si>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</si>
  <si>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</si>
  <si>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</si>
  <si>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</si>
  <si>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</si>
  <si>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</si>
  <si>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</si>
  <si>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</si>
  <si>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</si>
  <si>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</si>
  <si>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</si>
  <si>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</si>
  <si>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</si>
  <si>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</si>
  <si>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</si>
  <si>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</si>
  <si>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</si>
  <si>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</si>
  <si>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</si>
  <si>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</si>
  <si>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</si>
  <si>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</si>
  <si>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</si>
  <si>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</si>
  <si>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</si>
  <si>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</si>
  <si>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</si>
  <si>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</si>
  <si>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</si>
  <si>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</si>
  <si>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</si>
  <si>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</si>
  <si>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</si>
  <si>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</si>
  <si>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</si>
  <si>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</si>
  <si>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</si>
  <si>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</si>
  <si>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</si>
  <si>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</si>
  <si>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</si>
  <si>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</si>
  <si>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</si>
  <si>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</si>
  <si>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</si>
  <si>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</si>
  <si>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</si>
  <si>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</si>
  <si>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</si>
  <si>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</si>
  <si>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</si>
  <si>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</si>
  <si>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</si>
  <si>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</si>
  <si>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</si>
  <si>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</si>
  <si>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</si>
  <si>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</si>
  <si>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</si>
  <si>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</si>
  <si>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</si>
  <si>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</si>
  <si>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</si>
  <si>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</si>
  <si>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</si>
  <si>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</si>
  <si>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</si>
  <si>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</si>
  <si>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</si>
  <si>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</si>
  <si>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</si>
  <si>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</si>
  <si>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</si>
  <si>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</si>
  <si>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</si>
  <si>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</si>
  <si>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</si>
  <si>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</si>
  <si>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</si>
  <si>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</si>
  <si>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</si>
  <si>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</si>
  <si>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</si>
  <si>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</si>
  <si>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</si>
  <si>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</si>
  <si>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</si>
  <si>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</si>
  <si>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</si>
  <si>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</si>
  <si>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</si>
  <si>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</si>
  <si>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</si>
  <si>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</si>
  <si>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</si>
  <si>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</si>
  <si>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</si>
  <si>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</si>
  <si>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</si>
  <si>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</si>
  <si>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</si>
  <si>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</si>
  <si>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</si>
  <si>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</si>
  <si>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</si>
  <si>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</si>
  <si>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</si>
  <si>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</si>
  <si>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</si>
  <si>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</si>
  <si>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</si>
  <si>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</si>
  <si>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</si>
  <si>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</si>
  <si>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</si>
  <si>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</si>
  <si>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</si>
  <si>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</si>
  <si>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</si>
  <si>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</si>
  <si>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</si>
  <si>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</si>
  <si>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</si>
  <si>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</si>
  <si>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</si>
  <si>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</si>
  <si>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</si>
  <si>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</si>
  <si>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</si>
  <si>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</si>
  <si>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</si>
  <si>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</si>
  <si>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</si>
  <si>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</si>
  <si>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</si>
  <si>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</si>
  <si>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</si>
  <si>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</si>
  <si>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</si>
  <si>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</si>
  <si>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</si>
  <si>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</si>
  <si>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</si>
  <si>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</si>
  <si>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</si>
  <si>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</si>
  <si>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</si>
  <si>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</si>
  <si>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</si>
  <si>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</si>
  <si>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</si>
  <si>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</si>
  <si>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</si>
  <si>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</si>
  <si>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</si>
  <si>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</si>
  <si>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</si>
  <si>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</si>
  <si>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</si>
  <si>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</si>
  <si>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</si>
  <si>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</si>
  <si>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</si>
  <si>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</si>
  <si>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</si>
  <si>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</si>
  <si>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</si>
  <si>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</si>
  <si>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</si>
  <si>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</si>
  <si>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</si>
  <si>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</si>
  <si>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</si>
  <si>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</si>
  <si>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</si>
  <si>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</si>
  <si>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</si>
  <si>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</si>
  <si>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</si>
  <si>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</si>
  <si>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</si>
  <si>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</si>
  <si>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</si>
  <si>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</si>
  <si>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</si>
  <si>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</si>
  <si>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</si>
  <si>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</si>
  <si>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</si>
  <si>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</si>
  <si>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</si>
  <si>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</si>
  <si>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</si>
  <si>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</si>
  <si>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</si>
  <si>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</si>
  <si>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</si>
  <si>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</si>
  <si>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</si>
  <si>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</si>
  <si>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</si>
  <si>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</si>
  <si>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</si>
  <si>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</si>
  <si>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</si>
  <si>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</si>
  <si>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</si>
  <si>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</si>
  <si>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</si>
  <si>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</si>
  <si>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</si>
  <si>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</si>
  <si>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</si>
  <si>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</si>
  <si>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</si>
  <si>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</si>
  <si>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</si>
  <si>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</si>
  <si>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</si>
  <si>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</si>
  <si>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</si>
  <si>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</si>
  <si>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</si>
  <si>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</si>
  <si>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</si>
  <si>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</si>
  <si>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</si>
  <si>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</si>
  <si>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</si>
  <si>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</si>
  <si>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</si>
  <si>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</si>
  <si>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</si>
  <si>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</si>
  <si>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</si>
  <si>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</si>
  <si>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</si>
  <si>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</si>
  <si>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</si>
  <si>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</si>
  <si>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</si>
  <si>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</si>
  <si>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</si>
  <si>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</si>
  <si>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</si>
  <si>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</si>
  <si>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</si>
  <si>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</si>
  <si>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</si>
  <si>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</si>
  <si>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</si>
  <si>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</si>
  <si>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</si>
  <si>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</si>
  <si>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</si>
  <si>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</si>
  <si>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</si>
  <si>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</si>
  <si>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</si>
  <si>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</si>
  <si>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</si>
  <si>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</si>
  <si>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</si>
  <si>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</si>
  <si>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</si>
  <si>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</si>
  <si>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</si>
  <si>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</si>
  <si>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</si>
  <si>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</si>
  <si>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</si>
  <si>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</si>
  <si>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</si>
  <si>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</si>
  <si>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</si>
  <si>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</si>
  <si>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</si>
  <si>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</si>
  <si>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</si>
  <si>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</si>
  <si>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</si>
  <si>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</si>
  <si>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</si>
  <si>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</si>
  <si>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</si>
  <si>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</si>
  <si>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</si>
  <si>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</si>
  <si>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</si>
  <si>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</si>
  <si>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</si>
  <si>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</si>
  <si>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</si>
  <si>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</si>
  <si>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</si>
  <si>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</si>
  <si>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</si>
  <si>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</si>
  <si>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</si>
  <si>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</si>
  <si>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</si>
  <si>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</si>
  <si>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</si>
  <si>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</si>
  <si>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</si>
  <si>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</si>
  <si>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</si>
  <si>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</si>
  <si>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</si>
  <si>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</si>
  <si>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</si>
  <si>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</si>
  <si>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</si>
  <si>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</si>
  <si>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</si>
  <si>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</si>
  <si>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</si>
  <si>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</si>
  <si>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</si>
  <si>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</si>
  <si>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</si>
  <si>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</si>
  <si>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</si>
  <si>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</si>
  <si>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</si>
  <si>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</si>
  <si>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</si>
  <si>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</si>
  <si>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</si>
  <si>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</si>
  <si>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</si>
  <si>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</si>
  <si>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</si>
  <si>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</si>
  <si>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</si>
  <si>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</si>
  <si>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</si>
  <si>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</si>
  <si>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</si>
  <si>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</si>
  <si>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</si>
  <si>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</si>
  <si>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</si>
  <si>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</si>
  <si>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</si>
  <si>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</si>
  <si>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</si>
  <si>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</si>
  <si>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</si>
  <si>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</si>
  <si>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</si>
  <si>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</si>
  <si>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</si>
  <si>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</si>
  <si>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</si>
  <si>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</si>
  <si>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</si>
  <si>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</si>
  <si>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</si>
  <si>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</si>
  <si>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</si>
  <si>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</si>
  <si>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</si>
  <si>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</si>
  <si>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</si>
  <si>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</si>
  <si>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</si>
  <si>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</si>
  <si>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</si>
  <si>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</si>
  <si>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</si>
  <si>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</si>
  <si>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</si>
  <si>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</si>
  <si>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</si>
  <si>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</si>
  <si>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</si>
  <si>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</si>
  <si>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MBAPPE</t>
  </si>
  <si>
    <t>YAMAL</t>
  </si>
  <si>
    <t>HALLAND</t>
  </si>
  <si>
    <t>VITHINA</t>
  </si>
  <si>
    <t>MBAPEE</t>
  </si>
  <si>
    <t>FODEN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</si>
</sst>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theme="9" tint="0.59996337778862885"/>
        </patternFill>
      </fill>
    </dxf>
    <dxf>
      <fill>
        <patternFill>
          <bgColor rgb="FF00B050"/>
        </patternFill>
      </fill>
    </dxf>
    <dxf>
      <fill>
        <patternFill>
          <bgColor theme="9" tint="0.79998168889431442"/>
        </patternFill>
      </fill>
    </dxf>
    <dxf>
      <fill>
        <patternFill>
          <bgColor rgb="FFD1E7DE"/>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HN"/>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H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Stats!$H$8:$H$31</c:f>
              <c:numCache>
                <c:formatCode>General</c:formatCode>
                <c:ptCount val="24"/>
                <c:pt idx="0">
                  <c:v>0</c:v>
                </c:pt>
              </c:numCache>
            </c:num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numRef>
              <c:f>Stats!$H$8:$H$31</c:f>
              <c:numCache>
                <c:formatCode>General</c:formatCode>
                <c:ptCount val="24"/>
                <c:pt idx="0">
                  <c:v>0</c:v>
                </c:pt>
              </c:numCache>
            </c:num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numRef>
              <c:f>Stats!$H$8:$H$31</c:f>
              <c:numCache>
                <c:formatCode>General</c:formatCode>
                <c:ptCount val="24"/>
                <c:pt idx="0">
                  <c:v>0</c:v>
                </c:pt>
              </c:numCache>
            </c:num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crossAx val="12888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EEEEE"/>
    </a:solid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HN"/>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HN"/>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HN"/>
        </a:p>
      </c:txPr>
    </c:legend>
    <c:plotVisOnly val="1"/>
    <c:dispBlanksAs val="gap"/>
    <c:showDLblsOverMax val="0"/>
  </c:chart>
  <c:spPr>
    <a:noFill/>
    <a:ln w="9525" cap="flat" cmpd="sng" algn="ctr">
      <a:noFill/>
      <a:round/>
    </a:ln>
    <a:effectLst/>
  </c:spPr>
  <c:txPr>
    <a:bodyPr/>
    <a:lstStyle/>
    <a:p>
      <a:pPr>
        <a:defRPr/>
      </a:pPr>
      <a:endParaRPr lang="es-H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35"/>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1">
    <v>11</v>
    <v>1</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2">
    <v>45</v>
    <v>5</v>
    <v>Bandera de República Democrática del Congo</v>
  </rv>
  <rv s="2">
    <v>46</v>
    <v>5</v>
    <v>Bandera de Irak</v>
  </rv>
  <rv s="0">
    <v>47</v>
    <v>5</v>
  </rv>
  <rv s="0">
    <v>48</v>
    <v>5</v>
  </rv>
  <rv s="0">
    <v>49</v>
    <v>5</v>
  </rv>
  <rv s="0">
    <v>50</v>
    <v>5</v>
  </rv>
</rvData>
</file>

<file path=xl/richData/rdrichvaluestructure.xml><?xml version="1.0" encoding="utf-8"?>
<rvStructures xmlns="http://schemas.microsoft.com/office/spreadsheetml/2017/richdata" count="3">
  <s t="_localImage">
    <k n="_rvRel:LocalImageIdentifier" t="i"/>
    <k n="CalcOrigin" t="i"/>
  </s>
  <s t="_error">
    <k n="errorType" t="i"/>
    <k n="propagated" t="b"/>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+INDEX(Idiomas!$D$212:$D$259,MATCH(T_Equipos[[#This Row],[Num]],Idiomas!$C$212:$C$259,0))</calculatedColumnFormula>
    </tableColumn>
    <tableColumn id="4" xr3:uid="{00000000-0010-0000-0B00-000004000000}" name="Grupo" dataDxfId="2"/>
    <tableColumn id="3" xr3:uid="{00000000-0010-0000-0B00-000003000000}" name="Rank" dataDxfId="1"/>
  </tableColumns>
  <tableStyleInfo name="TableStyleMedium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81640625" customWidth="1"/>
    <col min="2" max="2" width="6.81640625" customWidth="1"/>
    <col min="3" max="3" width="25.81640625" customWidth="1"/>
    <col min="4" max="4" width="5.81640625" customWidth="1"/>
    <col min="5" max="9" width="10.81640625" customWidth="1"/>
    <col min="10" max="10" width="5.81640625" customWidth="1"/>
    <col min="11" max="11" width="25.81640625" customWidth="1"/>
    <col min="12" max="12" width="15.81640625" customWidth="1"/>
    <col min="13" max="13" width="10.453125" customWidth="1"/>
    <col min="14" max="15" width="10.81640625" customWidth="1"/>
    <col min="16" max="16" width="12.1796875" customWidth="1"/>
    <col min="17" max="17" width="6.1796875" customWidth="1"/>
    <col min="18" max="16380" width="10.81640625" customWidth="1"/>
  </cols>
  <sheetData>
    <row r="1" spans="1:31">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15" customHeight="1">
      <c r="A3" s="390"/>
      <c r="B3" s="797" t="str">
        <f>Idiomas!D8</f>
        <v>XXIII Mundial USA/MEX/CAN 2026</v>
      </c>
      <c r="C3" s="797"/>
      <c r="D3" s="797"/>
      <c r="E3" s="797"/>
      <c r="F3" s="797"/>
      <c r="G3" s="797"/>
      <c r="H3" s="797"/>
      <c r="I3" s="797"/>
      <c r="J3" s="797"/>
      <c r="K3" s="797"/>
      <c r="L3" s="797"/>
      <c r="M3" s="390"/>
      <c r="N3" s="390"/>
      <c r="O3" s="390"/>
      <c r="P3" s="390"/>
      <c r="Q3" s="390"/>
      <c r="R3" s="390"/>
      <c r="S3" s="390"/>
      <c r="T3" s="390"/>
      <c r="U3" s="390"/>
      <c r="V3" s="390"/>
      <c r="W3" s="390"/>
      <c r="X3" s="390"/>
      <c r="Y3" s="390"/>
      <c r="Z3" s="390"/>
      <c r="AA3" s="390"/>
      <c r="AB3" s="390"/>
      <c r="AC3" s="390"/>
      <c r="AD3" s="390"/>
      <c r="AE3" s="390"/>
    </row>
    <row r="4" spans="1:31" ht="15" customHeight="1">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149999999999999" customHeight="1" thickBot="1">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149999999999999" customHeight="1" thickBot="1">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c r="A8" s="390"/>
      <c r="B8" s="398"/>
      <c r="C8" s="41" t="s">
        <v>1265</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149999999999999" customHeight="1" thickBot="1">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c r="A10" s="390"/>
      <c r="B10" s="398"/>
      <c r="C10" s="41" t="str">
        <f>Idiomas!D47</f>
        <v>NombreGrupo</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149999999999999" customHeight="1" thickBot="1">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149999999999999" customHeight="1" thickBot="1">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c r="A16" s="390"/>
      <c r="B16" s="390"/>
      <c r="C16" s="390"/>
      <c r="D16" s="390"/>
      <c r="E16" s="795" t="str">
        <f>HYPERLINK(Idiomas!D10,Idiomas!D5)</f>
        <v>Esta versión es para un maximo de 5 participantes. Puedes descargar versiones para más participantes desde el enlace de abajo</v>
      </c>
      <c r="F16" s="796"/>
      <c r="G16" s="796"/>
      <c r="H16" s="796"/>
      <c r="I16" s="796"/>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c r="A17" s="390"/>
      <c r="B17" s="390"/>
      <c r="C17" s="390"/>
      <c r="D17" s="390"/>
      <c r="E17" s="792" t="str">
        <f>HYPERLINK(Idiomas!D10,Idiomas!D9)</f>
        <v>Versiones para más participantes</v>
      </c>
      <c r="F17" s="793"/>
      <c r="G17" s="793"/>
      <c r="H17" s="793"/>
      <c r="I17" s="794"/>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Faltan 1 días para que empiece 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 xml:space="preserve">  </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149999999999999" customHeight="1" thickBot="1">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c r="A24" s="390"/>
      <c r="B24" s="798"/>
      <c r="C24" s="799"/>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c r="A41" s="390"/>
      <c r="B41" s="390"/>
      <c r="C41" s="390"/>
      <c r="D41" s="390"/>
      <c r="E41" s="715">
        <f ca="1">TODAY()</f>
        <v>46183</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 zoomScaleNormal="100" workbookViewId="0">
      <selection activeCell="AF159" sqref="AF159"/>
    </sheetView>
  </sheetViews>
  <sheetFormatPr baseColWidth="10" defaultColWidth="0" defaultRowHeight="14.5"/>
  <cols>
    <col min="1" max="2" width="10.81640625" style="5" hidden="1" customWidth="1"/>
    <col min="3" max="3" width="2.1796875" style="9" hidden="1" customWidth="1"/>
    <col min="4" max="10" width="8.81640625" style="9" hidden="1" customWidth="1"/>
    <col min="11" max="11" width="12.81640625" style="9" hidden="1" customWidth="1"/>
    <col min="12" max="21" width="8.81640625" style="9" hidden="1" customWidth="1"/>
    <col min="22" max="22" width="3.453125" customWidth="1"/>
    <col min="23" max="23" width="6.7265625" customWidth="1"/>
    <col min="24" max="24" width="12.81640625" customWidth="1"/>
    <col min="25" max="25" width="6.81640625" customWidth="1"/>
    <col min="26" max="26" width="4.453125" customWidth="1"/>
    <col min="27" max="27" width="20.81640625" customWidth="1"/>
    <col min="28" max="28" width="3.81640625" customWidth="1"/>
    <col min="29" max="30" width="5.26953125" customWidth="1"/>
    <col min="31" max="31" width="3.81640625" customWidth="1"/>
    <col min="32" max="32" width="20.81640625" customWidth="1"/>
    <col min="33" max="33" width="3.453125" customWidth="1"/>
    <col min="34" max="34" width="3.81640625" style="21" customWidth="1"/>
    <col min="35" max="35" width="3.26953125" style="21" customWidth="1"/>
    <col min="36" max="36" width="4.26953125" customWidth="1"/>
    <col min="37" max="37" width="3.26953125" customWidth="1"/>
    <col min="38" max="38" width="20.81640625" customWidth="1"/>
    <col min="39" max="39" width="5.81640625" customWidth="1"/>
    <col min="40" max="43" width="4.26953125" customWidth="1"/>
    <col min="44" max="45" width="5.453125" customWidth="1"/>
    <col min="46" max="46" width="6" customWidth="1"/>
    <col min="47" max="47" width="3.26953125" style="23" customWidth="1"/>
    <col min="48" max="48" width="18.453125" style="24" customWidth="1"/>
    <col min="49" max="49" width="3.453125" style="6" customWidth="1"/>
    <col min="50" max="50" width="3.453125" style="2" customWidth="1"/>
    <col min="51" max="51" width="17" style="10" customWidth="1"/>
    <col min="52" max="52" width="15.81640625" style="6" customWidth="1"/>
    <col min="53" max="53" width="3" customWidth="1"/>
    <col min="54" max="54" width="10.81640625" style="5" hidden="1" customWidth="1"/>
    <col min="55" max="55" width="6" style="5" hidden="1" customWidth="1"/>
    <col min="56" max="56" width="17" style="5" hidden="1" customWidth="1"/>
    <col min="57" max="57" width="3.453125" style="5" hidden="1" customWidth="1"/>
    <col min="58" max="58" width="2.1796875" style="5" hidden="1" customWidth="1"/>
    <col min="59" max="59" width="7.81640625" style="5" hidden="1" customWidth="1"/>
    <col min="60" max="61" width="2.1796875" style="5" hidden="1" customWidth="1"/>
    <col min="62" max="63" width="4.1796875" style="5" hidden="1" customWidth="1"/>
    <col min="64" max="64" width="3.26953125" style="5" hidden="1" customWidth="1"/>
    <col min="65" max="66" width="5.7265625" style="5" hidden="1" customWidth="1"/>
    <col min="67" max="67" width="7" style="5" hidden="1" customWidth="1"/>
    <col min="68" max="68" width="4.26953125" style="5" hidden="1" customWidth="1"/>
    <col min="69" max="69" width="7.1796875" style="5" hidden="1" customWidth="1"/>
    <col min="70" max="71" width="7.26953125" style="5" hidden="1" customWidth="1"/>
    <col min="72" max="100" width="8" style="5" hidden="1" customWidth="1"/>
    <col min="101" max="101" width="4.1796875" style="5" hidden="1" customWidth="1"/>
    <col min="102" max="102" width="7.26953125" style="5" hidden="1" customWidth="1"/>
    <col min="103" max="103" width="10.81640625" style="5" hidden="1" customWidth="1"/>
    <col min="104" max="104" width="3.1796875" style="5" hidden="1" customWidth="1"/>
    <col min="105" max="105" width="8.7265625" style="5" hidden="1" customWidth="1"/>
    <col min="106" max="106" width="8" style="5" hidden="1" customWidth="1"/>
    <col min="107" max="107" width="15.81640625" style="5" hidden="1" customWidth="1"/>
    <col min="108" max="108" width="10.81640625" style="5" hidden="1" customWidth="1"/>
    <col min="109" max="109" width="2.7265625" style="5" hidden="1" customWidth="1"/>
    <col min="110" max="126" width="10.81640625" style="5" hidden="1" customWidth="1"/>
    <col min="127" max="127" width="10.81640625" style="1" hidden="1" customWidth="1"/>
    <col min="128" max="16384" width="10.81640625" hidden="1"/>
  </cols>
  <sheetData>
    <row r="1" spans="1:127" ht="30" customHeight="1" thickBot="1">
      <c r="A1" s="751"/>
      <c r="B1" s="751"/>
      <c r="C1" s="751"/>
      <c r="D1" s="751"/>
      <c r="E1" s="751"/>
      <c r="F1" s="751"/>
      <c r="G1" s="751"/>
      <c r="H1" s="751"/>
      <c r="I1" s="751"/>
      <c r="J1" s="751"/>
      <c r="K1" s="751"/>
      <c r="L1" s="751"/>
      <c r="M1" s="751"/>
      <c r="N1" s="751"/>
      <c r="O1" s="751"/>
      <c r="P1" s="751"/>
      <c r="Q1" s="751"/>
      <c r="R1" s="751"/>
      <c r="S1" s="751"/>
      <c r="T1" s="751"/>
      <c r="U1" s="751"/>
      <c r="V1" s="176"/>
      <c r="W1" s="834" t="str">
        <f>Idiomas!D8</f>
        <v>XXIII Mundial USA/MEX/CAN 2026</v>
      </c>
      <c r="X1" s="834"/>
      <c r="Y1" s="834"/>
      <c r="Z1" s="834"/>
      <c r="AA1" s="834"/>
      <c r="AB1" s="834"/>
      <c r="AC1" s="834"/>
      <c r="AD1" s="834"/>
      <c r="AE1" s="834"/>
      <c r="AF1" s="834"/>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5" thickBot="1">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P.1 (2)</v>
      </c>
      <c r="F4" s="756" t="str">
        <f t="shared" ref="F4:F9" ca="1" si="2">IF(D4="Pendiente","-",INDEX($BT$6:$BT$53,MATCH($AF4,$BD$6:$BD$53,0)))</f>
        <v>-</v>
      </c>
      <c r="G4" s="756"/>
      <c r="H4" s="756" t="str">
        <f t="shared" ref="H4:H9" ca="1" si="3">IF(D4="Pendiente","-",INDEX($BZ$6:$BZ$53,MATCH($AA4,$BD$6:$BD$53,0)))</f>
        <v>P.1 (2)</v>
      </c>
      <c r="I4" s="756" t="str">
        <f t="shared" ref="I4:I9" ca="1" si="4">IF(D4="Pendiente","-",INDEX($BZ$6:$BZ$53,MATCH($AF4,$BD$6:$BD$53,0)))</f>
        <v>-</v>
      </c>
      <c r="J4" s="756"/>
      <c r="K4" s="756" t="str">
        <f t="shared" ref="K4:K9" ca="1" si="5">IF(D4="Pendiente","-",INDEX($CE$6:$CE$53,MATCH($AA4,$BD$6:$BD$53,0)))</f>
        <v>P.1 (2)</v>
      </c>
      <c r="L4" s="756" t="str">
        <f t="shared" ref="L4:L9" ca="1" si="6">IF(D4="Pendiente","-",INDEX($CE$6:$CE$53,MATCH($AF4,$BD$6:$BD$53,0)))</f>
        <v>-</v>
      </c>
      <c r="M4" s="756"/>
      <c r="N4" s="756" t="str">
        <f t="shared" ref="N4:N9" ca="1" si="7">IF(D4="Pendiente","-",INDEX($CH$6:$CH$53,MATCH($AA4,$BD$6:$BD$53,0)))</f>
        <v>P.1 (2)</v>
      </c>
      <c r="O4" s="756" t="str">
        <f t="shared" ref="O4:O9" ca="1" si="8">IF(D4="Pendiente","-",INDEX($CH$6:$CH$53,MATCH($AF4,$BD$6:$BD$53,0)))</f>
        <v>-</v>
      </c>
      <c r="P4" s="756"/>
      <c r="Q4" s="756" t="str">
        <f t="shared" ref="Q4:Q9" ca="1" si="9">IF(D4="Pendiente","-",INDEX($CN$6:$CN$53,MATCH($AA4,$BD$6:$BD$53,0)))</f>
        <v>P.1 (2)</v>
      </c>
      <c r="R4" s="756" t="str">
        <f t="shared" ref="R4:R9" ca="1" si="10">IF(D4="Pendiente","-",INDEX($CN$6:$CN$53,MATCH($AF4,$BD$6:$BD$53,0)))</f>
        <v>-</v>
      </c>
      <c r="S4" s="756"/>
      <c r="T4" s="756" t="str">
        <f t="shared" ref="T4:T9" ca="1" si="11">IF(D4="Pendiente","-",INDEX($CS$6:$CS$53,MATCH($AA4,$BD$6:$BD$53,0)))</f>
        <v>P.1 (2)</v>
      </c>
      <c r="U4" s="756" t="str">
        <f t="shared" ref="U4:U9" ca="1" si="12">IF(D4="Pendiente","-",INDEX($CS$6:$CS$53,MATCH($AF4,$BD$6:$BD$53,0)))</f>
        <v>-</v>
      </c>
      <c r="V4" s="178"/>
      <c r="W4" s="830" t="s">
        <v>0</v>
      </c>
      <c r="X4" s="195">
        <f ca="1">Horarios!C4</f>
        <v>46184.541666666664</v>
      </c>
      <c r="Y4" s="196">
        <f ca="1">Horarios!C4</f>
        <v>46184.541666666664</v>
      </c>
      <c r="Z4" s="197" t="str">
        <f>Idiomas!D63</f>
        <v>J1</v>
      </c>
      <c r="AA4" s="198" t="str">
        <f ca="1">+A5</f>
        <v>México</v>
      </c>
      <c r="AB4" s="488" t="str" cm="1">
        <f t="array" aca="1" ref="AB4" ca="1">Ver_flag_local</f>
        <v/>
      </c>
      <c r="AC4" s="199">
        <v>2</v>
      </c>
      <c r="AD4" s="200">
        <v>1</v>
      </c>
      <c r="AE4" s="491" t="str" cm="1">
        <f t="array" aca="1" ref="AE4" ca="1">Ver_flag_visit</f>
        <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¡EMPATE! Puedes seleccionar el orden de los empatados.</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149999999999999" customHeight="1">
      <c r="A5" s="757" t="str">
        <f ca="1">+Equipos!B2</f>
        <v>México</v>
      </c>
      <c r="B5" s="754"/>
      <c r="C5" s="754"/>
      <c r="D5" s="756" t="str">
        <f t="shared" si="0"/>
        <v>Local</v>
      </c>
      <c r="E5" s="756" t="str">
        <f t="shared" ca="1" si="1"/>
        <v>P.1 (2)</v>
      </c>
      <c r="F5" s="756" t="str">
        <f t="shared" ca="1" si="2"/>
        <v>-</v>
      </c>
      <c r="G5" s="756"/>
      <c r="H5" s="756" t="str">
        <f t="shared" ca="1" si="3"/>
        <v>P.1 (2)</v>
      </c>
      <c r="I5" s="756" t="str">
        <f t="shared" ca="1" si="4"/>
        <v>-</v>
      </c>
      <c r="J5" s="756"/>
      <c r="K5" s="756" t="str">
        <f t="shared" ca="1" si="5"/>
        <v>P.1 (2)</v>
      </c>
      <c r="L5" s="756" t="str">
        <f t="shared" ca="1" si="6"/>
        <v>-</v>
      </c>
      <c r="M5" s="756"/>
      <c r="N5" s="756" t="str">
        <f t="shared" ca="1" si="7"/>
        <v>P.1 (2)</v>
      </c>
      <c r="O5" s="756" t="str">
        <f t="shared" ca="1" si="8"/>
        <v>-</v>
      </c>
      <c r="P5" s="756"/>
      <c r="Q5" s="756" t="str">
        <f t="shared" ca="1" si="9"/>
        <v>P.1 (2)</v>
      </c>
      <c r="R5" s="756" t="str">
        <f t="shared" ca="1" si="10"/>
        <v>-</v>
      </c>
      <c r="S5" s="756"/>
      <c r="T5" s="756" t="str">
        <f t="shared" ca="1" si="11"/>
        <v>P.1 (2)</v>
      </c>
      <c r="U5" s="756" t="str">
        <f t="shared" ca="1" si="12"/>
        <v>-</v>
      </c>
      <c r="V5" s="178"/>
      <c r="W5" s="830"/>
      <c r="X5" s="195">
        <f ca="1">Horarios!C5</f>
        <v>46184.833333333328</v>
      </c>
      <c r="Y5" s="196">
        <f ca="1">Horarios!C5</f>
        <v>46184.833333333328</v>
      </c>
      <c r="Z5" s="197" t="str">
        <f>$Z$4</f>
        <v>J1</v>
      </c>
      <c r="AA5" s="198" t="str">
        <f ca="1">A7</f>
        <v>Corea del Sur</v>
      </c>
      <c r="AB5" s="488" t="str" cm="1">
        <f t="array" aca="1" ref="AB5" ca="1">Ver_flag_local</f>
        <v/>
      </c>
      <c r="AC5" s="199">
        <v>1</v>
      </c>
      <c r="AD5" s="200">
        <v>0</v>
      </c>
      <c r="AE5" s="491" t="str" cm="1">
        <f t="array" aca="1" ref="AE5" ca="1">Ver_flag_visit</f>
        <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2</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149999999999999" customHeight="1">
      <c r="A6" s="757" t="str">
        <f ca="1">+Equipos!B3</f>
        <v>Sudáfrica</v>
      </c>
      <c r="B6" s="754"/>
      <c r="C6" s="758"/>
      <c r="D6" s="756" t="str">
        <f t="shared" si="0"/>
        <v>Local</v>
      </c>
      <c r="E6" s="756" t="str">
        <f t="shared" ca="1" si="1"/>
        <v>-</v>
      </c>
      <c r="F6" s="756" t="str">
        <f t="shared" ca="1" si="2"/>
        <v>-</v>
      </c>
      <c r="G6" s="756"/>
      <c r="H6" s="756" t="str">
        <f t="shared" ca="1" si="3"/>
        <v>-</v>
      </c>
      <c r="I6" s="756" t="str">
        <f t="shared" ca="1" si="4"/>
        <v>-</v>
      </c>
      <c r="J6" s="756"/>
      <c r="K6" s="756" t="str">
        <f t="shared" ca="1" si="5"/>
        <v>-</v>
      </c>
      <c r="L6" s="756" t="str">
        <f t="shared" ca="1" si="6"/>
        <v>-</v>
      </c>
      <c r="M6" s="756"/>
      <c r="N6" s="756" t="str">
        <f t="shared" ca="1" si="7"/>
        <v>-</v>
      </c>
      <c r="O6" s="756" t="str">
        <f t="shared" ca="1" si="8"/>
        <v>-</v>
      </c>
      <c r="P6" s="756"/>
      <c r="Q6" s="756" t="str">
        <f t="shared" ca="1" si="9"/>
        <v>-</v>
      </c>
      <c r="R6" s="756" t="str">
        <f t="shared" ca="1" si="10"/>
        <v>-</v>
      </c>
      <c r="S6" s="756"/>
      <c r="T6" s="756" t="str">
        <f t="shared" ca="1" si="11"/>
        <v>-</v>
      </c>
      <c r="U6" s="756" t="str">
        <f t="shared" ca="1" si="12"/>
        <v>-</v>
      </c>
      <c r="V6" s="178"/>
      <c r="W6" s="830"/>
      <c r="X6" s="195">
        <f ca="1">Horarios!C6</f>
        <v>46191.416666666664</v>
      </c>
      <c r="Y6" s="196">
        <f ca="1">Horarios!C6</f>
        <v>46191.416666666664</v>
      </c>
      <c r="Z6" s="197" t="str">
        <f>Idiomas!D64</f>
        <v>J2</v>
      </c>
      <c r="AA6" s="198" t="str">
        <f ca="1">A8</f>
        <v>República Checa</v>
      </c>
      <c r="AB6" s="488" t="str" cm="1">
        <f t="array" aca="1" ref="AB6" ca="1">Ver_flag_local</f>
        <v/>
      </c>
      <c r="AC6" s="199">
        <v>2</v>
      </c>
      <c r="AD6" s="200">
        <v>0</v>
      </c>
      <c r="AE6" s="491" t="str" cm="1">
        <f t="array" aca="1" ref="AE6" ca="1">Ver_flag_visit</f>
        <v/>
      </c>
      <c r="AF6" s="201" t="str">
        <f ca="1">A6</f>
        <v>Sudáfrica</v>
      </c>
      <c r="AG6" s="421">
        <f t="shared" si="13"/>
        <v>1</v>
      </c>
      <c r="AH6" s="202">
        <v>25</v>
      </c>
      <c r="AI6" s="19" t="str">
        <f>AJ6&amp;$B$4</f>
        <v>1A</v>
      </c>
      <c r="AJ6" s="217">
        <v>1</v>
      </c>
      <c r="AK6" s="498" t="str" cm="1">
        <f t="array" aca="1" ref="AK6" ca="1">Ver_flag_visit</f>
        <v/>
      </c>
      <c r="AL6" s="218" t="str">
        <f ca="1">IFERROR(INDEX($BD$6:$BD$53,MATCH(AI6,$BN$6:$BN$53,0)),"")</f>
        <v>México</v>
      </c>
      <c r="AM6" s="219">
        <f t="shared" ref="AM6:AT9" ca="1" si="16">INDEX($BE$6:$BN$53,MATCH($AL6,$BD$6:$BD$53,0),MATCH(AM$5,$BE$5:$BN$5,0))</f>
        <v>7</v>
      </c>
      <c r="AN6" s="220">
        <f t="shared" ca="1" si="16"/>
        <v>3</v>
      </c>
      <c r="AO6" s="220">
        <f t="shared" ca="1" si="16"/>
        <v>2</v>
      </c>
      <c r="AP6" s="220">
        <f t="shared" ca="1" si="16"/>
        <v>1</v>
      </c>
      <c r="AQ6" s="220">
        <f t="shared" ca="1" si="16"/>
        <v>0</v>
      </c>
      <c r="AR6" s="220">
        <f t="shared" ca="1" si="16"/>
        <v>4</v>
      </c>
      <c r="AS6" s="220">
        <f t="shared" ca="1" si="16"/>
        <v>2</v>
      </c>
      <c r="AT6" s="221">
        <f t="shared" ca="1" si="16"/>
        <v>2</v>
      </c>
      <c r="AU6" s="428">
        <f ca="1">INDEX($DL$6:$DL$53,MATCH(AI6,$DP$6:$DP$53,0))</f>
        <v>2</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7</v>
      </c>
      <c r="BF6" s="760">
        <f ca="1">+BG6+BH6+BI6</f>
        <v>3</v>
      </c>
      <c r="BG6" s="760">
        <f t="shared" ref="BG6:BG53" ca="1" si="17">+COUNTIFS(FGLocal,BD6,Ganador,"Local")+COUNTIFS(FGVisitante,BD6,Ganador,"Visitante")</f>
        <v>2</v>
      </c>
      <c r="BH6" s="760">
        <f t="shared" ref="BH6:BH53" ca="1" si="18">+COUNTIFS(FGLocal,BD6,Ganador,"Empate")+COUNTIFS(FGVisitante,BD6,Ganador,"Empate")</f>
        <v>1</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4</v>
      </c>
      <c r="BK6" s="760">
        <f t="shared" ref="BK6:BK53" ca="1" si="21">+SUMIFS(FG_GolesLocal,FGVisitante,BD6,Ganador,"&lt;&gt;"&amp;"Pendiente",FG_GolesLocal,"&lt;&gt;"&amp;"",FG_GolesVisitante,"&lt;&gt;"&amp;"")+SUMIFS(FG_GolesVisitante,FGLocal,BD6,Ganador,"&lt;&gt;"&amp;"Pendiente",FG_GolesLocal,"&lt;&gt;"&amp;"",FG_GolesVisitante,"&lt;&gt;"&amp;"")</f>
        <v>2</v>
      </c>
      <c r="BL6" s="760">
        <f ca="1">+BJ6-BK6</f>
        <v>2</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7</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P.1 (2)</v>
      </c>
      <c r="BU6" s="770">
        <f ca="1">IF($BT6="-","-",COUNTIFS(FGLocal,$BD6,Ganador,"Local",Part1Empate1V,$BT6)+COUNTIFS(FGVisitante,$BD6,Ganador,"Visitante",Part1Empate1L,$BT6))</f>
        <v>0</v>
      </c>
      <c r="BV6" s="770">
        <f ca="1">IF($BT6="-","-",COUNTIFS(FGLocal,$BD6,Ganador,"Empate",Part1Empate1V,$BT6)+COUNTIFS(FGVisitante,$BD6,Ganador,"Empate",Part1Empate1L,$BT6))</f>
        <v>1</v>
      </c>
      <c r="BW6" s="770">
        <f ca="1">IF($BT6="-","-",COUNTIFS(FGLocal,$BD6,Ganador,"Visitante",Part1Empate1V,$BT6)+COUNTIFS(FGVisitante,$BD6,Ganador,"Local",Part1Empate1L,$BT6))</f>
        <v>0</v>
      </c>
      <c r="BX6" s="770">
        <f ca="1">IF($BT6="-","-",BU6*3+BV6)</f>
        <v>1</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P.1 (2)</v>
      </c>
      <c r="CA6" s="770">
        <f ca="1">IF($BZ6="-","-",SUMIFS(FG_GolesLocal,FGLocal,$BD6,Part1Empate2V,$BZ6)+SUMIFS(FG_GolesVisitante,FGVisitante,$BD6,Part1Empate2L,$BZ6))</f>
        <v>1</v>
      </c>
      <c r="CB6" s="770">
        <f ca="1">IF($BZ6="-","-",SUMIFS(FG_GolesVisitante,FGLocal,$BD6,Part1Empate2V,$BZ6)+SUMIFS(FG_GolesLocal,FGVisitante,$BD6,Part1Empate2L,$BZ6))</f>
        <v>1</v>
      </c>
      <c r="CC6" s="770">
        <f ca="1">IF($BZ6="-","-",CA6-CB6)</f>
        <v>0</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P.1 (2)</v>
      </c>
      <c r="CF6" s="770">
        <f ca="1">IF($CE6="-","-",SUMIFS(FG_GolesLocal,FGLocal,$BD6,Part1Empate3V,$CE6)+SUMIFS(FG_GolesVisitante,FGVisitante,$BD6,Part1Empate3L,$CE6))</f>
        <v>1</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P.1 (2)</v>
      </c>
      <c r="CI6" s="770">
        <f ca="1">IF($CH6="-","-",COUNTIFS(FGLocal,$BD6,Ganador,"Local",Part2Empate4V,$CH6)+COUNTIFS(FGVisitante,$BD6,Ganador,"Visitante",Part2Empate4L,$CH6))</f>
        <v>0</v>
      </c>
      <c r="CJ6" s="770">
        <f ca="1">IF($CH6="-","-",COUNTIFS(FGLocal,$BD6,Ganador,"Empate",Part2Empate4V,$CH6)+COUNTIFS(FGVisitante,$BD6,Ganador,"Empate",Part2Empate4L,$CH6))</f>
        <v>1</v>
      </c>
      <c r="CK6" s="770">
        <f ca="1">IF($CH6="-","-",COUNTIFS(FGLocal,$BD6,Ganador,"Visitante",Part2Empate4V,$CH6)+COUNTIFS(FGVisitante,$BD6,Ganador,"Local",Part2Empate4L,$CH6))</f>
        <v>0</v>
      </c>
      <c r="CL6" s="770">
        <f ca="1">IF($CH6="-","-",CI6*3+CJ6)</f>
        <v>1</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P.1 (2)</v>
      </c>
      <c r="CO6" s="770">
        <f ca="1">IF($CN6="-","-",SUMIFS(FG_GolesLocal,FGLocal,$BD6,Part2Empate5V,$CN6)+SUMIFS(FG_GolesVisitante,FGVisitante,$BD6,Part2Empate5L,$CN6))</f>
        <v>1</v>
      </c>
      <c r="CP6" s="770">
        <f ca="1">IF($CN6="-","-",SUMIFS(FG_GolesVisitante,FGLocal,$BD6,Part2Empate5V,$CN6)+SUMIFS(FG_GolesLocal,FGVisitante,$BD6,Part2Empate5L,$CN6))</f>
        <v>1</v>
      </c>
      <c r="CQ6" s="770">
        <f ca="1">IF($CN6="-","-",CO6-CP6)</f>
        <v>0</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P.1 (2)</v>
      </c>
      <c r="CT6" s="770">
        <f ca="1">IF($CS6="-","-",SUMIFS(FG_GolesLocal,FGLocal,$BD6,Part2Empate6V,$CS6)+SUMIFS(FG_GolesVisitante,FGVisitante,$BD6,Part2Empate6L,$CS6))</f>
        <v>1</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P.1 (2)</v>
      </c>
      <c r="CW6" s="769">
        <f ca="1">IF(CV6="-","-",BL6)</f>
        <v>2</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P.1 (2)</v>
      </c>
      <c r="CZ6" s="769">
        <f ca="1">IF(CY6="-","-",BJ6)</f>
        <v>4</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P.1 (2)</v>
      </c>
      <c r="DC6" s="768">
        <f ca="1">IF(DB6="-","-",COUNTIFS(T_Equipos[Rank],"&lt;"&amp;INDEX(T_Equipos[Rank],MATCH(BD6,T_Equipos[NombreEquipo],0)),$BC$6:$BC$53,INDEX(T_Equipos[Grupo],MATCH(BD6,T_Equipos[NombreEquipo],0)))+1)</f>
        <v>1</v>
      </c>
      <c r="DD6" s="768">
        <f ca="1">DA6+COUNTIFS($DB$6:$DB$53,DB6,$DC$6:DC$53,"&lt;"&amp;DC6,$BC$6:$BC$53,INDEX(T_Equipos[Grupo],MATCH(BD6,T_Equipos[NombreEquipo],0)))</f>
        <v>1</v>
      </c>
      <c r="DE6" s="768"/>
      <c r="DF6" s="768">
        <f ca="1">IF(OR(INDEX($AW$6:$AW$97,MATCH($BD6,$AV$6:$AV$97,0))="",DB6="-"),DD6,INDEX($AW$6:$AW$97,MATCH($BD6,$AV$6:$AV$97,0))+DD6/1000)</f>
        <v>1</v>
      </c>
      <c r="DG6" s="768">
        <f ca="1">IF(DB6="-","-",COUNTIFS(DF$6:DF$53,"&lt;"&amp;DF6,$BC$6:$BC$53,INDEX(T_Equipos[Grupo],MATCH(BD6,T_Equipos[NombreEquipo],0))))</f>
        <v>0</v>
      </c>
      <c r="DH6" s="768">
        <f ca="1">DA6+COUNTIFS(DB$6:DB$53,DB6,DG$6:DG$53,"&lt;"&amp;DG6,$BC$6:$BC$53,INDEX(T_Equipos[Grupo],MATCH(BD6,T_Equipos[NombreEquipo],0)))</f>
        <v>1</v>
      </c>
      <c r="DI6" s="756"/>
      <c r="DJ6" s="756">
        <f ca="1">INDEX($DA$6:$DA$53,MATCH($DQ6,$BD$6:$BD$53,0))</f>
        <v>1</v>
      </c>
      <c r="DK6" s="756">
        <f t="shared" ref="DK6:DK53" ca="1" si="24">+SUMIF($BC$6:$BC$53,BC6,$BF$6:$BF$53)</f>
        <v>12</v>
      </c>
      <c r="DL6" s="756">
        <f ca="1">IF(OR(DK6=12,$AJ$99=144),COUNTIFS($DJ$6:$DJ$53,DJ6,$BC$6:$BC$53,BC6),1)</f>
        <v>2</v>
      </c>
      <c r="DM6" s="750" t="str">
        <f ca="1">DJ6&amp;"."&amp;DL6</f>
        <v>1.2</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149999999999999" customHeight="1">
      <c r="A7" s="757" t="str">
        <f ca="1">+Equipos!B4</f>
        <v>Corea del Sur</v>
      </c>
      <c r="B7" s="754"/>
      <c r="C7" s="756"/>
      <c r="D7" s="756" t="str">
        <f t="shared" si="0"/>
        <v>Empate</v>
      </c>
      <c r="E7" s="756" t="str">
        <f t="shared" ca="1" si="1"/>
        <v>P.1 (2)</v>
      </c>
      <c r="F7" s="756" t="str">
        <f t="shared" ca="1" si="2"/>
        <v>P.1 (2)</v>
      </c>
      <c r="G7" s="756"/>
      <c r="H7" s="756" t="str">
        <f t="shared" ca="1" si="3"/>
        <v>P.1 (2)</v>
      </c>
      <c r="I7" s="756" t="str">
        <f t="shared" ca="1" si="4"/>
        <v>P.1 (2)</v>
      </c>
      <c r="J7" s="756"/>
      <c r="K7" s="756" t="str">
        <f t="shared" ca="1" si="5"/>
        <v>P.1 (2)</v>
      </c>
      <c r="L7" s="756" t="str">
        <f t="shared" ca="1" si="6"/>
        <v>P.1 (2)</v>
      </c>
      <c r="M7" s="756"/>
      <c r="N7" s="756" t="str">
        <f t="shared" ca="1" si="7"/>
        <v>P.1 (2)</v>
      </c>
      <c r="O7" s="756" t="str">
        <f t="shared" ca="1" si="8"/>
        <v>P.1 (2)</v>
      </c>
      <c r="P7" s="756"/>
      <c r="Q7" s="756" t="str">
        <f t="shared" ca="1" si="9"/>
        <v>P.1 (2)</v>
      </c>
      <c r="R7" s="756" t="str">
        <f t="shared" ca="1" si="10"/>
        <v>P.1 (2)</v>
      </c>
      <c r="S7" s="756"/>
      <c r="T7" s="756" t="str">
        <f t="shared" ca="1" si="11"/>
        <v>P.1 (2)</v>
      </c>
      <c r="U7" s="756" t="str">
        <f t="shared" ca="1" si="12"/>
        <v>P.1 (2)</v>
      </c>
      <c r="V7" s="178"/>
      <c r="W7" s="830"/>
      <c r="X7" s="195">
        <f ca="1">Horarios!C7</f>
        <v>46191.791666666664</v>
      </c>
      <c r="Y7" s="196">
        <f ca="1">Horarios!C7</f>
        <v>46191.791666666664</v>
      </c>
      <c r="Z7" s="197" t="str">
        <f>$Z$6</f>
        <v>J2</v>
      </c>
      <c r="AA7" s="198" t="str">
        <f ca="1">A5</f>
        <v>México</v>
      </c>
      <c r="AB7" s="488" t="str" cm="1">
        <f t="array" aca="1" ref="AB7" ca="1">Ver_flag_local</f>
        <v/>
      </c>
      <c r="AC7" s="199">
        <v>1</v>
      </c>
      <c r="AD7" s="200">
        <v>1</v>
      </c>
      <c r="AE7" s="491" t="str" cm="1">
        <f t="array" aca="1" ref="AE7" ca="1">Ver_flag_visit</f>
        <v/>
      </c>
      <c r="AF7" s="201" t="str">
        <f ca="1">A7</f>
        <v>Corea del Sur</v>
      </c>
      <c r="AG7" s="421">
        <f t="shared" si="13"/>
        <v>1</v>
      </c>
      <c r="AH7" s="202">
        <v>28</v>
      </c>
      <c r="AI7" s="19" t="str">
        <f>AJ7&amp;$B$4</f>
        <v>2A</v>
      </c>
      <c r="AJ7" s="227">
        <v>2</v>
      </c>
      <c r="AK7" s="499" t="str" cm="1">
        <f t="array" aca="1" ref="AK7" ca="1">Ver_flag_visit</f>
        <v/>
      </c>
      <c r="AL7" s="228" t="str">
        <f ca="1">IFERROR(INDEX($BD$6:$BD$53,MATCH(AI7,$BN$6:$BN$53,0)),"")</f>
        <v>Corea del Sur</v>
      </c>
      <c r="AM7" s="229">
        <f t="shared" ca="1" si="16"/>
        <v>7</v>
      </c>
      <c r="AN7" s="230">
        <f t="shared" ca="1" si="16"/>
        <v>3</v>
      </c>
      <c r="AO7" s="230">
        <f t="shared" ca="1" si="16"/>
        <v>2</v>
      </c>
      <c r="AP7" s="230">
        <f t="shared" ca="1" si="16"/>
        <v>1</v>
      </c>
      <c r="AQ7" s="230">
        <f t="shared" ca="1" si="16"/>
        <v>0</v>
      </c>
      <c r="AR7" s="230">
        <f t="shared" ca="1" si="16"/>
        <v>4</v>
      </c>
      <c r="AS7" s="230">
        <f t="shared" ca="1" si="16"/>
        <v>2</v>
      </c>
      <c r="AT7" s="231">
        <f t="shared" ca="1" si="16"/>
        <v>2</v>
      </c>
      <c r="AU7" s="428">
        <f ca="1">INDEX($DL$6:$DL$53,MATCH(AI7,$DP$6:$DP$53,0))</f>
        <v>2</v>
      </c>
      <c r="AV7" s="223" t="str">
        <f ca="1">INDEX($BD$6:$BD$53,MATCH(AI7,$BM$6:$BM$53,0))</f>
        <v>Corea del Sur</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3</v>
      </c>
      <c r="BG7" s="760">
        <f t="shared" ca="1" si="17"/>
        <v>0</v>
      </c>
      <c r="BH7" s="760">
        <f t="shared" ca="1" si="18"/>
        <v>0</v>
      </c>
      <c r="BI7" s="760">
        <f t="shared" ca="1" si="19"/>
        <v>3</v>
      </c>
      <c r="BJ7" s="760">
        <f t="shared" ca="1" si="20"/>
        <v>2</v>
      </c>
      <c r="BK7" s="760">
        <f t="shared" ca="1" si="21"/>
        <v>6</v>
      </c>
      <c r="BL7" s="760">
        <f t="shared" ref="BL7:BL53" ca="1" si="27">+BJ7-BK7</f>
        <v>-4</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4</v>
      </c>
      <c r="BT7" s="769" t="str">
        <f ca="1">IF(COUNTIFS($BS$6:$BS$53,BS7,$BC$6:$BC$53,INDEX(T_Equipos[Grupo],MATCH(BD7,T_Equipos[NombreEquipo],0)))=1,"-","P."&amp;BS7&amp;" ("&amp;COUNTIFS($BS$6:$BS$53,BS7,$BC$6:$BC$53,INDEX(T_Equipos[Grupo],MATCH(BD7,T_Equipos[NombreEquipo],0)))&amp;")")</f>
        <v>-</v>
      </c>
      <c r="BU7" s="770" t="str">
        <f ca="1">IF($BT7="-","-",COUNTIFS(FGLocal,$BD7,Ganador,"Local",Part1Empate1V,$BT7)+COUNTIFS(FGVisitante,$BD7,Ganador,"Visitante",Part1Empate1L,$BT7))</f>
        <v>-</v>
      </c>
      <c r="BV7" s="770" t="str">
        <f ca="1">IF($BT7="-","-",COUNTIFS(FGLocal,$BD7,Ganador,"Empate",Part1Empate1V,$BT7)+COUNTIFS(FGVisitante,$BD7,Ganador,"Empate",Part1Empate1L,$BT7))</f>
        <v>-</v>
      </c>
      <c r="BW7" s="770" t="str">
        <f ca="1">IF($BT7="-","-",COUNTIFS(FGLocal,$BD7,Ganador,"Visitante",Part1Empate1V,$BT7)+COUNTIFS(FGVisitante,$BD7,Ganador,"Local",Part1Empate1L,$BT7))</f>
        <v>-</v>
      </c>
      <c r="BX7" s="770" t="str">
        <f ca="1">IF($BT7="-","-",BU7*3+BV7)</f>
        <v>-</v>
      </c>
      <c r="BY7" s="770">
        <f ca="1">BS7+COUNTIFS($BT$6:$BT$53,BT7,$BX$6:BX$53,"&gt;"&amp;BX7,$BC$6:$BC$53,INDEX(T_Equipos[Grupo],MATCH(BD7,T_Equipos[NombreEquipo],0)))</f>
        <v>4</v>
      </c>
      <c r="BZ7" s="769" t="str">
        <f ca="1">IF(COUNTIFS($BY$6:$BY$53,BY7,$BC$6:$BC$53,INDEX(T_Equipos[Grupo],MATCH(BD7,T_Equipos[NombreEquipo],0)))=1,"-","P."&amp;BY7&amp;" ("&amp;COUNTIFS($BY$6:$BY$53,BY7,$BC$6:$BC$53,INDEX(T_Equipos[Grupo],MATCH(BD7,T_Equipos[NombreEquipo],0)))&amp;")")</f>
        <v>-</v>
      </c>
      <c r="CA7" s="770" t="str">
        <f ca="1">IF($BZ7="-","-",SUMIFS(FG_GolesLocal,FGLocal,$BD7,Part1Empate2V,$BZ7)+SUMIFS(FG_GolesVisitante,FGVisitante,$BD7,Part1Empate2L,$BZ7))</f>
        <v>-</v>
      </c>
      <c r="CB7" s="770" t="str">
        <f ca="1">IF($BZ7="-","-",SUMIFS(FG_GolesVisitante,FGLocal,$BD7,Part1Empate2V,$BZ7)+SUMIFS(FG_GolesLocal,FGVisitante,$BD7,Part1Empate2L,$BZ7))</f>
        <v>-</v>
      </c>
      <c r="CC7" s="770" t="str">
        <f ca="1">IF($BZ7="-","-",CA7-CB7)</f>
        <v>-</v>
      </c>
      <c r="CD7" s="770">
        <f ca="1">BY7+COUNTIFS($BZ$6:$BZ$53,BZ7,$CC$6:CC$53,"&gt;"&amp;CC7,$BC$6:$BC$53,INDEX(T_Equipos[Grupo],MATCH(BD7,T_Equipos[NombreEquipo],0)))</f>
        <v>4</v>
      </c>
      <c r="CE7" s="769" t="str">
        <f ca="1">IF(COUNTIFS($CD$6:$CD$53,CD7,$BC$6:$BC$53,INDEX(T_Equipos[Grupo],MATCH(BD7,T_Equipos[NombreEquipo],0)))=1,"-","P."&amp;CD7&amp;" ("&amp;COUNTIFS($CD$6:$CD$53,CD7,$BC$6:$BC$53,INDEX(T_Equipos[Grupo],MATCH(BD7,T_Equipos[NombreEquipo],0)))&amp;")")</f>
        <v>-</v>
      </c>
      <c r="CF7" s="770" t="str">
        <f ca="1">IF($CE7="-","-",SUMIFS(FG_GolesLocal,FGLocal,$BD7,Part1Empate3V,$CE7)+SUMIFS(FG_GolesVisitante,FGVisitante,$BD7,Part1Empate3L,$CE7))</f>
        <v>-</v>
      </c>
      <c r="CG7" s="770">
        <f ca="1">CD7+COUNTIFS($CE$6:$CE$53,CE7,$CF$6:CF$53,"&gt;"&amp;CF7,$BC$6:$BC$53,INDEX(T_Equipos[Grupo],MATCH(BD7,T_Equipos[NombreEquipo],0)))</f>
        <v>4</v>
      </c>
      <c r="CH7" s="769" t="str">
        <f ca="1">IF(COUNTIFS($CG$6:$CG$53,CG7,$BC$6:$BC$53,INDEX(T_Equipos[Grupo],MATCH(BD7,T_Equipos[NombreEquipo],0)))=1,"-","P."&amp;CG7&amp;" ("&amp;COUNTIFS($CG$6:$CG$53,CG7,$BC$6:$BC$53,INDEX(T_Equipos[Grupo],MATCH(BD7,T_Equipos[NombreEquipo],0)))&amp;")")</f>
        <v>-</v>
      </c>
      <c r="CI7" s="770" t="str">
        <f ca="1">IF($CH7="-","-",COUNTIFS(FGLocal,$BD7,Ganador,"Local",Part2Empate4V,$CH7)+COUNTIFS(FGVisitante,$BD7,Ganador,"Visitante",Part2Empate4L,$CH7))</f>
        <v>-</v>
      </c>
      <c r="CJ7" s="770" t="str">
        <f ca="1">IF($CH7="-","-",COUNTIFS(FGLocal,$BD7,Ganador,"Empate",Part2Empate4V,$CH7)+COUNTIFS(FGVisitante,$BD7,Ganador,"Empate",Part2Empate4L,$CH7))</f>
        <v>-</v>
      </c>
      <c r="CK7" s="770" t="str">
        <f ca="1">IF($CH7="-","-",COUNTIFS(FGLocal,$BD7,Ganador,"Visitante",Part2Empate4V,$CH7)+COUNTIFS(FGVisitante,$BD7,Ganador,"Local",Part2Empate4L,$CH7))</f>
        <v>-</v>
      </c>
      <c r="CL7" s="770" t="str">
        <f ca="1">IF($CH7="-","-",CI7*3+CJ7)</f>
        <v>-</v>
      </c>
      <c r="CM7" s="770">
        <f ca="1">CG7+COUNTIFS($CH$6:$CH$53,CH7,$CL$6:CL$53,"&gt;"&amp;CL7,$BC$6:$BC$53,INDEX(T_Equipos[Grupo],MATCH(BD7,T_Equipos[NombreEquipo],0)))</f>
        <v>4</v>
      </c>
      <c r="CN7" s="769" t="str">
        <f ca="1">IF(COUNTIFS($CM$6:$CM$53,CM7,$BC$6:$BC$53,INDEX(T_Equipos[Grupo],MATCH(BD7,T_Equipos[NombreEquipo],0)))=1,"-","P."&amp;CM7&amp;" ("&amp;COUNTIFS($CM$6:$CM$53,CM7,$BC$6:$BC$53,INDEX(T_Equipos[Grupo],MATCH(BD7,T_Equipos[NombreEquipo],0)))&amp;")")</f>
        <v>-</v>
      </c>
      <c r="CO7" s="770" t="str">
        <f ca="1">IF($CN7="-","-",SUMIFS(FG_GolesLocal,FGLocal,$BD7,Part2Empate5V,$CN7)+SUMIFS(FG_GolesVisitante,FGVisitante,$BD7,Part2Empate5L,$CN7))</f>
        <v>-</v>
      </c>
      <c r="CP7" s="770" t="str">
        <f ca="1">IF($CN7="-","-",SUMIFS(FG_GolesVisitante,FGLocal,$BD7,Part2Empate5V,$CN7)+SUMIFS(FG_GolesLocal,FGVisitante,$BD7,Part2Empate5L,$CN7))</f>
        <v>-</v>
      </c>
      <c r="CQ7" s="770" t="str">
        <f ca="1">IF($CN7="-","-",CO7-CP7)</f>
        <v>-</v>
      </c>
      <c r="CR7" s="770">
        <f ca="1">CM7+COUNTIFS($CN$6:$CN$53,CN7,$CQ$6:CQ$53,"&gt;"&amp;CQ7,$BC$6:$BC$53,INDEX(T_Equipos[Grupo],MATCH(BD7,T_Equipos[NombreEquipo],0)))</f>
        <v>4</v>
      </c>
      <c r="CS7" s="769" t="str">
        <f ca="1">IF(COUNTIFS($CR$6:$CR$53,CR7,$BC$6:$BC$53,INDEX(T_Equipos[Grupo],MATCH(BD7,T_Equipos[NombreEquipo],0)))=1,"-","P."&amp;CR7&amp;" ("&amp;COUNTIFS($CR$6:$CR$53,CR7,$BC$6:$BC$53,INDEX(T_Equipos[Grupo],MATCH(BD7,T_Equipos[NombreEquipo],0)))&amp;")")</f>
        <v>-</v>
      </c>
      <c r="CT7" s="770" t="str">
        <f ca="1">IF($CS7="-","-",SUMIFS(FG_GolesLocal,FGLocal,$BD7,Part2Empate6V,$CS7)+SUMIFS(FG_GolesVisitante,FGVisitante,$BD7,Part2Empate6L,$CS7))</f>
        <v>-</v>
      </c>
      <c r="CU7" s="770">
        <f ca="1">CR7+COUNTIFS($CS$6:$CS$53,CS7,$CT$6:CT$53,"&gt;"&amp;CT7,$BC$6:$BC$53,INDEX(T_Equipos[Grupo],MATCH(BD7,T_Equipos[NombreEquipo],0)))</f>
        <v>4</v>
      </c>
      <c r="CV7" s="769" t="str">
        <f ca="1">IF(COUNTIFS($CU$6:$CU$53,CU7,$BC$6:$BC$53,INDEX(T_Equipos[Grupo],MATCH(BD7,T_Equipos[NombreEquipo],0)))=1,"-","P."&amp;CU7&amp;" ("&amp;COUNTIFS($CU$6:$CU$53,CU7,$BC$6:$BC$53,INDEX(T_Equipos[Grupo],MATCH(BD7,T_Equipos[NombreEquipo],0)))&amp;")")</f>
        <v>-</v>
      </c>
      <c r="CW7" s="769" t="str">
        <f t="shared" ref="CW7:CW53" ca="1" si="30">IF(CV7="-","-",BL7)</f>
        <v>-</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1</v>
      </c>
      <c r="DK7" s="756">
        <f t="shared" ca="1" si="24"/>
        <v>12</v>
      </c>
      <c r="DL7" s="756">
        <f t="shared" ref="DL7:DL53" ca="1" si="33">IF(OR(DK7=12,$AJ$99=144),COUNTIFS($DJ$6:$DJ$53,DJ7,$BC$6:$BC$53,BC7),1)</f>
        <v>2</v>
      </c>
      <c r="DM7" s="750" t="str">
        <f t="shared" ref="DM7:DM53" ca="1" si="34">DJ7&amp;"."&amp;DL7</f>
        <v>1.2</v>
      </c>
      <c r="DN7" s="756" cm="1">
        <f t="array" aca="1" ref="DN7" ca="1">OFFSET(Horarios!$P$3,DJ7-1,0,DL7,1)</f>
        <v>1</v>
      </c>
      <c r="DO7" s="756"/>
      <c r="DP7" s="756" t="s">
        <v>646</v>
      </c>
      <c r="DQ7" s="756" t="str">
        <f t="shared" ref="DQ7:DQ53" ca="1" si="35">INDEX($BD$6:$BD$53,MATCH(DP7,$BM$6:$BM$53,0))</f>
        <v>Corea del Sur</v>
      </c>
      <c r="DR7" s="756"/>
      <c r="DS7" s="756"/>
      <c r="DT7" s="756" t="str">
        <f t="shared" ca="1" si="15"/>
        <v>México-Corea del Sur</v>
      </c>
      <c r="DU7" s="756"/>
      <c r="DV7" s="756"/>
      <c r="DW7" s="8"/>
    </row>
    <row r="8" spans="1:127" ht="17.149999999999999" customHeight="1">
      <c r="A8" s="757" t="str">
        <f ca="1">+Equipos!B5</f>
        <v>República Checa</v>
      </c>
      <c r="B8" s="754"/>
      <c r="C8" s="756"/>
      <c r="D8" s="756" t="str">
        <f t="shared" si="0"/>
        <v>Visitante</v>
      </c>
      <c r="E8" s="756" t="str">
        <f t="shared" ca="1" si="1"/>
        <v>-</v>
      </c>
      <c r="F8" s="756" t="str">
        <f t="shared" ca="1" si="2"/>
        <v>P.1 (2)</v>
      </c>
      <c r="G8" s="756"/>
      <c r="H8" s="756" t="str">
        <f t="shared" ca="1" si="3"/>
        <v>-</v>
      </c>
      <c r="I8" s="756" t="str">
        <f t="shared" ca="1" si="4"/>
        <v>P.1 (2)</v>
      </c>
      <c r="J8" s="756"/>
      <c r="K8" s="756" t="str">
        <f t="shared" ca="1" si="5"/>
        <v>-</v>
      </c>
      <c r="L8" s="756" t="str">
        <f t="shared" ca="1" si="6"/>
        <v>P.1 (2)</v>
      </c>
      <c r="M8" s="756"/>
      <c r="N8" s="756" t="str">
        <f t="shared" ca="1" si="7"/>
        <v>-</v>
      </c>
      <c r="O8" s="756" t="str">
        <f t="shared" ca="1" si="8"/>
        <v>P.1 (2)</v>
      </c>
      <c r="P8" s="756"/>
      <c r="Q8" s="756" t="str">
        <f t="shared" ca="1" si="9"/>
        <v>-</v>
      </c>
      <c r="R8" s="756" t="str">
        <f t="shared" ca="1" si="10"/>
        <v>P.1 (2)</v>
      </c>
      <c r="S8" s="756"/>
      <c r="T8" s="756" t="str">
        <f t="shared" ca="1" si="11"/>
        <v>-</v>
      </c>
      <c r="U8" s="756" t="str">
        <f t="shared" ca="1" si="12"/>
        <v>P.1 (2)</v>
      </c>
      <c r="V8" s="178"/>
      <c r="W8" s="830"/>
      <c r="X8" s="195">
        <f ca="1">Horarios!C8</f>
        <v>46197.791666666664</v>
      </c>
      <c r="Y8" s="196">
        <f ca="1">Horarios!C8</f>
        <v>46197.791666666664</v>
      </c>
      <c r="Z8" s="197" t="str">
        <f>Idiomas!D65</f>
        <v>J3</v>
      </c>
      <c r="AA8" s="198" t="str">
        <f ca="1">A8</f>
        <v>República Checa</v>
      </c>
      <c r="AB8" s="488" t="str" cm="1">
        <f t="array" aca="1" ref="AB8" ca="1">Ver_flag_local</f>
        <v/>
      </c>
      <c r="AC8" s="199">
        <v>0</v>
      </c>
      <c r="AD8" s="200">
        <v>1</v>
      </c>
      <c r="AE8" s="491" t="str" cm="1">
        <f t="array" aca="1" ref="AE8" ca="1">Ver_flag_visit</f>
        <v/>
      </c>
      <c r="AF8" s="201" t="str">
        <f ca="1">A5</f>
        <v>México</v>
      </c>
      <c r="AG8" s="421">
        <f t="shared" si="13"/>
        <v>1</v>
      </c>
      <c r="AH8" s="202">
        <v>53</v>
      </c>
      <c r="AI8" s="19" t="str">
        <f>AJ8&amp;$B$4</f>
        <v>3A</v>
      </c>
      <c r="AJ8" s="227">
        <v>3</v>
      </c>
      <c r="AK8" s="499" t="str" cm="1">
        <f t="array" aca="1" ref="AK8" ca="1">Ver_flag_visit</f>
        <v/>
      </c>
      <c r="AL8" s="228" t="str">
        <f ca="1">IFERROR(INDEX($BD$6:$BD$53,MATCH(AI8,$BN$6:$BN$53,0)),"")</f>
        <v>República Checa</v>
      </c>
      <c r="AM8" s="229">
        <f t="shared" ca="1" si="16"/>
        <v>3</v>
      </c>
      <c r="AN8" s="230">
        <f t="shared" ca="1" si="16"/>
        <v>3</v>
      </c>
      <c r="AO8" s="230">
        <f t="shared" ca="1" si="16"/>
        <v>1</v>
      </c>
      <c r="AP8" s="230">
        <f t="shared" ca="1" si="16"/>
        <v>0</v>
      </c>
      <c r="AQ8" s="230">
        <f t="shared" ca="1" si="16"/>
        <v>2</v>
      </c>
      <c r="AR8" s="230">
        <f t="shared" ca="1" si="16"/>
        <v>2</v>
      </c>
      <c r="AS8" s="230">
        <f t="shared" ca="1" si="16"/>
        <v>2</v>
      </c>
      <c r="AT8" s="231">
        <f t="shared" ca="1" si="16"/>
        <v>0</v>
      </c>
      <c r="AU8" s="428">
        <f ca="1">INDEX($DL$6:$DL$53,MATCH(AI8,$DP$6:$DP$53,0))</f>
        <v>1</v>
      </c>
      <c r="AV8" s="223" t="str">
        <f ca="1">INDEX($BD$6:$BD$53,MATCH(AI8,$BM$6:$BM$53,0))</f>
        <v>República Checa</v>
      </c>
      <c r="AW8" s="435"/>
      <c r="AX8" s="224"/>
      <c r="AY8" s="225" t="str">
        <f ca="1">+A7</f>
        <v>Corea del Sur</v>
      </c>
      <c r="AZ8" s="226"/>
      <c r="BA8" s="181"/>
      <c r="BB8" s="756"/>
      <c r="BC8" s="768" t="str">
        <f ca="1">+INDEX(T_Equipos[Grupo],MATCH(WORLDCUP!BD8,T_Equipos[NombreEquipo],0))</f>
        <v>A</v>
      </c>
      <c r="BD8" s="756" t="str">
        <f ca="1">+Equipos!B4</f>
        <v>Corea del Sur</v>
      </c>
      <c r="BE8" s="760">
        <f t="shared" ca="1" si="25"/>
        <v>7</v>
      </c>
      <c r="BF8" s="760">
        <f t="shared" ca="1" si="26"/>
        <v>3</v>
      </c>
      <c r="BG8" s="760">
        <f t="shared" ca="1" si="17"/>
        <v>2</v>
      </c>
      <c r="BH8" s="760">
        <f t="shared" ca="1" si="18"/>
        <v>1</v>
      </c>
      <c r="BI8" s="760">
        <f t="shared" ca="1" si="19"/>
        <v>0</v>
      </c>
      <c r="BJ8" s="760">
        <f t="shared" ca="1" si="20"/>
        <v>4</v>
      </c>
      <c r="BK8" s="760">
        <f t="shared" ca="1" si="21"/>
        <v>2</v>
      </c>
      <c r="BL8" s="760">
        <f t="shared" ca="1" si="27"/>
        <v>2</v>
      </c>
      <c r="BM8" s="760" t="str">
        <f t="shared" ca="1" si="22"/>
        <v>2A</v>
      </c>
      <c r="BN8" s="760" t="str">
        <f t="shared" ca="1" si="23"/>
        <v>2A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7</v>
      </c>
      <c r="BS8" s="769">
        <f ca="1">BP8+COUNTIFS($BQ$6:$BQ$53,BQ8,$BR$6:BR$53,"&gt;"&amp;BR8,$BC$6:$BC$53,INDEX(T_Equipos[Grupo],MATCH(BD8,T_Equipos[NombreEquipo],0)))</f>
        <v>1</v>
      </c>
      <c r="BT8" s="769" t="str">
        <f ca="1">IF(COUNTIFS($BS$6:$BS$53,BS8,$BC$6:$BC$53,INDEX(T_Equipos[Grupo],MATCH(BD8,T_Equipos[NombreEquipo],0)))=1,"-","P."&amp;BS8&amp;" ("&amp;COUNTIFS($BS$6:$BS$53,BS8,$BC$6:$BC$53,INDEX(T_Equipos[Grupo],MATCH(BD8,T_Equipos[NombreEquipo],0)))&amp;")")</f>
        <v>P.1 (2)</v>
      </c>
      <c r="BU8" s="770">
        <f ca="1">IF($BT8="-","-",COUNTIFS(FGLocal,$BD8,Ganador,"Local",Part1Empate1V,$BT8)+COUNTIFS(FGVisitante,$BD8,Ganador,"Visitante",Part1Empate1L,$BT8))</f>
        <v>0</v>
      </c>
      <c r="BV8" s="770">
        <f ca="1">IF($BT8="-","-",COUNTIFS(FGLocal,$BD8,Ganador,"Empate",Part1Empate1V,$BT8)+COUNTIFS(FGVisitante,$BD8,Ganador,"Empate",Part1Empate1L,$BT8))</f>
        <v>1</v>
      </c>
      <c r="BW8" s="770">
        <f ca="1">IF($BT8="-","-",COUNTIFS(FGLocal,$BD8,Ganador,"Visitante",Part1Empate1V,$BT8)+COUNTIFS(FGVisitante,$BD8,Ganador,"Local",Part1Empate1L,$BT8))</f>
        <v>0</v>
      </c>
      <c r="BX8" s="770">
        <f ca="1">IF($BT8="-","-",BU8*3+BV8)</f>
        <v>1</v>
      </c>
      <c r="BY8" s="770">
        <f ca="1">BS8+COUNTIFS($BT$6:$BT$53,BT8,$BX$6:BX$53,"&gt;"&amp;BX8,$BC$6:$BC$53,INDEX(T_Equipos[Grupo],MATCH(BD8,T_Equipos[NombreEquipo],0)))</f>
        <v>1</v>
      </c>
      <c r="BZ8" s="769" t="str">
        <f ca="1">IF(COUNTIFS($BY$6:$BY$53,BY8,$BC$6:$BC$53,INDEX(T_Equipos[Grupo],MATCH(BD8,T_Equipos[NombreEquipo],0)))=1,"-","P."&amp;BY8&amp;" ("&amp;COUNTIFS($BY$6:$BY$53,BY8,$BC$6:$BC$53,INDEX(T_Equipos[Grupo],MATCH(BD8,T_Equipos[NombreEquipo],0)))&amp;")")</f>
        <v>P.1 (2)</v>
      </c>
      <c r="CA8" s="770">
        <f ca="1">IF($BZ8="-","-",SUMIFS(FG_GolesLocal,FGLocal,$BD8,Part1Empate2V,$BZ8)+SUMIFS(FG_GolesVisitante,FGVisitante,$BD8,Part1Empate2L,$BZ8))</f>
        <v>1</v>
      </c>
      <c r="CB8" s="770">
        <f ca="1">IF($BZ8="-","-",SUMIFS(FG_GolesVisitante,FGLocal,$BD8,Part1Empate2V,$BZ8)+SUMIFS(FG_GolesLocal,FGVisitante,$BD8,Part1Empate2L,$BZ8))</f>
        <v>1</v>
      </c>
      <c r="CC8" s="770">
        <f ca="1">IF($BZ8="-","-",CA8-CB8)</f>
        <v>0</v>
      </c>
      <c r="CD8" s="770">
        <f ca="1">BY8+COUNTIFS($BZ$6:$BZ$53,BZ8,$CC$6:CC$53,"&gt;"&amp;CC8,$BC$6:$BC$53,INDEX(T_Equipos[Grupo],MATCH(BD8,T_Equipos[NombreEquipo],0)))</f>
        <v>1</v>
      </c>
      <c r="CE8" s="769" t="str">
        <f ca="1">IF(COUNTIFS($CD$6:$CD$53,CD8,$BC$6:$BC$53,INDEX(T_Equipos[Grupo],MATCH(BD8,T_Equipos[NombreEquipo],0)))=1,"-","P."&amp;CD8&amp;" ("&amp;COUNTIFS($CD$6:$CD$53,CD8,$BC$6:$BC$53,INDEX(T_Equipos[Grupo],MATCH(BD8,T_Equipos[NombreEquipo],0)))&amp;")")</f>
        <v>P.1 (2)</v>
      </c>
      <c r="CF8" s="770">
        <f ca="1">IF($CE8="-","-",SUMIFS(FG_GolesLocal,FGLocal,$BD8,Part1Empate3V,$CE8)+SUMIFS(FG_GolesVisitante,FGVisitante,$BD8,Part1Empate3L,$CE8))</f>
        <v>1</v>
      </c>
      <c r="CG8" s="770">
        <f ca="1">CD8+COUNTIFS($CE$6:$CE$53,CE8,$CF$6:CF$53,"&gt;"&amp;CF8,$BC$6:$BC$53,INDEX(T_Equipos[Grupo],MATCH(BD8,T_Equipos[NombreEquipo],0)))</f>
        <v>1</v>
      </c>
      <c r="CH8" s="769" t="str">
        <f ca="1">IF(COUNTIFS($CG$6:$CG$53,CG8,$BC$6:$BC$53,INDEX(T_Equipos[Grupo],MATCH(BD8,T_Equipos[NombreEquipo],0)))=1,"-","P."&amp;CG8&amp;" ("&amp;COUNTIFS($CG$6:$CG$53,CG8,$BC$6:$BC$53,INDEX(T_Equipos[Grupo],MATCH(BD8,T_Equipos[NombreEquipo],0)))&amp;")")</f>
        <v>P.1 (2)</v>
      </c>
      <c r="CI8" s="770">
        <f ca="1">IF($CH8="-","-",COUNTIFS(FGLocal,$BD8,Ganador,"Local",Part2Empate4V,$CH8)+COUNTIFS(FGVisitante,$BD8,Ganador,"Visitante",Part2Empate4L,$CH8))</f>
        <v>0</v>
      </c>
      <c r="CJ8" s="770">
        <f ca="1">IF($CH8="-","-",COUNTIFS(FGLocal,$BD8,Ganador,"Empate",Part2Empate4V,$CH8)+COUNTIFS(FGVisitante,$BD8,Ganador,"Empate",Part2Empate4L,$CH8))</f>
        <v>1</v>
      </c>
      <c r="CK8" s="770">
        <f ca="1">IF($CH8="-","-",COUNTIFS(FGLocal,$BD8,Ganador,"Visitante",Part2Empate4V,$CH8)+COUNTIFS(FGVisitante,$BD8,Ganador,"Local",Part2Empate4L,$CH8))</f>
        <v>0</v>
      </c>
      <c r="CL8" s="770">
        <f ca="1">IF($CH8="-","-",CI8*3+CJ8)</f>
        <v>1</v>
      </c>
      <c r="CM8" s="770">
        <f ca="1">CG8+COUNTIFS($CH$6:$CH$53,CH8,$CL$6:CL$53,"&gt;"&amp;CL8,$BC$6:$BC$53,INDEX(T_Equipos[Grupo],MATCH(BD8,T_Equipos[NombreEquipo],0)))</f>
        <v>1</v>
      </c>
      <c r="CN8" s="769" t="str">
        <f ca="1">IF(COUNTIFS($CM$6:$CM$53,CM8,$BC$6:$BC$53,INDEX(T_Equipos[Grupo],MATCH(BD8,T_Equipos[NombreEquipo],0)))=1,"-","P."&amp;CM8&amp;" ("&amp;COUNTIFS($CM$6:$CM$53,CM8,$BC$6:$BC$53,INDEX(T_Equipos[Grupo],MATCH(BD8,T_Equipos[NombreEquipo],0)))&amp;")")</f>
        <v>P.1 (2)</v>
      </c>
      <c r="CO8" s="770">
        <f ca="1">IF($CN8="-","-",SUMIFS(FG_GolesLocal,FGLocal,$BD8,Part2Empate5V,$CN8)+SUMIFS(FG_GolesVisitante,FGVisitante,$BD8,Part2Empate5L,$CN8))</f>
        <v>1</v>
      </c>
      <c r="CP8" s="770">
        <f ca="1">IF($CN8="-","-",SUMIFS(FG_GolesVisitante,FGLocal,$BD8,Part2Empate5V,$CN8)+SUMIFS(FG_GolesLocal,FGVisitante,$BD8,Part2Empate5L,$CN8))</f>
        <v>1</v>
      </c>
      <c r="CQ8" s="770">
        <f ca="1">IF($CN8="-","-",CO8-CP8)</f>
        <v>0</v>
      </c>
      <c r="CR8" s="770">
        <f ca="1">CM8+COUNTIFS($CN$6:$CN$53,CN8,$CQ$6:CQ$53,"&gt;"&amp;CQ8,$BC$6:$BC$53,INDEX(T_Equipos[Grupo],MATCH(BD8,T_Equipos[NombreEquipo],0)))</f>
        <v>1</v>
      </c>
      <c r="CS8" s="769" t="str">
        <f ca="1">IF(COUNTIFS($CR$6:$CR$53,CR8,$BC$6:$BC$53,INDEX(T_Equipos[Grupo],MATCH(BD8,T_Equipos[NombreEquipo],0)))=1,"-","P."&amp;CR8&amp;" ("&amp;COUNTIFS($CR$6:$CR$53,CR8,$BC$6:$BC$53,INDEX(T_Equipos[Grupo],MATCH(BD8,T_Equipos[NombreEquipo],0)))&amp;")")</f>
        <v>P.1 (2)</v>
      </c>
      <c r="CT8" s="770">
        <f ca="1">IF($CS8="-","-",SUMIFS(FG_GolesLocal,FGLocal,$BD8,Part2Empate6V,$CS8)+SUMIFS(FG_GolesVisitante,FGVisitante,$BD8,Part2Empate6L,$CS8))</f>
        <v>1</v>
      </c>
      <c r="CU8" s="770">
        <f ca="1">CR8+COUNTIFS($CS$6:$CS$53,CS8,$CT$6:CT$53,"&gt;"&amp;CT8,$BC$6:$BC$53,INDEX(T_Equipos[Grupo],MATCH(BD8,T_Equipos[NombreEquipo],0)))</f>
        <v>1</v>
      </c>
      <c r="CV8" s="769" t="str">
        <f ca="1">IF(COUNTIFS($CU$6:$CU$53,CU8,$BC$6:$BC$53,INDEX(T_Equipos[Grupo],MATCH(BD8,T_Equipos[NombreEquipo],0)))=1,"-","P."&amp;CU8&amp;" ("&amp;COUNTIFS($CU$6:$CU$53,CU8,$BC$6:$BC$53,INDEX(T_Equipos[Grupo],MATCH(BD8,T_Equipos[NombreEquipo],0)))&amp;")")</f>
        <v>P.1 (2)</v>
      </c>
      <c r="CW8" s="769">
        <f t="shared" ca="1" si="30"/>
        <v>2</v>
      </c>
      <c r="CX8" s="769">
        <f ca="1">CU8+COUNTIFS($CV$6:$CV$53,CV8,$CW$6:CW$53,"&gt;"&amp;CW8,$BC$6:$BC$53,INDEX(T_Equipos[Grupo],MATCH(BD8,T_Equipos[NombreEquipo],0)))</f>
        <v>1</v>
      </c>
      <c r="CY8" s="769" t="str">
        <f ca="1">IF(COUNTIFS($CX$6:$CX$53,CX8,$BC$6:$BC$53,INDEX(T_Equipos[Grupo],MATCH(BD8,T_Equipos[NombreEquipo],0)))=1,"-","P."&amp;CX8&amp;" ("&amp;COUNTIFS($CX$6:$CX$53,CX8,$BC$6:$BC$53,INDEX(T_Equipos[Grupo],MATCH(BD8,T_Equipos[NombreEquipo],0)))&amp;")")</f>
        <v>P.1 (2)</v>
      </c>
      <c r="CZ8" s="769">
        <f t="shared" ca="1" si="31"/>
        <v>4</v>
      </c>
      <c r="DA8" s="770">
        <f ca="1">CX8+COUNTIFS($CY$6:$CY$53,CY8,$CZ$6:CZ$53,"&gt;"&amp;CZ8,$BC$6:$BC$53,INDEX(T_Equipos[Grupo],MATCH(BD8,T_Equipos[NombreEquipo],0)))</f>
        <v>1</v>
      </c>
      <c r="DB8" s="769" t="str">
        <f ca="1">IF(COUNTIFS($DA$6:$DA$53,DA8,$BC$6:$BC$53,INDEX(T_Equipos[Grupo],MATCH(BD8,T_Equipos[NombreEquipo],0)))=1,"-","P."&amp;DA8&amp;" ("&amp;COUNTIFS($DA$6:$DA$53,DA8,$BC$6:$BC$53,INDEX(T_Equipos[Grupo],MATCH(BD8,T_Equipos[NombreEquipo],0)))&amp;")")</f>
        <v>P.1 (2)</v>
      </c>
      <c r="DC8" s="768">
        <f ca="1">IF(DB8="-","-",COUNTIFS(T_Equipos[Rank],"&lt;"&amp;INDEX(T_Equipos[Rank],MATCH(BD8,T_Equipos[NombreEquipo],0)),$BC$6:$BC$53,INDEX(T_Equipos[Grupo],MATCH(BD8,T_Equipos[NombreEquipo],0)))+1)</f>
        <v>3</v>
      </c>
      <c r="DD8" s="768">
        <f ca="1">DA8+COUNTIFS($DB$6:$DB$53,DB8,$DC$6:DC$53,"&lt;"&amp;DC8,$BC$6:$BC$53,INDEX(T_Equipos[Grupo],MATCH(BD8,T_Equipos[NombreEquipo],0)))</f>
        <v>2</v>
      </c>
      <c r="DE8" s="768"/>
      <c r="DF8" s="768">
        <f t="shared" ca="1" si="32"/>
        <v>2</v>
      </c>
      <c r="DG8" s="768">
        <f ca="1">IF(DB8="-","-",COUNTIFS(DF$6:DF$53,"&lt;"&amp;DF8,$BC$6:$BC$53,INDEX(T_Equipos[Grupo],MATCH(BD8,T_Equipos[NombreEquipo],0))))</f>
        <v>1</v>
      </c>
      <c r="DH8" s="768">
        <f ca="1">DA8+COUNTIFS(DB$6:DB$53,DB8,DG$6:DG$53,"&lt;"&amp;DG8,$BC$6:$BC$53,INDEX(T_Equipos[Grupo],MATCH(BD8,T_Equipos[NombreEquipo],0)))</f>
        <v>2</v>
      </c>
      <c r="DI8" s="756"/>
      <c r="DJ8" s="756">
        <f ca="1">INDEX($DA$6:$DA$53,MATCH($DQ8,$BD$6:$BD$53,0))</f>
        <v>3</v>
      </c>
      <c r="DK8" s="756">
        <f t="shared" ca="1" si="24"/>
        <v>12</v>
      </c>
      <c r="DL8" s="756">
        <f t="shared" ca="1" si="33"/>
        <v>1</v>
      </c>
      <c r="DM8" s="750" t="str">
        <f t="shared" ca="1" si="34"/>
        <v>3.1</v>
      </c>
      <c r="DN8" s="756" cm="1">
        <f t="array" aca="1" ref="DN8" ca="1">OFFSET(Horarios!$P$3,DJ8-1,0,DL8,1)</f>
        <v>3</v>
      </c>
      <c r="DO8" s="756"/>
      <c r="DP8" s="756" t="s">
        <v>89</v>
      </c>
      <c r="DQ8" s="756" t="str">
        <f t="shared" ca="1" si="35"/>
        <v>República Checa</v>
      </c>
      <c r="DR8" s="756"/>
      <c r="DS8" s="756"/>
      <c r="DT8" s="756" t="str">
        <f t="shared" ca="1" si="15"/>
        <v>República Checa-México</v>
      </c>
      <c r="DU8" s="756"/>
      <c r="DV8" s="756"/>
      <c r="DW8" s="8"/>
    </row>
    <row r="9" spans="1:127" ht="18" customHeight="1" thickBot="1">
      <c r="A9" s="751"/>
      <c r="B9" s="754"/>
      <c r="C9" s="751"/>
      <c r="D9" s="756" t="str">
        <f t="shared" si="0"/>
        <v>Visitante</v>
      </c>
      <c r="E9" s="756" t="str">
        <f t="shared" ca="1" si="1"/>
        <v>-</v>
      </c>
      <c r="F9" s="756" t="str">
        <f t="shared" ca="1" si="2"/>
        <v>P.1 (2)</v>
      </c>
      <c r="G9" s="756"/>
      <c r="H9" s="756" t="str">
        <f t="shared" ca="1" si="3"/>
        <v>-</v>
      </c>
      <c r="I9" s="756" t="str">
        <f t="shared" ca="1" si="4"/>
        <v>P.1 (2)</v>
      </c>
      <c r="J9" s="756"/>
      <c r="K9" s="756" t="str">
        <f t="shared" ca="1" si="5"/>
        <v>-</v>
      </c>
      <c r="L9" s="756" t="str">
        <f t="shared" ca="1" si="6"/>
        <v>P.1 (2)</v>
      </c>
      <c r="M9" s="756"/>
      <c r="N9" s="756" t="str">
        <f t="shared" ca="1" si="7"/>
        <v>-</v>
      </c>
      <c r="O9" s="756" t="str">
        <f t="shared" ca="1" si="8"/>
        <v>P.1 (2)</v>
      </c>
      <c r="P9" s="756"/>
      <c r="Q9" s="756" t="str">
        <f t="shared" ca="1" si="9"/>
        <v>-</v>
      </c>
      <c r="R9" s="756" t="str">
        <f t="shared" ca="1" si="10"/>
        <v>P.1 (2)</v>
      </c>
      <c r="S9" s="756"/>
      <c r="T9" s="756" t="str">
        <f t="shared" ca="1" si="11"/>
        <v>-</v>
      </c>
      <c r="U9" s="756" t="str">
        <f t="shared" ca="1" si="12"/>
        <v>P.1 (2)</v>
      </c>
      <c r="V9" s="178"/>
      <c r="W9" s="831"/>
      <c r="X9" s="234">
        <f ca="1">Horarios!C9</f>
        <v>46197.791666666664</v>
      </c>
      <c r="Y9" s="235">
        <f ca="1">Horarios!C9</f>
        <v>46197.791666666664</v>
      </c>
      <c r="Z9" s="236" t="str">
        <f>$Z$8</f>
        <v>J3</v>
      </c>
      <c r="AA9" s="237" t="str">
        <f ca="1">A6</f>
        <v>Sudáfrica</v>
      </c>
      <c r="AB9" s="489" t="str" cm="1">
        <f t="array" aca="1" ref="AB9" ca="1">Ver_flag_local</f>
        <v/>
      </c>
      <c r="AC9" s="238">
        <v>1</v>
      </c>
      <c r="AD9" s="239">
        <v>2</v>
      </c>
      <c r="AE9" s="492" t="str" cm="1">
        <f t="array" aca="1" ref="AE9" ca="1">Ver_flag_visit</f>
        <v/>
      </c>
      <c r="AF9" s="240" t="str">
        <f ca="1">A7</f>
        <v>Corea del Sur</v>
      </c>
      <c r="AG9" s="421">
        <f t="shared" si="13"/>
        <v>1</v>
      </c>
      <c r="AH9" s="202">
        <v>54</v>
      </c>
      <c r="AI9" s="19" t="str">
        <f>AJ9&amp;$B$4</f>
        <v>4A</v>
      </c>
      <c r="AJ9" s="241">
        <v>4</v>
      </c>
      <c r="AK9" s="500" t="str" cm="1">
        <f t="array" aca="1" ref="AK9" ca="1">Ver_flag_visit</f>
        <v/>
      </c>
      <c r="AL9" s="242" t="str">
        <f ca="1">IFERROR(INDEX($BD$6:$BD$53,MATCH(AI9,$BN$6:$BN$53,0)),"")</f>
        <v>Sudáfrica</v>
      </c>
      <c r="AM9" s="243">
        <f t="shared" ca="1" si="16"/>
        <v>0</v>
      </c>
      <c r="AN9" s="244">
        <f t="shared" ca="1" si="16"/>
        <v>3</v>
      </c>
      <c r="AO9" s="244">
        <f t="shared" ca="1" si="16"/>
        <v>0</v>
      </c>
      <c r="AP9" s="244">
        <f t="shared" ca="1" si="16"/>
        <v>0</v>
      </c>
      <c r="AQ9" s="244">
        <f t="shared" ca="1" si="16"/>
        <v>3</v>
      </c>
      <c r="AR9" s="244">
        <f t="shared" ca="1" si="16"/>
        <v>2</v>
      </c>
      <c r="AS9" s="244">
        <f t="shared" ca="1" si="16"/>
        <v>6</v>
      </c>
      <c r="AT9" s="245">
        <f t="shared" ca="1" si="16"/>
        <v>-4</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3</v>
      </c>
      <c r="BF9" s="760">
        <f t="shared" ca="1" si="26"/>
        <v>3</v>
      </c>
      <c r="BG9" s="760">
        <f t="shared" ca="1" si="17"/>
        <v>1</v>
      </c>
      <c r="BH9" s="760">
        <f t="shared" ca="1" si="18"/>
        <v>0</v>
      </c>
      <c r="BI9" s="760">
        <f t="shared" ca="1" si="19"/>
        <v>2</v>
      </c>
      <c r="BJ9" s="760">
        <f t="shared" ca="1" si="20"/>
        <v>2</v>
      </c>
      <c r="BK9" s="760">
        <f t="shared" ca="1" si="21"/>
        <v>2</v>
      </c>
      <c r="BL9" s="760">
        <f t="shared" ca="1" si="27"/>
        <v>0</v>
      </c>
      <c r="BM9" s="760" t="str">
        <f t="shared" ca="1" si="22"/>
        <v>3A</v>
      </c>
      <c r="BN9" s="760" t="str">
        <f t="shared" ca="1" si="23"/>
        <v>3A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3</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v>
      </c>
      <c r="BU9" s="770" t="str">
        <f ca="1">IF($BT9="-","-",COUNTIFS(FGLocal,$BD9,Ganador,"Local",Part1Empate1V,$BT9)+COUNTIFS(FGVisitante,$BD9,Ganador,"Visitante",Part1Empate1L,$BT9))</f>
        <v>-</v>
      </c>
      <c r="BV9" s="770" t="str">
        <f ca="1">IF($BT9="-","-",COUNTIFS(FGLocal,$BD9,Ganador,"Empate",Part1Empate1V,$BT9)+COUNTIFS(FGVisitante,$BD9,Ganador,"Empate",Part1Empate1L,$BT9))</f>
        <v>-</v>
      </c>
      <c r="BW9" s="770" t="str">
        <f ca="1">IF($BT9="-","-",COUNTIFS(FGLocal,$BD9,Ganador,"Visitante",Part1Empate1V,$BT9)+COUNTIFS(FGVisitante,$BD9,Ganador,"Local",Part1Empate1L,$BT9))</f>
        <v>-</v>
      </c>
      <c r="BX9" s="770" t="str">
        <f ca="1">IF($BT9="-","-",BU9*3+BV9)</f>
        <v>-</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v>
      </c>
      <c r="CA9" s="770" t="str">
        <f ca="1">IF($BZ9="-","-",SUMIFS(FG_GolesLocal,FGLocal,$BD9,Part1Empate2V,$BZ9)+SUMIFS(FG_GolesVisitante,FGVisitante,$BD9,Part1Empate2L,$BZ9))</f>
        <v>-</v>
      </c>
      <c r="CB9" s="770" t="str">
        <f ca="1">IF($BZ9="-","-",SUMIFS(FG_GolesVisitante,FGLocal,$BD9,Part1Empate2V,$BZ9)+SUMIFS(FG_GolesLocal,FGVisitante,$BD9,Part1Empate2L,$BZ9))</f>
        <v>-</v>
      </c>
      <c r="CC9" s="770" t="str">
        <f ca="1">IF($BZ9="-","-",CA9-CB9)</f>
        <v>-</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v>
      </c>
      <c r="CF9" s="770" t="str">
        <f ca="1">IF($CE9="-","-",SUMIFS(FG_GolesLocal,FGLocal,$BD9,Part1Empate3V,$CE9)+SUMIFS(FG_GolesVisitante,FGVisitante,$BD9,Part1Empate3L,$CE9))</f>
        <v>-</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v>
      </c>
      <c r="CI9" s="770" t="str">
        <f ca="1">IF($CH9="-","-",COUNTIFS(FGLocal,$BD9,Ganador,"Local",Part2Empate4V,$CH9)+COUNTIFS(FGVisitante,$BD9,Ganador,"Visitante",Part2Empate4L,$CH9))</f>
        <v>-</v>
      </c>
      <c r="CJ9" s="770" t="str">
        <f ca="1">IF($CH9="-","-",COUNTIFS(FGLocal,$BD9,Ganador,"Empate",Part2Empate4V,$CH9)+COUNTIFS(FGVisitante,$BD9,Ganador,"Empate",Part2Empate4L,$CH9))</f>
        <v>-</v>
      </c>
      <c r="CK9" s="770" t="str">
        <f ca="1">IF($CH9="-","-",COUNTIFS(FGLocal,$BD9,Ganador,"Visitante",Part2Empate4V,$CH9)+COUNTIFS(FGVisitante,$BD9,Ganador,"Local",Part2Empate4L,$CH9))</f>
        <v>-</v>
      </c>
      <c r="CL9" s="770" t="str">
        <f ca="1">IF($CH9="-","-",CI9*3+CJ9)</f>
        <v>-</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v>
      </c>
      <c r="CO9" s="770" t="str">
        <f ca="1">IF($CN9="-","-",SUMIFS(FG_GolesLocal,FGLocal,$BD9,Part2Empate5V,$CN9)+SUMIFS(FG_GolesVisitante,FGVisitante,$BD9,Part2Empate5L,$CN9))</f>
        <v>-</v>
      </c>
      <c r="CP9" s="770" t="str">
        <f ca="1">IF($CN9="-","-",SUMIFS(FG_GolesVisitante,FGLocal,$BD9,Part2Empate5V,$CN9)+SUMIFS(FG_GolesLocal,FGVisitante,$BD9,Part2Empate5L,$CN9))</f>
        <v>-</v>
      </c>
      <c r="CQ9" s="770" t="str">
        <f ca="1">IF($CN9="-","-",CO9-CP9)</f>
        <v>-</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v>
      </c>
      <c r="CT9" s="770" t="str">
        <f ca="1">IF($CS9="-","-",SUMIFS(FG_GolesLocal,FGLocal,$BD9,Part2Empate6V,$CS9)+SUMIFS(FG_GolesVisitante,FGVisitante,$BD9,Part2Empate6L,$CS9))</f>
        <v>-</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v>
      </c>
      <c r="CW9" s="769" t="str">
        <f t="shared" ca="1" si="30"/>
        <v>-</v>
      </c>
      <c r="CX9" s="769">
        <f ca="1">CU9+COUNTIFS($CV$6:$CV$53,CV9,$CW$6:CW$53,"&gt;"&amp;CW9,$BC$6:$BC$53,INDEX(T_Equipos[Grupo],MATCH(BD9,T_Equipos[NombreEquipo],0)))</f>
        <v>3</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3</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3</v>
      </c>
      <c r="DE9" s="768"/>
      <c r="DF9" s="768">
        <f t="shared" ca="1" si="32"/>
        <v>3</v>
      </c>
      <c r="DG9" s="768" t="str">
        <f ca="1">IF(DB9="-","-",COUNTIFS(DF$6:DF$53,"&lt;"&amp;DF9,$BC$6:$BC$53,INDEX(T_Equipos[Grupo],MATCH(BD9,T_Equipos[NombreEquipo],0))))</f>
        <v>-</v>
      </c>
      <c r="DH9" s="768">
        <f ca="1">DA9+COUNTIFS(DB$6:DB$53,DB9,DG$6:DG$53,"&lt;"&amp;DG9,$BC$6:$BC$53,INDEX(T_Equipos[Grupo],MATCH(BD9,T_Equipos[NombreEquipo],0)))</f>
        <v>3</v>
      </c>
      <c r="DI9" s="756"/>
      <c r="DJ9" s="756">
        <f ca="1">INDEX($DA$6:$DA$53,MATCH($DQ9,$BD$6:$BD$53,0))</f>
        <v>4</v>
      </c>
      <c r="DK9" s="756">
        <f t="shared" ca="1" si="24"/>
        <v>12</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1</v>
      </c>
      <c r="BF10" s="760">
        <f t="shared" ca="1" si="26"/>
        <v>3</v>
      </c>
      <c r="BG10" s="760">
        <f t="shared" ca="1" si="17"/>
        <v>0</v>
      </c>
      <c r="BH10" s="760">
        <f t="shared" ca="1" si="18"/>
        <v>1</v>
      </c>
      <c r="BI10" s="760">
        <f t="shared" ca="1" si="19"/>
        <v>2</v>
      </c>
      <c r="BJ10" s="760">
        <f t="shared" ca="1" si="20"/>
        <v>1</v>
      </c>
      <c r="BK10" s="760">
        <f t="shared" ca="1" si="21"/>
        <v>4</v>
      </c>
      <c r="BL10" s="760">
        <f t="shared" ca="1" si="27"/>
        <v>-3</v>
      </c>
      <c r="BM10" s="760" t="str">
        <f t="shared" ca="1" si="22"/>
        <v>3B</v>
      </c>
      <c r="BN10" s="760" t="str">
        <f t="shared" ca="1" si="23"/>
        <v>3B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1</v>
      </c>
      <c r="BS10" s="769">
        <f ca="1">BP10+COUNTIFS($BQ$6:$BQ$53,BQ10,$BR$6:BR$53,"&gt;"&amp;BR10,$BC$6:$BC$53,INDEX(T_Equipos[Grupo],MATCH(BD10,T_Equipos[NombreEquipo],0)))</f>
        <v>3</v>
      </c>
      <c r="BT10" s="769" t="str">
        <f ca="1">IF(COUNTIFS($BS$6:$BS$53,BS10,$BC$6:$BC$53,INDEX(T_Equipos[Grupo],MATCH(BD10,T_Equipos[NombreEquipo],0)))=1,"-","P."&amp;BS10&amp;" ("&amp;COUNTIFS($BS$6:$BS$53,BS10,$BC$6:$BC$53,INDEX(T_Equipos[Grupo],MATCH(BD10,T_Equipos[NombreEquipo],0)))&amp;")")</f>
        <v>P.3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3</v>
      </c>
      <c r="BZ10" s="769" t="str">
        <f ca="1">IF(COUNTIFS($BY$6:$BY$53,BY10,$BC$6:$BC$53,INDEX(T_Equipos[Grupo],MATCH(BD10,T_Equipos[NombreEquipo],0)))=1,"-","P."&amp;BY10&amp;" ("&amp;COUNTIFS($BY$6:$BY$53,BY10,$BC$6:$BC$53,INDEX(T_Equipos[Grupo],MATCH(BD10,T_Equipos[NombreEquipo],0)))&amp;")")</f>
        <v>P.3 (2)</v>
      </c>
      <c r="CA10" s="770">
        <f t="shared" ref="CA10:CA53" ca="1" si="40">IF($BZ10="-","-",SUMIFS(FG_GolesLocal,FGLocal,$BD10,Part1Empate2V,$BZ10)+SUMIFS(FG_GolesVisitante,FGVisitante,$BD10,Part1Empate2L,$BZ10))</f>
        <v>1</v>
      </c>
      <c r="CB10" s="770">
        <f t="shared" ref="CB10:CB53" ca="1" si="41">IF($BZ10="-","-",SUMIFS(FG_GolesVisitante,FGLocal,$BD10,Part1Empate2V,$BZ10)+SUMIFS(FG_GolesLocal,FGVisitante,$BD10,Part1Empate2L,$BZ10))</f>
        <v>1</v>
      </c>
      <c r="CC10" s="770">
        <f t="shared" ref="CC10:CC53" ca="1" si="42">IF($BZ10="-","-",CA10-CB10)</f>
        <v>0</v>
      </c>
      <c r="CD10" s="770">
        <f ca="1">BY10+COUNTIFS($BZ$6:$BZ$53,BZ10,$CC$6:CC$53,"&gt;"&amp;CC10,$BC$6:$BC$53,INDEX(T_Equipos[Grupo],MATCH(BD10,T_Equipos[NombreEquipo],0)))</f>
        <v>3</v>
      </c>
      <c r="CE10" s="769" t="str">
        <f ca="1">IF(COUNTIFS($CD$6:$CD$53,CD10,$BC$6:$BC$53,INDEX(T_Equipos[Grupo],MATCH(BD10,T_Equipos[NombreEquipo],0)))=1,"-","P."&amp;CD10&amp;" ("&amp;COUNTIFS($CD$6:$CD$53,CD10,$BC$6:$BC$53,INDEX(T_Equipos[Grupo],MATCH(BD10,T_Equipos[NombreEquipo],0)))&amp;")")</f>
        <v>P.3 (2)</v>
      </c>
      <c r="CF10" s="770">
        <f t="shared" ref="CF10:CF53" ca="1" si="43">IF($CE10="-","-",SUMIFS(FG_GolesLocal,FGLocal,$BD10,Part1Empate3V,$CE10)+SUMIFS(FG_GolesVisitante,FGVisitante,$BD10,Part1Empate3L,$CE10))</f>
        <v>1</v>
      </c>
      <c r="CG10" s="770">
        <f ca="1">CD10+COUNTIFS($CE$6:$CE$53,CE10,$CF$6:CF$53,"&gt;"&amp;CF10,$BC$6:$BC$53,INDEX(T_Equipos[Grupo],MATCH(BD10,T_Equipos[NombreEquipo],0)))</f>
        <v>3</v>
      </c>
      <c r="CH10" s="769" t="str">
        <f ca="1">IF(COUNTIFS($CG$6:$CG$53,CG10,$BC$6:$BC$53,INDEX(T_Equipos[Grupo],MATCH(BD10,T_Equipos[NombreEquipo],0)))=1,"-","P."&amp;CG10&amp;" ("&amp;COUNTIFS($CG$6:$CG$53,CG10,$BC$6:$BC$53,INDEX(T_Equipos[Grupo],MATCH(BD10,T_Equipos[NombreEquipo],0)))&amp;")")</f>
        <v>P.3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3</v>
      </c>
      <c r="CN10" s="769" t="str">
        <f ca="1">IF(COUNTIFS($CM$6:$CM$53,CM10,$BC$6:$BC$53,INDEX(T_Equipos[Grupo],MATCH(BD10,T_Equipos[NombreEquipo],0)))=1,"-","P."&amp;CM10&amp;" ("&amp;COUNTIFS($CM$6:$CM$53,CM10,$BC$6:$BC$53,INDEX(T_Equipos[Grupo],MATCH(BD10,T_Equipos[NombreEquipo],0)))&amp;")")</f>
        <v>P.3 (2)</v>
      </c>
      <c r="CO10" s="770">
        <f t="shared" ref="CO10:CO53" ca="1" si="48">IF($CN10="-","-",SUMIFS(FG_GolesLocal,FGLocal,$BD10,Part2Empate5V,$CN10)+SUMIFS(FG_GolesVisitante,FGVisitante,$BD10,Part2Empate5L,$CN10))</f>
        <v>1</v>
      </c>
      <c r="CP10" s="770">
        <f t="shared" ref="CP10:CP53" ca="1" si="49">IF($CN10="-","-",SUMIFS(FG_GolesVisitante,FGLocal,$BD10,Part2Empate5V,$CN10)+SUMIFS(FG_GolesLocal,FGVisitante,$BD10,Part2Empate5L,$CN10))</f>
        <v>1</v>
      </c>
      <c r="CQ10" s="770">
        <f t="shared" ref="CQ10:CQ53" ca="1" si="50">IF($CN10="-","-",CO10-CP10)</f>
        <v>0</v>
      </c>
      <c r="CR10" s="770">
        <f ca="1">CM10+COUNTIFS($CN$6:$CN$53,CN10,$CQ$6:CQ$53,"&gt;"&amp;CQ10,$BC$6:$BC$53,INDEX(T_Equipos[Grupo],MATCH(BD10,T_Equipos[NombreEquipo],0)))</f>
        <v>3</v>
      </c>
      <c r="CS10" s="769" t="str">
        <f ca="1">IF(COUNTIFS($CR$6:$CR$53,CR10,$BC$6:$BC$53,INDEX(T_Equipos[Grupo],MATCH(BD10,T_Equipos[NombreEquipo],0)))=1,"-","P."&amp;CR10&amp;" ("&amp;COUNTIFS($CR$6:$CR$53,CR10,$BC$6:$BC$53,INDEX(T_Equipos[Grupo],MATCH(BD10,T_Equipos[NombreEquipo],0)))&amp;")")</f>
        <v>P.3 (2)</v>
      </c>
      <c r="CT10" s="770">
        <f t="shared" ref="CT10:CT53" ca="1" si="51">IF($CS10="-","-",SUMIFS(FG_GolesLocal,FGLocal,$BD10,Part2Empate6V,$CS10)+SUMIFS(FG_GolesVisitante,FGVisitante,$BD10,Part2Empate6L,$CS10))</f>
        <v>1</v>
      </c>
      <c r="CU10" s="770">
        <f ca="1">CR10+COUNTIFS($CS$6:$CS$53,CS10,$CT$6:CT$53,"&gt;"&amp;CT10,$BC$6:$BC$53,INDEX(T_Equipos[Grupo],MATCH(BD10,T_Equipos[NombreEquipo],0)))</f>
        <v>3</v>
      </c>
      <c r="CV10" s="769" t="str">
        <f ca="1">IF(COUNTIFS($CU$6:$CU$53,CU10,$BC$6:$BC$53,INDEX(T_Equipos[Grupo],MATCH(BD10,T_Equipos[NombreEquipo],0)))=1,"-","P."&amp;CU10&amp;" ("&amp;COUNTIFS($CU$6:$CU$53,CU10,$BC$6:$BC$53,INDEX(T_Equipos[Grupo],MATCH(BD10,T_Equipos[NombreEquipo],0)))&amp;")")</f>
        <v>P.3 (2)</v>
      </c>
      <c r="CW10" s="769">
        <f t="shared" ca="1" si="30"/>
        <v>-3</v>
      </c>
      <c r="CX10" s="769">
        <f ca="1">CU10+COUNTIFS($CV$6:$CV$53,CV10,$CW$6:CW$53,"&gt;"&amp;CW10,$BC$6:$BC$53,INDEX(T_Equipos[Grupo],MATCH(BD10,T_Equipos[NombreEquipo],0)))</f>
        <v>3</v>
      </c>
      <c r="CY10" s="769" t="str">
        <f ca="1">IF(COUNTIFS($CX$6:$CX$53,CX10,$BC$6:$BC$53,INDEX(T_Equipos[Grupo],MATCH(BD10,T_Equipos[NombreEquipo],0)))=1,"-","P."&amp;CX10&amp;" ("&amp;COUNTIFS($CX$6:$CX$53,CX10,$BC$6:$BC$53,INDEX(T_Equipos[Grupo],MATCH(BD10,T_Equipos[NombreEquipo],0)))&amp;")")</f>
        <v>-</v>
      </c>
      <c r="CZ10" s="769" t="str">
        <f t="shared" ca="1" si="31"/>
        <v>-</v>
      </c>
      <c r="DA10" s="770">
        <f ca="1">CX10+COUNTIFS($CY$6:$CY$53,CY10,$CZ$6:CZ$53,"&gt;"&amp;CZ10,$BC$6:$BC$53,INDEX(T_Equipos[Grupo],MATCH(BD10,T_Equipos[NombreEquipo],0)))</f>
        <v>3</v>
      </c>
      <c r="DB10" s="769" t="str">
        <f ca="1">IF(COUNTIFS($DA$6:$DA$53,DA10,$BC$6:$BC$53,INDEX(T_Equipos[Grupo],MATCH(BD10,T_Equipos[NombreEquipo],0)))=1,"-","P."&amp;DA10&amp;" ("&amp;COUNTIFS($DA$6:$DA$53,DA10,$BC$6:$BC$53,INDEX(T_Equipos[Grupo],MATCH(BD10,T_Equipos[NombreEquipo],0)))&amp;")")</f>
        <v>-</v>
      </c>
      <c r="DC10" s="768" t="str">
        <f ca="1">IF(DB10="-","-",COUNTIFS(T_Equipos[Rank],"&lt;"&amp;INDEX(T_Equipos[Rank],MATCH(BD10,T_Equipos[NombreEquipo],0)),$BC$6:$BC$53,INDEX(T_Equipos[Grupo],MATCH(BD10,T_Equipos[NombreEquipo],0)))+1)</f>
        <v>-</v>
      </c>
      <c r="DD10" s="768">
        <f ca="1">DA10+COUNTIFS($DB$6:$DB$53,DB10,$DC$6:DC$53,"&lt;"&amp;DC10,$BC$6:$BC$53,INDEX(T_Equipos[Grupo],MATCH(BD10,T_Equipos[NombreEquipo],0)))</f>
        <v>3</v>
      </c>
      <c r="DE10" s="768"/>
      <c r="DF10" s="768">
        <f t="shared" ref="DF10:DF53" ca="1" si="52">IF(OR(INDEX($AW$6:$AW$97,MATCH($BD10,$AV$6:$AV$97,0))="",DB10="-"),DD10,INDEX($AW$6:$AW$97,MATCH($BD10,$AV$6:$AV$97,0))+DD10/1000)</f>
        <v>3</v>
      </c>
      <c r="DG10" s="768" t="str">
        <f ca="1">IF(DB10="-","-",COUNTIFS(DF$6:DF$53,"&lt;"&amp;DF10,$BC$6:$BC$53,INDEX(T_Equipos[Grupo],MATCH(BD10,T_Equipos[NombreEquipo],0))))</f>
        <v>-</v>
      </c>
      <c r="DH10" s="768">
        <f ca="1">DA10+COUNTIFS(DB$6:DB$53,DB10,DG$6:DG$53,"&lt;"&amp;DG10,$BC$6:$BC$53,INDEX(T_Equipos[Grupo],MATCH(BD10,T_Equipos[NombreEquipo],0)))</f>
        <v>3</v>
      </c>
      <c r="DI10" s="756"/>
      <c r="DJ10" s="756">
        <f t="shared" ref="DJ10:DJ53" ca="1" si="53">INDEX($DA$6:$DA$53,MATCH($DQ10,$BD$6:$BD$53,0))</f>
        <v>1</v>
      </c>
      <c r="DK10" s="756">
        <f t="shared" ca="1" si="24"/>
        <v>12</v>
      </c>
      <c r="DL10" s="756">
        <f t="shared" ca="1" si="33"/>
        <v>1</v>
      </c>
      <c r="DM10" s="750" t="str">
        <f t="shared" ca="1" si="34"/>
        <v>1.1</v>
      </c>
      <c r="DN10" s="756" cm="1">
        <f t="array" aca="1" ref="DN10" ca="1">OFFSET(Horarios!$P$3,DJ10-1,0,DL10,1)</f>
        <v>1</v>
      </c>
      <c r="DO10" s="756"/>
      <c r="DP10" s="756" t="s">
        <v>648</v>
      </c>
      <c r="DQ10" s="756" t="str">
        <f t="shared" ca="1" si="35"/>
        <v>Suiza</v>
      </c>
      <c r="DR10" s="756"/>
      <c r="DS10" s="756"/>
      <c r="DT10" s="756" t="str">
        <f t="shared" si="15"/>
        <v>-</v>
      </c>
      <c r="DU10" s="756"/>
      <c r="DV10" s="756"/>
      <c r="DW10" s="8"/>
    </row>
    <row r="11" spans="1:127" ht="16" customHeight="1" thickBot="1">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7</v>
      </c>
      <c r="BF11" s="760">
        <f t="shared" ca="1" si="26"/>
        <v>3</v>
      </c>
      <c r="BG11" s="760">
        <f t="shared" ca="1" si="17"/>
        <v>2</v>
      </c>
      <c r="BH11" s="760">
        <f t="shared" ca="1" si="18"/>
        <v>1</v>
      </c>
      <c r="BI11" s="760">
        <f t="shared" ca="1" si="19"/>
        <v>0</v>
      </c>
      <c r="BJ11" s="760">
        <f t="shared" ca="1" si="20"/>
        <v>7</v>
      </c>
      <c r="BK11" s="760">
        <f t="shared" ca="1" si="21"/>
        <v>2</v>
      </c>
      <c r="BL11" s="760">
        <f t="shared" ca="1" si="27"/>
        <v>5</v>
      </c>
      <c r="BM11" s="760" t="str">
        <f t="shared" ca="1" si="22"/>
        <v>2B</v>
      </c>
      <c r="BN11" s="760" t="str">
        <f t="shared" ca="1" si="23"/>
        <v>2B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7</v>
      </c>
      <c r="BS11" s="769">
        <f ca="1">BP11+COUNTIFS($BQ$6:$BQ$53,BQ11,$BR$6:BR$53,"&gt;"&amp;BR11,$BC$6:$BC$53,INDEX(T_Equipos[Grupo],MATCH(BD11,T_Equipos[NombreEquipo],0)))</f>
        <v>1</v>
      </c>
      <c r="BT11" s="769" t="str">
        <f ca="1">IF(COUNTIFS($BS$6:$BS$53,BS11,$BC$6:$BC$53,INDEX(T_Equipos[Grupo],MATCH(BD11,T_Equipos[NombreEquipo],0)))=1,"-","P."&amp;BS11&amp;" ("&amp;COUNTIFS($BS$6:$BS$53,BS11,$BC$6:$BC$53,INDEX(T_Equipos[Grupo],MATCH(BD11,T_Equipos[NombreEquipo],0)))&amp;")")</f>
        <v>P.1 (2)</v>
      </c>
      <c r="BU11" s="770">
        <f t="shared" ca="1" si="36"/>
        <v>0</v>
      </c>
      <c r="BV11" s="770">
        <f t="shared" ca="1" si="37"/>
        <v>1</v>
      </c>
      <c r="BW11" s="770">
        <f t="shared" ca="1" si="38"/>
        <v>0</v>
      </c>
      <c r="BX11" s="770">
        <f t="shared" ca="1" si="39"/>
        <v>1</v>
      </c>
      <c r="BY11" s="770">
        <f ca="1">BS11+COUNTIFS($BT$6:$BT$53,BT11,$BX$6:BX$53,"&gt;"&amp;BX11,$BC$6:$BC$53,INDEX(T_Equipos[Grupo],MATCH(BD11,T_Equipos[NombreEquipo],0)))</f>
        <v>1</v>
      </c>
      <c r="BZ11" s="769" t="str">
        <f ca="1">IF(COUNTIFS($BY$6:$BY$53,BY11,$BC$6:$BC$53,INDEX(T_Equipos[Grupo],MATCH(BD11,T_Equipos[NombreEquipo],0)))=1,"-","P."&amp;BY11&amp;" ("&amp;COUNTIFS($BY$6:$BY$53,BY11,$BC$6:$BC$53,INDEX(T_Equipos[Grupo],MATCH(BD11,T_Equipos[NombreEquipo],0)))&amp;")")</f>
        <v>P.1 (2)</v>
      </c>
      <c r="CA11" s="770">
        <f t="shared" ca="1" si="40"/>
        <v>2</v>
      </c>
      <c r="CB11" s="770">
        <f t="shared" ca="1" si="41"/>
        <v>2</v>
      </c>
      <c r="CC11" s="770">
        <f t="shared" ca="1" si="42"/>
        <v>0</v>
      </c>
      <c r="CD11" s="770">
        <f ca="1">BY11+COUNTIFS($BZ$6:$BZ$53,BZ11,$CC$6:CC$53,"&gt;"&amp;CC11,$BC$6:$BC$53,INDEX(T_Equipos[Grupo],MATCH(BD11,T_Equipos[NombreEquipo],0)))</f>
        <v>1</v>
      </c>
      <c r="CE11" s="769" t="str">
        <f ca="1">IF(COUNTIFS($CD$6:$CD$53,CD11,$BC$6:$BC$53,INDEX(T_Equipos[Grupo],MATCH(BD11,T_Equipos[NombreEquipo],0)))=1,"-","P."&amp;CD11&amp;" ("&amp;COUNTIFS($CD$6:$CD$53,CD11,$BC$6:$BC$53,INDEX(T_Equipos[Grupo],MATCH(BD11,T_Equipos[NombreEquipo],0)))&amp;")")</f>
        <v>P.1 (2)</v>
      </c>
      <c r="CF11" s="770">
        <f t="shared" ca="1" si="43"/>
        <v>2</v>
      </c>
      <c r="CG11" s="770">
        <f ca="1">CD11+COUNTIFS($CE$6:$CE$53,CE11,$CF$6:CF$53,"&gt;"&amp;CF11,$BC$6:$BC$53,INDEX(T_Equipos[Grupo],MATCH(BD11,T_Equipos[NombreEquipo],0)))</f>
        <v>1</v>
      </c>
      <c r="CH11" s="769" t="str">
        <f ca="1">IF(COUNTIFS($CG$6:$CG$53,CG11,$BC$6:$BC$53,INDEX(T_Equipos[Grupo],MATCH(BD11,T_Equipos[NombreEquipo],0)))=1,"-","P."&amp;CG11&amp;" ("&amp;COUNTIFS($CG$6:$CG$53,CG11,$BC$6:$BC$53,INDEX(T_Equipos[Grupo],MATCH(BD11,T_Equipos[NombreEquipo],0)))&amp;")")</f>
        <v>P.1 (2)</v>
      </c>
      <c r="CI11" s="770">
        <f t="shared" ca="1" si="44"/>
        <v>0</v>
      </c>
      <c r="CJ11" s="770">
        <f t="shared" ca="1" si="45"/>
        <v>1</v>
      </c>
      <c r="CK11" s="770">
        <f t="shared" ca="1" si="46"/>
        <v>0</v>
      </c>
      <c r="CL11" s="770">
        <f t="shared" ca="1" si="47"/>
        <v>1</v>
      </c>
      <c r="CM11" s="770">
        <f ca="1">CG11+COUNTIFS($CH$6:$CH$53,CH11,$CL$6:CL$53,"&gt;"&amp;CL11,$BC$6:$BC$53,INDEX(T_Equipos[Grupo],MATCH(BD11,T_Equipos[NombreEquipo],0)))</f>
        <v>1</v>
      </c>
      <c r="CN11" s="769" t="str">
        <f ca="1">IF(COUNTIFS($CM$6:$CM$53,CM11,$BC$6:$BC$53,INDEX(T_Equipos[Grupo],MATCH(BD11,T_Equipos[NombreEquipo],0)))=1,"-","P."&amp;CM11&amp;" ("&amp;COUNTIFS($CM$6:$CM$53,CM11,$BC$6:$BC$53,INDEX(T_Equipos[Grupo],MATCH(BD11,T_Equipos[NombreEquipo],0)))&amp;")")</f>
        <v>P.1 (2)</v>
      </c>
      <c r="CO11" s="770">
        <f t="shared" ca="1" si="48"/>
        <v>2</v>
      </c>
      <c r="CP11" s="770">
        <f t="shared" ca="1" si="49"/>
        <v>2</v>
      </c>
      <c r="CQ11" s="770">
        <f t="shared" ca="1" si="50"/>
        <v>0</v>
      </c>
      <c r="CR11" s="770">
        <f ca="1">CM11+COUNTIFS($CN$6:$CN$53,CN11,$CQ$6:CQ$53,"&gt;"&amp;CQ11,$BC$6:$BC$53,INDEX(T_Equipos[Grupo],MATCH(BD11,T_Equipos[NombreEquipo],0)))</f>
        <v>1</v>
      </c>
      <c r="CS11" s="769" t="str">
        <f ca="1">IF(COUNTIFS($CR$6:$CR$53,CR11,$BC$6:$BC$53,INDEX(T_Equipos[Grupo],MATCH(BD11,T_Equipos[NombreEquipo],0)))=1,"-","P."&amp;CR11&amp;" ("&amp;COUNTIFS($CR$6:$CR$53,CR11,$BC$6:$BC$53,INDEX(T_Equipos[Grupo],MATCH(BD11,T_Equipos[NombreEquipo],0)))&amp;")")</f>
        <v>P.1 (2)</v>
      </c>
      <c r="CT11" s="770">
        <f t="shared" ca="1" si="51"/>
        <v>2</v>
      </c>
      <c r="CU11" s="770">
        <f ca="1">CR11+COUNTIFS($CS$6:$CS$53,CS11,$CT$6:CT$53,"&gt;"&amp;CT11,$BC$6:$BC$53,INDEX(T_Equipos[Grupo],MATCH(BD11,T_Equipos[NombreEquipo],0)))</f>
        <v>1</v>
      </c>
      <c r="CV11" s="769" t="str">
        <f ca="1">IF(COUNTIFS($CU$6:$CU$53,CU11,$BC$6:$BC$53,INDEX(T_Equipos[Grupo],MATCH(BD11,T_Equipos[NombreEquipo],0)))=1,"-","P."&amp;CU11&amp;" ("&amp;COUNTIFS($CU$6:$CU$53,CU11,$BC$6:$BC$53,INDEX(T_Equipos[Grupo],MATCH(BD11,T_Equipos[NombreEquipo],0)))&amp;")")</f>
        <v>P.1 (2)</v>
      </c>
      <c r="CW11" s="769">
        <f t="shared" ca="1" si="30"/>
        <v>5</v>
      </c>
      <c r="CX11" s="769">
        <f ca="1">CU11+COUNTIFS($CV$6:$CV$53,CV11,$CW$6:CW$53,"&gt;"&amp;CW11,$BC$6:$BC$53,INDEX(T_Equipos[Grupo],MATCH(BD11,T_Equipos[NombreEquipo],0)))</f>
        <v>2</v>
      </c>
      <c r="CY11" s="769" t="str">
        <f ca="1">IF(COUNTIFS($CX$6:$CX$53,CX11,$BC$6:$BC$53,INDEX(T_Equipos[Grupo],MATCH(BD11,T_Equipos[NombreEquipo],0)))=1,"-","P."&amp;CX11&amp;" ("&amp;COUNTIFS($CX$6:$CX$53,CX11,$BC$6:$BC$53,INDEX(T_Equipos[Grupo],MATCH(BD11,T_Equipos[NombreEquipo],0)))&amp;")")</f>
        <v>-</v>
      </c>
      <c r="CZ11" s="769" t="str">
        <f t="shared" ca="1" si="31"/>
        <v>-</v>
      </c>
      <c r="DA11" s="770">
        <f ca="1">CX11+COUNTIFS($CY$6:$CY$53,CY11,$CZ$6:CZ$53,"&gt;"&amp;CZ11,$BC$6:$BC$53,INDEX(T_Equipos[Grupo],MATCH(BD11,T_Equipos[NombreEquipo],0)))</f>
        <v>2</v>
      </c>
      <c r="DB11" s="769" t="str">
        <f ca="1">IF(COUNTIFS($DA$6:$DA$53,DA11,$BC$6:$BC$53,INDEX(T_Equipos[Grupo],MATCH(BD11,T_Equipos[NombreEquipo],0)))=1,"-","P."&amp;DA11&amp;" ("&amp;COUNTIFS($DA$6:$DA$53,DA11,$BC$6:$BC$53,INDEX(T_Equipos[Grupo],MATCH(BD11,T_Equipos[NombreEquipo],0)))&amp;")")</f>
        <v>-</v>
      </c>
      <c r="DC11" s="768" t="str">
        <f ca="1">IF(DB11="-","-",COUNTIFS(T_Equipos[Rank],"&lt;"&amp;INDEX(T_Equipos[Rank],MATCH(BD11,T_Equipos[NombreEquipo],0)),$BC$6:$BC$53,INDEX(T_Equipos[Grupo],MATCH(BD11,T_Equipos[NombreEquipo],0)))+1)</f>
        <v>-</v>
      </c>
      <c r="DD11" s="768">
        <f ca="1">DA11+COUNTIFS($DB$6:$DB$53,DB11,$DC$6:DC$53,"&lt;"&amp;DC11,$BC$6:$BC$53,INDEX(T_Equipos[Grupo],MATCH(BD11,T_Equipos[NombreEquipo],0)))</f>
        <v>2</v>
      </c>
      <c r="DE11" s="768"/>
      <c r="DF11" s="768">
        <f t="shared" ca="1" si="52"/>
        <v>2</v>
      </c>
      <c r="DG11" s="768" t="str">
        <f ca="1">IF(DB11="-","-",COUNTIFS(DF$6:DF$53,"&lt;"&amp;DF11,$BC$6:$BC$53,INDEX(T_Equipos[Grupo],MATCH(BD11,T_Equipos[NombreEquipo],0))))</f>
        <v>-</v>
      </c>
      <c r="DH11" s="768">
        <f ca="1">DA11+COUNTIFS(DB$6:DB$53,DB11,DG$6:DG$53,"&lt;"&amp;DG11,$BC$6:$BC$53,INDEX(T_Equipos[Grupo],MATCH(BD11,T_Equipos[NombreEquipo],0)))</f>
        <v>2</v>
      </c>
      <c r="DI11" s="756"/>
      <c r="DJ11" s="756">
        <f t="shared" ca="1" si="53"/>
        <v>2</v>
      </c>
      <c r="DK11" s="756">
        <f t="shared" ca="1" si="24"/>
        <v>12</v>
      </c>
      <c r="DL11" s="756">
        <f t="shared" ca="1" si="33"/>
        <v>1</v>
      </c>
      <c r="DM11" s="750" t="str">
        <f t="shared" ca="1" si="34"/>
        <v>2.1</v>
      </c>
      <c r="DN11" s="756" cm="1">
        <f t="array" aca="1" ref="DN11" ca="1">OFFSET(Horarios!$P$3,DJ11-1,0,DL11,1)</f>
        <v>2</v>
      </c>
      <c r="DO11" s="756"/>
      <c r="DP11" s="756" t="s">
        <v>649</v>
      </c>
      <c r="DQ11" s="756" t="str">
        <f t="shared" ca="1" si="35"/>
        <v>Bosnia y Herzegovina</v>
      </c>
      <c r="DR11" s="756"/>
      <c r="DS11" s="756"/>
      <c r="DT11" s="756" t="str">
        <f t="shared" si="15"/>
        <v>Casa-Fuera</v>
      </c>
      <c r="DU11" s="756"/>
      <c r="DV11" s="756"/>
      <c r="DW11" s="8"/>
    </row>
    <row r="12" spans="1:127" ht="15" customHeight="1" thickBot="1">
      <c r="A12" s="753" t="s">
        <v>30</v>
      </c>
      <c r="B12" s="754" t="s">
        <v>1</v>
      </c>
      <c r="C12" s="755">
        <f>COUNTIF(Equipos!$C$2:$C$49,WORLDCUP!B12)</f>
        <v>4</v>
      </c>
      <c r="D12" s="756" t="str">
        <f t="shared" ref="D12:D17" si="54">IF(OR(AC12="",AD12=""),"Pendiente",IF(AC12&gt;AD12,"Local",IF(AC12&lt;AD12,"Visitante","Empate")))</f>
        <v>Visitante</v>
      </c>
      <c r="E12" s="756" t="str">
        <f t="shared" ref="E12:E17" ca="1" si="55">IF(D12="Pendiente","-",INDEX($BT$6:$BT$53,MATCH($AA12,$BD$6:$BD$53,0)))</f>
        <v>P.3 (2)</v>
      </c>
      <c r="F12" s="756" t="str">
        <f t="shared" ref="F12:F17" ca="1" si="56">IF(D12="Pendiente","-",INDEX($BT$6:$BT$53,MATCH($AF12,$BD$6:$BD$53,0)))</f>
        <v>P.1 (2)</v>
      </c>
      <c r="G12" s="756"/>
      <c r="H12" s="756" t="str">
        <f t="shared" ref="H12:H17" ca="1" si="57">IF(D12="Pendiente","-",INDEX($BZ$6:$BZ$53,MATCH($AA12,$BD$6:$BD$53,0)))</f>
        <v>P.3 (2)</v>
      </c>
      <c r="I12" s="756" t="str">
        <f t="shared" ref="I12:I17" ca="1" si="58">IF(D12="Pendiente","-",INDEX($BZ$6:$BZ$53,MATCH($AF12,$BD$6:$BD$53,0)))</f>
        <v>P.1 (2)</v>
      </c>
      <c r="J12" s="756"/>
      <c r="K12" s="756" t="str">
        <f t="shared" ref="K12:K17" ca="1" si="59">IF(D12="Pendiente","-",INDEX($CE$6:$CE$53,MATCH($AA12,$BD$6:$BD$53,0)))</f>
        <v>P.3 (2)</v>
      </c>
      <c r="L12" s="756" t="str">
        <f t="shared" ref="L12:L17" ca="1" si="60">IF(D12="Pendiente","-",INDEX($CE$6:$CE$53,MATCH($AF12,$BD$6:$BD$53,0)))</f>
        <v>P.1 (2)</v>
      </c>
      <c r="M12" s="756"/>
      <c r="N12" s="756" t="str">
        <f t="shared" ref="N12:N17" ca="1" si="61">IF(D12="Pendiente","-",INDEX($CH$6:$CH$53,MATCH($AA12,$BD$6:$BD$53,0)))</f>
        <v>P.3 (2)</v>
      </c>
      <c r="O12" s="756" t="str">
        <f t="shared" ref="O12:O17" ca="1" si="62">IF(D12="Pendiente","-",INDEX($CH$6:$CH$53,MATCH($AF12,$BD$6:$BD$53,0)))</f>
        <v>P.1 (2)</v>
      </c>
      <c r="P12" s="756"/>
      <c r="Q12" s="756" t="str">
        <f t="shared" ref="Q12:Q17" ca="1" si="63">IF(D12="Pendiente","-",INDEX($CN$6:$CN$53,MATCH($AA12,$BD$6:$BD$53,0)))</f>
        <v>P.3 (2)</v>
      </c>
      <c r="R12" s="756" t="str">
        <f t="shared" ref="R12:R17" ca="1" si="64">IF(D12="Pendiente","-",INDEX($CN$6:$CN$53,MATCH($AF12,$BD$6:$BD$53,0)))</f>
        <v>P.1 (2)</v>
      </c>
      <c r="S12" s="756"/>
      <c r="T12" s="756" t="str">
        <f t="shared" ref="T12:T17" ca="1" si="65">IF(D12="Pendiente","-",INDEX($CS$6:$CS$53,MATCH($AA12,$BD$6:$BD$53,0)))</f>
        <v>P.3 (2)</v>
      </c>
      <c r="U12" s="756" t="str">
        <f t="shared" ref="U12:U17" ca="1" si="66">IF(D12="Pendiente","-",INDEX($CS$6:$CS$53,MATCH($AF12,$BD$6:$BD$53,0)))</f>
        <v>P.1 (2)</v>
      </c>
      <c r="V12" s="178"/>
      <c r="W12" s="832" t="s">
        <v>1</v>
      </c>
      <c r="X12" s="195">
        <f ca="1">Horarios!C12</f>
        <v>46185.541666666664</v>
      </c>
      <c r="Y12" s="196">
        <f ca="1">Horarios!C12</f>
        <v>46185.541666666664</v>
      </c>
      <c r="Z12" s="197" t="str">
        <f>$Z$4</f>
        <v>J1</v>
      </c>
      <c r="AA12" s="198" t="str">
        <f ca="1">A13</f>
        <v>Canadá</v>
      </c>
      <c r="AB12" s="486" t="str" cm="1">
        <f t="array" aca="1" ref="AB12" ca="1">Ver_flag_local</f>
        <v/>
      </c>
      <c r="AC12" s="199">
        <v>0</v>
      </c>
      <c r="AD12" s="200">
        <v>1</v>
      </c>
      <c r="AE12" s="491" t="str" cm="1">
        <f t="array" aca="1" ref="AE12" ca="1">Ver_flag_visit</f>
        <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1</v>
      </c>
      <c r="BF12" s="760">
        <f t="shared" ca="1" si="26"/>
        <v>3</v>
      </c>
      <c r="BG12" s="760">
        <f t="shared" ca="1" si="17"/>
        <v>0</v>
      </c>
      <c r="BH12" s="760">
        <f t="shared" ca="1" si="18"/>
        <v>1</v>
      </c>
      <c r="BI12" s="760">
        <f t="shared" ca="1" si="19"/>
        <v>2</v>
      </c>
      <c r="BJ12" s="760">
        <f t="shared" ca="1" si="20"/>
        <v>1</v>
      </c>
      <c r="BK12" s="760">
        <f t="shared" ca="1" si="21"/>
        <v>10</v>
      </c>
      <c r="BL12" s="760">
        <f t="shared" ca="1" si="27"/>
        <v>-9</v>
      </c>
      <c r="BM12" s="760" t="str">
        <f t="shared" ca="1" si="22"/>
        <v>4B</v>
      </c>
      <c r="BN12" s="760" t="str">
        <f t="shared" ca="1" si="23"/>
        <v>4B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1</v>
      </c>
      <c r="BS12" s="769">
        <f ca="1">BP12+COUNTIFS($BQ$6:$BQ$53,BQ12,$BR$6:BR$53,"&gt;"&amp;BR12,$BC$6:$BC$53,INDEX(T_Equipos[Grupo],MATCH(BD12,T_Equipos[NombreEquipo],0)))</f>
        <v>3</v>
      </c>
      <c r="BT12" s="769" t="str">
        <f ca="1">IF(COUNTIFS($BS$6:$BS$53,BS12,$BC$6:$BC$53,INDEX(T_Equipos[Grupo],MATCH(BD12,T_Equipos[NombreEquipo],0)))=1,"-","P."&amp;BS12&amp;" ("&amp;COUNTIFS($BS$6:$BS$53,BS12,$BC$6:$BC$53,INDEX(T_Equipos[Grupo],MATCH(BD12,T_Equipos[NombreEquipo],0)))&amp;")")</f>
        <v>P.3 (2)</v>
      </c>
      <c r="BU12" s="770">
        <f t="shared" ca="1" si="36"/>
        <v>0</v>
      </c>
      <c r="BV12" s="770">
        <f t="shared" ca="1" si="37"/>
        <v>1</v>
      </c>
      <c r="BW12" s="770">
        <f t="shared" ca="1" si="38"/>
        <v>0</v>
      </c>
      <c r="BX12" s="770">
        <f t="shared" ca="1" si="39"/>
        <v>1</v>
      </c>
      <c r="BY12" s="770">
        <f ca="1">BS12+COUNTIFS($BT$6:$BT$53,BT12,$BX$6:BX$53,"&gt;"&amp;BX12,$BC$6:$BC$53,INDEX(T_Equipos[Grupo],MATCH(BD12,T_Equipos[NombreEquipo],0)))</f>
        <v>3</v>
      </c>
      <c r="BZ12" s="769" t="str">
        <f ca="1">IF(COUNTIFS($BY$6:$BY$53,BY12,$BC$6:$BC$53,INDEX(T_Equipos[Grupo],MATCH(BD12,T_Equipos[NombreEquipo],0)))=1,"-","P."&amp;BY12&amp;" ("&amp;COUNTIFS($BY$6:$BY$53,BY12,$BC$6:$BC$53,INDEX(T_Equipos[Grupo],MATCH(BD12,T_Equipos[NombreEquipo],0)))&amp;")")</f>
        <v>P.3 (2)</v>
      </c>
      <c r="CA12" s="770">
        <f t="shared" ca="1" si="40"/>
        <v>1</v>
      </c>
      <c r="CB12" s="770">
        <f t="shared" ca="1" si="41"/>
        <v>1</v>
      </c>
      <c r="CC12" s="770">
        <f t="shared" ca="1" si="42"/>
        <v>0</v>
      </c>
      <c r="CD12" s="770">
        <f ca="1">BY12+COUNTIFS($BZ$6:$BZ$53,BZ12,$CC$6:CC$53,"&gt;"&amp;CC12,$BC$6:$BC$53,INDEX(T_Equipos[Grupo],MATCH(BD12,T_Equipos[NombreEquipo],0)))</f>
        <v>3</v>
      </c>
      <c r="CE12" s="769" t="str">
        <f ca="1">IF(COUNTIFS($CD$6:$CD$53,CD12,$BC$6:$BC$53,INDEX(T_Equipos[Grupo],MATCH(BD12,T_Equipos[NombreEquipo],0)))=1,"-","P."&amp;CD12&amp;" ("&amp;COUNTIFS($CD$6:$CD$53,CD12,$BC$6:$BC$53,INDEX(T_Equipos[Grupo],MATCH(BD12,T_Equipos[NombreEquipo],0)))&amp;")")</f>
        <v>P.3 (2)</v>
      </c>
      <c r="CF12" s="770">
        <f t="shared" ca="1" si="43"/>
        <v>1</v>
      </c>
      <c r="CG12" s="770">
        <f ca="1">CD12+COUNTIFS($CE$6:$CE$53,CE12,$CF$6:CF$53,"&gt;"&amp;CF12,$BC$6:$BC$53,INDEX(T_Equipos[Grupo],MATCH(BD12,T_Equipos[NombreEquipo],0)))</f>
        <v>3</v>
      </c>
      <c r="CH12" s="769" t="str">
        <f ca="1">IF(COUNTIFS($CG$6:$CG$53,CG12,$BC$6:$BC$53,INDEX(T_Equipos[Grupo],MATCH(BD12,T_Equipos[NombreEquipo],0)))=1,"-","P."&amp;CG12&amp;" ("&amp;COUNTIFS($CG$6:$CG$53,CG12,$BC$6:$BC$53,INDEX(T_Equipos[Grupo],MATCH(BD12,T_Equipos[NombreEquipo],0)))&amp;")")</f>
        <v>P.3 (2)</v>
      </c>
      <c r="CI12" s="770">
        <f t="shared" ca="1" si="44"/>
        <v>0</v>
      </c>
      <c r="CJ12" s="770">
        <f t="shared" ca="1" si="45"/>
        <v>1</v>
      </c>
      <c r="CK12" s="770">
        <f t="shared" ca="1" si="46"/>
        <v>0</v>
      </c>
      <c r="CL12" s="770">
        <f t="shared" ca="1" si="47"/>
        <v>1</v>
      </c>
      <c r="CM12" s="770">
        <f ca="1">CG12+COUNTIFS($CH$6:$CH$53,CH12,$CL$6:CL$53,"&gt;"&amp;CL12,$BC$6:$BC$53,INDEX(T_Equipos[Grupo],MATCH(BD12,T_Equipos[NombreEquipo],0)))</f>
        <v>3</v>
      </c>
      <c r="CN12" s="769" t="str">
        <f ca="1">IF(COUNTIFS($CM$6:$CM$53,CM12,$BC$6:$BC$53,INDEX(T_Equipos[Grupo],MATCH(BD12,T_Equipos[NombreEquipo],0)))=1,"-","P."&amp;CM12&amp;" ("&amp;COUNTIFS($CM$6:$CM$53,CM12,$BC$6:$BC$53,INDEX(T_Equipos[Grupo],MATCH(BD12,T_Equipos[NombreEquipo],0)))&amp;")")</f>
        <v>P.3 (2)</v>
      </c>
      <c r="CO12" s="770">
        <f t="shared" ca="1" si="48"/>
        <v>1</v>
      </c>
      <c r="CP12" s="770">
        <f t="shared" ca="1" si="49"/>
        <v>1</v>
      </c>
      <c r="CQ12" s="770">
        <f t="shared" ca="1" si="50"/>
        <v>0</v>
      </c>
      <c r="CR12" s="770">
        <f ca="1">CM12+COUNTIFS($CN$6:$CN$53,CN12,$CQ$6:CQ$53,"&gt;"&amp;CQ12,$BC$6:$BC$53,INDEX(T_Equipos[Grupo],MATCH(BD12,T_Equipos[NombreEquipo],0)))</f>
        <v>3</v>
      </c>
      <c r="CS12" s="769" t="str">
        <f ca="1">IF(COUNTIFS($CR$6:$CR$53,CR12,$BC$6:$BC$53,INDEX(T_Equipos[Grupo],MATCH(BD12,T_Equipos[NombreEquipo],0)))=1,"-","P."&amp;CR12&amp;" ("&amp;COUNTIFS($CR$6:$CR$53,CR12,$BC$6:$BC$53,INDEX(T_Equipos[Grupo],MATCH(BD12,T_Equipos[NombreEquipo],0)))&amp;")")</f>
        <v>P.3 (2)</v>
      </c>
      <c r="CT12" s="770">
        <f t="shared" ca="1" si="51"/>
        <v>1</v>
      </c>
      <c r="CU12" s="770">
        <f ca="1">CR12+COUNTIFS($CS$6:$CS$53,CS12,$CT$6:CT$53,"&gt;"&amp;CT12,$BC$6:$BC$53,INDEX(T_Equipos[Grupo],MATCH(BD12,T_Equipos[NombreEquipo],0)))</f>
        <v>3</v>
      </c>
      <c r="CV12" s="769" t="str">
        <f ca="1">IF(COUNTIFS($CU$6:$CU$53,CU12,$BC$6:$BC$53,INDEX(T_Equipos[Grupo],MATCH(BD12,T_Equipos[NombreEquipo],0)))=1,"-","P."&amp;CU12&amp;" ("&amp;COUNTIFS($CU$6:$CU$53,CU12,$BC$6:$BC$53,INDEX(T_Equipos[Grupo],MATCH(BD12,T_Equipos[NombreEquipo],0)))&amp;")")</f>
        <v>P.3 (2)</v>
      </c>
      <c r="CW12" s="769">
        <f t="shared" ca="1" si="30"/>
        <v>-9</v>
      </c>
      <c r="CX12" s="769">
        <f ca="1">CU12+COUNTIFS($CV$6:$CV$53,CV12,$CW$6:CW$53,"&gt;"&amp;CW12,$BC$6:$BC$53,INDEX(T_Equipos[Grupo],MATCH(BD12,T_Equipos[NombreEquipo],0)))</f>
        <v>4</v>
      </c>
      <c r="CY12" s="769" t="str">
        <f ca="1">IF(COUNTIFS($CX$6:$CX$53,CX12,$BC$6:$BC$53,INDEX(T_Equipos[Grupo],MATCH(BD12,T_Equipos[NombreEquipo],0)))=1,"-","P."&amp;CX12&amp;" ("&amp;COUNTIFS($CX$6:$CX$53,CX12,$BC$6:$BC$53,INDEX(T_Equipos[Grupo],MATCH(BD12,T_Equipos[NombreEquipo],0)))&amp;")")</f>
        <v>-</v>
      </c>
      <c r="CZ12" s="769" t="str">
        <f t="shared" ca="1" si="31"/>
        <v>-</v>
      </c>
      <c r="DA12" s="770">
        <f ca="1">CX12+COUNTIFS($CY$6:$CY$53,CY12,$CZ$6:CZ$53,"&gt;"&amp;CZ12,$BC$6:$BC$53,INDEX(T_Equipos[Grupo],MATCH(BD12,T_Equipos[NombreEquipo],0)))</f>
        <v>4</v>
      </c>
      <c r="DB12" s="769" t="str">
        <f ca="1">IF(COUNTIFS($DA$6:$DA$53,DA12,$BC$6:$BC$53,INDEX(T_Equipos[Grupo],MATCH(BD12,T_Equipos[NombreEquipo],0)))=1,"-","P."&amp;DA12&amp;" ("&amp;COUNTIFS($DA$6:$DA$53,DA12,$BC$6:$BC$53,INDEX(T_Equipos[Grupo],MATCH(BD12,T_Equipos[NombreEquipo],0)))&amp;")")</f>
        <v>-</v>
      </c>
      <c r="DC12" s="768" t="str">
        <f ca="1">IF(DB12="-","-",COUNTIFS(T_Equipos[Rank],"&lt;"&amp;INDEX(T_Equipos[Rank],MATCH(BD12,T_Equipos[NombreEquipo],0)),$BC$6:$BC$53,INDEX(T_Equipos[Grupo],MATCH(BD12,T_Equipos[NombreEquipo],0)))+1)</f>
        <v>-</v>
      </c>
      <c r="DD12" s="768">
        <f ca="1">DA12+COUNTIFS($DB$6:$DB$53,DB12,$DC$6:DC$53,"&lt;"&amp;DC12,$BC$6:$BC$53,INDEX(T_Equipos[Grupo],MATCH(BD12,T_Equipos[NombreEquipo],0)))</f>
        <v>4</v>
      </c>
      <c r="DE12" s="768"/>
      <c r="DF12" s="768">
        <f t="shared" ca="1" si="52"/>
        <v>4</v>
      </c>
      <c r="DG12" s="768" t="str">
        <f ca="1">IF(DB12="-","-",COUNTIFS(DF$6:DF$53,"&lt;"&amp;DF12,$BC$6:$BC$53,INDEX(T_Equipos[Grupo],MATCH(BD12,T_Equipos[NombreEquipo],0))))</f>
        <v>-</v>
      </c>
      <c r="DH12" s="768">
        <f ca="1">DA12+COUNTIFS(DB$6:DB$53,DB12,DG$6:DG$53,"&lt;"&amp;DG12,$BC$6:$BC$53,INDEX(T_Equipos[Grupo],MATCH(BD12,T_Equipos[NombreEquipo],0)))</f>
        <v>4</v>
      </c>
      <c r="DI12" s="756"/>
      <c r="DJ12" s="756">
        <f t="shared" ca="1" si="53"/>
        <v>3</v>
      </c>
      <c r="DK12" s="756">
        <f t="shared" ca="1" si="24"/>
        <v>12</v>
      </c>
      <c r="DL12" s="756">
        <f t="shared" ca="1" si="33"/>
        <v>1</v>
      </c>
      <c r="DM12" s="750" t="str">
        <f t="shared" ca="1" si="34"/>
        <v>3.1</v>
      </c>
      <c r="DN12" s="756" cm="1">
        <f t="array" aca="1" ref="DN12" ca="1">OFFSET(Horarios!$P$3,DJ12-1,0,DL12,1)</f>
        <v>3</v>
      </c>
      <c r="DO12" s="756"/>
      <c r="DP12" s="756" t="s">
        <v>90</v>
      </c>
      <c r="DQ12" s="756" t="str">
        <f t="shared" ca="1" si="35"/>
        <v>Canadá</v>
      </c>
      <c r="DR12" s="756"/>
      <c r="DS12" s="756"/>
      <c r="DT12" s="756" t="str">
        <f t="shared" ca="1" si="15"/>
        <v>Canadá-Bosnia y Herzegovina</v>
      </c>
      <c r="DU12" s="756"/>
      <c r="DV12" s="756"/>
      <c r="DW12" s="8"/>
    </row>
    <row r="13" spans="1:127" ht="16" customHeight="1">
      <c r="A13" s="757" t="str">
        <f ca="1">+Equipos!B6</f>
        <v>Canadá</v>
      </c>
      <c r="B13" s="754"/>
      <c r="C13" s="754"/>
      <c r="D13" s="756" t="str">
        <f t="shared" si="54"/>
        <v>Visitante</v>
      </c>
      <c r="E13" s="756" t="str">
        <f t="shared" ca="1" si="55"/>
        <v>P.3 (2)</v>
      </c>
      <c r="F13" s="756" t="str">
        <f t="shared" ca="1" si="56"/>
        <v>P.1 (2)</v>
      </c>
      <c r="G13" s="756"/>
      <c r="H13" s="756" t="str">
        <f t="shared" ca="1" si="57"/>
        <v>P.3 (2)</v>
      </c>
      <c r="I13" s="756" t="str">
        <f t="shared" ca="1" si="58"/>
        <v>P.1 (2)</v>
      </c>
      <c r="J13" s="756"/>
      <c r="K13" s="756" t="str">
        <f t="shared" ca="1" si="59"/>
        <v>P.3 (2)</v>
      </c>
      <c r="L13" s="756" t="str">
        <f t="shared" ca="1" si="60"/>
        <v>P.1 (2)</v>
      </c>
      <c r="M13" s="756"/>
      <c r="N13" s="756" t="str">
        <f t="shared" ca="1" si="61"/>
        <v>P.3 (2)</v>
      </c>
      <c r="O13" s="756" t="str">
        <f t="shared" ca="1" si="62"/>
        <v>P.1 (2)</v>
      </c>
      <c r="P13" s="756"/>
      <c r="Q13" s="756" t="str">
        <f t="shared" ca="1" si="63"/>
        <v>P.3 (2)</v>
      </c>
      <c r="R13" s="756" t="str">
        <f t="shared" ca="1" si="64"/>
        <v>P.1 (2)</v>
      </c>
      <c r="S13" s="756"/>
      <c r="T13" s="756" t="str">
        <f t="shared" ca="1" si="65"/>
        <v>P.3 (2)</v>
      </c>
      <c r="U13" s="756" t="str">
        <f t="shared" ca="1" si="66"/>
        <v>P.1 (2)</v>
      </c>
      <c r="V13" s="178"/>
      <c r="W13" s="832"/>
      <c r="X13" s="195">
        <f ca="1">Horarios!C13</f>
        <v>46186.541666666664</v>
      </c>
      <c r="Y13" s="196">
        <f ca="1">Horarios!C13</f>
        <v>46186.541666666664</v>
      </c>
      <c r="Z13" s="197" t="str">
        <f>$Z$4</f>
        <v>J1</v>
      </c>
      <c r="AA13" s="198" t="str">
        <f ca="1">A15</f>
        <v>Catar</v>
      </c>
      <c r="AB13" s="486" t="str" cm="1">
        <f t="array" aca="1" ref="AB13" ca="1">Ver_flag_local</f>
        <v/>
      </c>
      <c r="AC13" s="199">
        <v>0</v>
      </c>
      <c r="AD13" s="200">
        <v>5</v>
      </c>
      <c r="AE13" s="491" t="str" cm="1">
        <f t="array" aca="1" ref="AE13" ca="1">Ver_flag_visit</f>
        <v/>
      </c>
      <c r="AF13" s="201" t="str">
        <f ca="1">A16</f>
        <v>Suiza</v>
      </c>
      <c r="AG13" s="421">
        <f t="shared" si="67"/>
        <v>1</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7</v>
      </c>
      <c r="BF13" s="760">
        <f t="shared" ca="1" si="26"/>
        <v>3</v>
      </c>
      <c r="BG13" s="760">
        <f t="shared" ca="1" si="17"/>
        <v>2</v>
      </c>
      <c r="BH13" s="760">
        <f t="shared" ca="1" si="18"/>
        <v>1</v>
      </c>
      <c r="BI13" s="760">
        <f t="shared" ca="1" si="19"/>
        <v>0</v>
      </c>
      <c r="BJ13" s="760">
        <f t="shared" ca="1" si="20"/>
        <v>9</v>
      </c>
      <c r="BK13" s="760">
        <f t="shared" ca="1" si="21"/>
        <v>2</v>
      </c>
      <c r="BL13" s="760">
        <f t="shared" ca="1" si="27"/>
        <v>7</v>
      </c>
      <c r="BM13" s="760" t="str">
        <f t="shared" ca="1" si="22"/>
        <v>1B</v>
      </c>
      <c r="BN13" s="760" t="str">
        <f t="shared" ca="1" si="23"/>
        <v>1B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7</v>
      </c>
      <c r="BS13" s="769">
        <f ca="1">BP13+COUNTIFS($BQ$6:$BQ$53,BQ13,$BR$6:BR$53,"&gt;"&amp;BR13,$BC$6:$BC$53,INDEX(T_Equipos[Grupo],MATCH(BD13,T_Equipos[NombreEquipo],0)))</f>
        <v>1</v>
      </c>
      <c r="BT13" s="769" t="str">
        <f ca="1">IF(COUNTIFS($BS$6:$BS$53,BS13,$BC$6:$BC$53,INDEX(T_Equipos[Grupo],MATCH(BD13,T_Equipos[NombreEquipo],0)))=1,"-","P."&amp;BS13&amp;" ("&amp;COUNTIFS($BS$6:$BS$53,BS13,$BC$6:$BC$53,INDEX(T_Equipos[Grupo],MATCH(BD13,T_Equipos[NombreEquipo],0)))&amp;")")</f>
        <v>P.1 (2)</v>
      </c>
      <c r="BU13" s="770">
        <f t="shared" ca="1" si="36"/>
        <v>0</v>
      </c>
      <c r="BV13" s="770">
        <f t="shared" ca="1" si="37"/>
        <v>1</v>
      </c>
      <c r="BW13" s="770">
        <f t="shared" ca="1" si="38"/>
        <v>0</v>
      </c>
      <c r="BX13" s="770">
        <f t="shared" ca="1" si="39"/>
        <v>1</v>
      </c>
      <c r="BY13" s="770">
        <f ca="1">BS13+COUNTIFS($BT$6:$BT$53,BT13,$BX$6:BX$53,"&gt;"&amp;BX13,$BC$6:$BC$53,INDEX(T_Equipos[Grupo],MATCH(BD13,T_Equipos[NombreEquipo],0)))</f>
        <v>1</v>
      </c>
      <c r="BZ13" s="769" t="str">
        <f ca="1">IF(COUNTIFS($BY$6:$BY$53,BY13,$BC$6:$BC$53,INDEX(T_Equipos[Grupo],MATCH(BD13,T_Equipos[NombreEquipo],0)))=1,"-","P."&amp;BY13&amp;" ("&amp;COUNTIFS($BY$6:$BY$53,BY13,$BC$6:$BC$53,INDEX(T_Equipos[Grupo],MATCH(BD13,T_Equipos[NombreEquipo],0)))&amp;")")</f>
        <v>P.1 (2)</v>
      </c>
      <c r="CA13" s="770">
        <f t="shared" ca="1" si="40"/>
        <v>2</v>
      </c>
      <c r="CB13" s="770">
        <f t="shared" ca="1" si="41"/>
        <v>2</v>
      </c>
      <c r="CC13" s="770">
        <f t="shared" ca="1" si="42"/>
        <v>0</v>
      </c>
      <c r="CD13" s="770">
        <f ca="1">BY13+COUNTIFS($BZ$6:$BZ$53,BZ13,$CC$6:CC$53,"&gt;"&amp;CC13,$BC$6:$BC$53,INDEX(T_Equipos[Grupo],MATCH(BD13,T_Equipos[NombreEquipo],0)))</f>
        <v>1</v>
      </c>
      <c r="CE13" s="769" t="str">
        <f ca="1">IF(COUNTIFS($CD$6:$CD$53,CD13,$BC$6:$BC$53,INDEX(T_Equipos[Grupo],MATCH(BD13,T_Equipos[NombreEquipo],0)))=1,"-","P."&amp;CD13&amp;" ("&amp;COUNTIFS($CD$6:$CD$53,CD13,$BC$6:$BC$53,INDEX(T_Equipos[Grupo],MATCH(BD13,T_Equipos[NombreEquipo],0)))&amp;")")</f>
        <v>P.1 (2)</v>
      </c>
      <c r="CF13" s="770">
        <f t="shared" ca="1" si="43"/>
        <v>2</v>
      </c>
      <c r="CG13" s="770">
        <f ca="1">CD13+COUNTIFS($CE$6:$CE$53,CE13,$CF$6:CF$53,"&gt;"&amp;CF13,$BC$6:$BC$53,INDEX(T_Equipos[Grupo],MATCH(BD13,T_Equipos[NombreEquipo],0)))</f>
        <v>1</v>
      </c>
      <c r="CH13" s="769" t="str">
        <f ca="1">IF(COUNTIFS($CG$6:$CG$53,CG13,$BC$6:$BC$53,INDEX(T_Equipos[Grupo],MATCH(BD13,T_Equipos[NombreEquipo],0)))=1,"-","P."&amp;CG13&amp;" ("&amp;COUNTIFS($CG$6:$CG$53,CG13,$BC$6:$BC$53,INDEX(T_Equipos[Grupo],MATCH(BD13,T_Equipos[NombreEquipo],0)))&amp;")")</f>
        <v>P.1 (2)</v>
      </c>
      <c r="CI13" s="770">
        <f t="shared" ca="1" si="44"/>
        <v>0</v>
      </c>
      <c r="CJ13" s="770">
        <f t="shared" ca="1" si="45"/>
        <v>1</v>
      </c>
      <c r="CK13" s="770">
        <f t="shared" ca="1" si="46"/>
        <v>0</v>
      </c>
      <c r="CL13" s="770">
        <f t="shared" ca="1" si="47"/>
        <v>1</v>
      </c>
      <c r="CM13" s="770">
        <f ca="1">CG13+COUNTIFS($CH$6:$CH$53,CH13,$CL$6:CL$53,"&gt;"&amp;CL13,$BC$6:$BC$53,INDEX(T_Equipos[Grupo],MATCH(BD13,T_Equipos[NombreEquipo],0)))</f>
        <v>1</v>
      </c>
      <c r="CN13" s="769" t="str">
        <f ca="1">IF(COUNTIFS($CM$6:$CM$53,CM13,$BC$6:$BC$53,INDEX(T_Equipos[Grupo],MATCH(BD13,T_Equipos[NombreEquipo],0)))=1,"-","P."&amp;CM13&amp;" ("&amp;COUNTIFS($CM$6:$CM$53,CM13,$BC$6:$BC$53,INDEX(T_Equipos[Grupo],MATCH(BD13,T_Equipos[NombreEquipo],0)))&amp;")")</f>
        <v>P.1 (2)</v>
      </c>
      <c r="CO13" s="770">
        <f t="shared" ca="1" si="48"/>
        <v>2</v>
      </c>
      <c r="CP13" s="770">
        <f t="shared" ca="1" si="49"/>
        <v>2</v>
      </c>
      <c r="CQ13" s="770">
        <f t="shared" ca="1" si="50"/>
        <v>0</v>
      </c>
      <c r="CR13" s="770">
        <f ca="1">CM13+COUNTIFS($CN$6:$CN$53,CN13,$CQ$6:CQ$53,"&gt;"&amp;CQ13,$BC$6:$BC$53,INDEX(T_Equipos[Grupo],MATCH(BD13,T_Equipos[NombreEquipo],0)))</f>
        <v>1</v>
      </c>
      <c r="CS13" s="769" t="str">
        <f ca="1">IF(COUNTIFS($CR$6:$CR$53,CR13,$BC$6:$BC$53,INDEX(T_Equipos[Grupo],MATCH(BD13,T_Equipos[NombreEquipo],0)))=1,"-","P."&amp;CR13&amp;" ("&amp;COUNTIFS($CR$6:$CR$53,CR13,$BC$6:$BC$53,INDEX(T_Equipos[Grupo],MATCH(BD13,T_Equipos[NombreEquipo],0)))&amp;")")</f>
        <v>P.1 (2)</v>
      </c>
      <c r="CT13" s="770">
        <f t="shared" ca="1" si="51"/>
        <v>2</v>
      </c>
      <c r="CU13" s="770">
        <f ca="1">CR13+COUNTIFS($CS$6:$CS$53,CS13,$CT$6:CT$53,"&gt;"&amp;CT13,$BC$6:$BC$53,INDEX(T_Equipos[Grupo],MATCH(BD13,T_Equipos[NombreEquipo],0)))</f>
        <v>1</v>
      </c>
      <c r="CV13" s="769" t="str">
        <f ca="1">IF(COUNTIFS($CU$6:$CU$53,CU13,$BC$6:$BC$53,INDEX(T_Equipos[Grupo],MATCH(BD13,T_Equipos[NombreEquipo],0)))=1,"-","P."&amp;CU13&amp;" ("&amp;COUNTIFS($CU$6:$CU$53,CU13,$BC$6:$BC$53,INDEX(T_Equipos[Grupo],MATCH(BD13,T_Equipos[NombreEquipo],0)))&amp;")")</f>
        <v>P.1 (2)</v>
      </c>
      <c r="CW13" s="769">
        <f t="shared" ca="1" si="30"/>
        <v>7</v>
      </c>
      <c r="CX13" s="769">
        <f ca="1">CU13+COUNTIFS($CV$6:$CV$53,CV13,$CW$6:CW$53,"&gt;"&amp;CW13,$BC$6:$BC$53,INDEX(T_Equipos[Grupo],MATCH(BD13,T_Equipos[NombreEquipo],0)))</f>
        <v>1</v>
      </c>
      <c r="CY13" s="769" t="str">
        <f ca="1">IF(COUNTIFS($CX$6:$CX$53,CX13,$BC$6:$BC$53,INDEX(T_Equipos[Grupo],MATCH(BD13,T_Equipos[NombreEquipo],0)))=1,"-","P."&amp;CX13&amp;" ("&amp;COUNTIFS($CX$6:$CX$53,CX13,$BC$6:$BC$53,INDEX(T_Equipos[Grupo],MATCH(BD13,T_Equipos[NombreEquipo],0)))&amp;")")</f>
        <v>-</v>
      </c>
      <c r="CZ13" s="769" t="str">
        <f t="shared" ca="1" si="31"/>
        <v>-</v>
      </c>
      <c r="DA13" s="770">
        <f ca="1">CX13+COUNTIFS($CY$6:$CY$53,CY13,$CZ$6:CZ$53,"&gt;"&amp;CZ13,$BC$6:$BC$53,INDEX(T_Equipos[Grupo],MATCH(BD13,T_Equipos[NombreEquipo],0)))</f>
        <v>1</v>
      </c>
      <c r="DB13" s="769" t="str">
        <f ca="1">IF(COUNTIFS($DA$6:$DA$53,DA13,$BC$6:$BC$53,INDEX(T_Equipos[Grupo],MATCH(BD13,T_Equipos[NombreEquipo],0)))=1,"-","P."&amp;DA13&amp;" ("&amp;COUNTIFS($DA$6:$DA$53,DA13,$BC$6:$BC$53,INDEX(T_Equipos[Grupo],MATCH(BD13,T_Equipos[NombreEquipo],0)))&amp;")")</f>
        <v>-</v>
      </c>
      <c r="DC13" s="768" t="str">
        <f ca="1">IF(DB13="-","-",COUNTIFS(T_Equipos[Rank],"&lt;"&amp;INDEX(T_Equipos[Rank],MATCH(BD13,T_Equipos[NombreEquipo],0)),$BC$6:$BC$53,INDEX(T_Equipos[Grupo],MATCH(BD13,T_Equipos[NombreEquipo],0)))+1)</f>
        <v>-</v>
      </c>
      <c r="DD13" s="768">
        <f ca="1">DA13+COUNTIFS($DB$6:$DB$53,DB13,$DC$6:DC$53,"&lt;"&amp;DC13,$BC$6:$BC$53,INDEX(T_Equipos[Grupo],MATCH(BD13,T_Equipos[NombreEquipo],0)))</f>
        <v>1</v>
      </c>
      <c r="DE13" s="768"/>
      <c r="DF13" s="768">
        <f t="shared" ca="1" si="52"/>
        <v>1</v>
      </c>
      <c r="DG13" s="768" t="str">
        <f ca="1">IF(DB13="-","-",COUNTIFS(DF$6:DF$53,"&lt;"&amp;DF13,$BC$6:$BC$53,INDEX(T_Equipos[Grupo],MATCH(BD13,T_Equipos[NombreEquipo],0))))</f>
        <v>-</v>
      </c>
      <c r="DH13" s="768">
        <f ca="1">DA13+COUNTIFS(DB$6:DB$53,DB13,DG$6:DG$53,"&lt;"&amp;DG13,$BC$6:$BC$53,INDEX(T_Equipos[Grupo],MATCH(BD13,T_Equipos[NombreEquipo],0)))</f>
        <v>1</v>
      </c>
      <c r="DI13" s="756"/>
      <c r="DJ13" s="756">
        <f t="shared" ca="1" si="53"/>
        <v>4</v>
      </c>
      <c r="DK13" s="756">
        <f t="shared" ca="1" si="24"/>
        <v>12</v>
      </c>
      <c r="DL13" s="756">
        <f t="shared" ca="1" si="33"/>
        <v>1</v>
      </c>
      <c r="DM13" s="750" t="str">
        <f t="shared" ca="1" si="34"/>
        <v>4.1</v>
      </c>
      <c r="DN13" s="756" cm="1">
        <f t="array" aca="1" ref="DN13" ca="1">OFFSET(Horarios!$P$3,DJ13-1,0,DL13,1)</f>
        <v>4</v>
      </c>
      <c r="DO13" s="756"/>
      <c r="DP13" s="756" t="s">
        <v>650</v>
      </c>
      <c r="DQ13" s="756" t="str">
        <f t="shared" ca="1" si="35"/>
        <v>Catar</v>
      </c>
      <c r="DR13" s="756"/>
      <c r="DS13" s="756"/>
      <c r="DT13" s="756" t="str">
        <f t="shared" ca="1" si="15"/>
        <v>Catar-Suiza</v>
      </c>
      <c r="DU13" s="756"/>
      <c r="DV13" s="756"/>
      <c r="DW13" s="8"/>
    </row>
    <row r="14" spans="1:127" ht="17.149999999999999" customHeight="1">
      <c r="A14" s="757" t="str">
        <f ca="1">+Equipos!B7</f>
        <v>Bosnia y Herzegovina</v>
      </c>
      <c r="B14" s="754"/>
      <c r="C14" s="758"/>
      <c r="D14" s="756" t="str">
        <f t="shared" si="54"/>
        <v>Empate</v>
      </c>
      <c r="E14" s="756" t="str">
        <f t="shared" ca="1" si="55"/>
        <v>P.1 (2)</v>
      </c>
      <c r="F14" s="756" t="str">
        <f t="shared" ca="1" si="56"/>
        <v>P.1 (2)</v>
      </c>
      <c r="G14" s="756"/>
      <c r="H14" s="756" t="str">
        <f t="shared" ca="1" si="57"/>
        <v>P.1 (2)</v>
      </c>
      <c r="I14" s="756" t="str">
        <f t="shared" ca="1" si="58"/>
        <v>P.1 (2)</v>
      </c>
      <c r="J14" s="756"/>
      <c r="K14" s="756" t="str">
        <f t="shared" ca="1" si="59"/>
        <v>P.1 (2)</v>
      </c>
      <c r="L14" s="756" t="str">
        <f t="shared" ca="1" si="60"/>
        <v>P.1 (2)</v>
      </c>
      <c r="M14" s="756"/>
      <c r="N14" s="756" t="str">
        <f t="shared" ca="1" si="61"/>
        <v>P.1 (2)</v>
      </c>
      <c r="O14" s="756" t="str">
        <f t="shared" ca="1" si="62"/>
        <v>P.1 (2)</v>
      </c>
      <c r="P14" s="756"/>
      <c r="Q14" s="756" t="str">
        <f t="shared" ca="1" si="63"/>
        <v>P.1 (2)</v>
      </c>
      <c r="R14" s="756" t="str">
        <f t="shared" ca="1" si="64"/>
        <v>P.1 (2)</v>
      </c>
      <c r="S14" s="756"/>
      <c r="T14" s="756" t="str">
        <f t="shared" ca="1" si="65"/>
        <v>P.1 (2)</v>
      </c>
      <c r="U14" s="756" t="str">
        <f t="shared" ca="1" si="66"/>
        <v>P.1 (2)</v>
      </c>
      <c r="V14" s="178"/>
      <c r="W14" s="832"/>
      <c r="X14" s="195">
        <f ca="1">Horarios!C14</f>
        <v>46191.541666666664</v>
      </c>
      <c r="Y14" s="196">
        <f ca="1">Horarios!C14</f>
        <v>46191.541666666664</v>
      </c>
      <c r="Z14" s="197" t="str">
        <f>$Z$6</f>
        <v>J2</v>
      </c>
      <c r="AA14" s="198" t="str">
        <f ca="1">A16</f>
        <v>Suiza</v>
      </c>
      <c r="AB14" s="486" t="str" cm="1">
        <f t="array" aca="1" ref="AB14" ca="1">Ver_flag_local</f>
        <v/>
      </c>
      <c r="AC14" s="199">
        <v>2</v>
      </c>
      <c r="AD14" s="200">
        <v>2</v>
      </c>
      <c r="AE14" s="491" t="str" cm="1">
        <f t="array" aca="1" ref="AE14" ca="1">Ver_flag_visit</f>
        <v/>
      </c>
      <c r="AF14" s="201" t="str">
        <f ca="1">A14</f>
        <v>Bosnia y Herzegovina</v>
      </c>
      <c r="AG14" s="421">
        <f t="shared" si="67"/>
        <v>1</v>
      </c>
      <c r="AH14" s="202">
        <v>26</v>
      </c>
      <c r="AI14" s="19" t="str">
        <f>AJ14&amp;$B$12</f>
        <v>1B</v>
      </c>
      <c r="AJ14" s="262">
        <v>1</v>
      </c>
      <c r="AK14" s="496" t="str" cm="1">
        <f t="array" aca="1" ref="AK14" ca="1">Ver_flag_visit</f>
        <v/>
      </c>
      <c r="AL14" s="218" t="str">
        <f ca="1">IFERROR(INDEX($BD$6:$BD$53,MATCH(AI14,$BN$6:$BN$53,0)),"")</f>
        <v>Suiza</v>
      </c>
      <c r="AM14" s="219">
        <f t="shared" ref="AM14:AT17" ca="1" si="71">INDEX($BE$6:$BN$53,MATCH($AL14,$BD$6:$BD$53,0),MATCH(AM$5,$BE$5:$BN$5,0))</f>
        <v>7</v>
      </c>
      <c r="AN14" s="220">
        <f t="shared" ca="1" si="71"/>
        <v>3</v>
      </c>
      <c r="AO14" s="220">
        <f t="shared" ca="1" si="71"/>
        <v>2</v>
      </c>
      <c r="AP14" s="220">
        <f t="shared" ca="1" si="71"/>
        <v>1</v>
      </c>
      <c r="AQ14" s="220">
        <f t="shared" ca="1" si="71"/>
        <v>0</v>
      </c>
      <c r="AR14" s="220">
        <f t="shared" ca="1" si="71"/>
        <v>9</v>
      </c>
      <c r="AS14" s="220">
        <f t="shared" ca="1" si="71"/>
        <v>2</v>
      </c>
      <c r="AT14" s="263">
        <f t="shared" ca="1" si="71"/>
        <v>7</v>
      </c>
      <c r="AU14" s="428">
        <f ca="1">INDEX($DL$6:$DL$53,MATCH(AI14,$DP$6:$DP$53,0))</f>
        <v>1</v>
      </c>
      <c r="AV14" s="223" t="str">
        <f ca="1">INDEX($BD$6:$BD$53,MATCH(AI14,$BM$6:$BM$53,0))</f>
        <v>Suiza</v>
      </c>
      <c r="AW14" s="435"/>
      <c r="AX14" s="224"/>
      <c r="AY14" s="225" t="str">
        <f ca="1">+A13</f>
        <v>Canadá</v>
      </c>
      <c r="AZ14" s="226"/>
      <c r="BA14" s="181"/>
      <c r="BB14" s="756"/>
      <c r="BC14" s="768" t="str">
        <f ca="1">+INDEX(T_Equipos[Grupo],MATCH(WORLDCUP!BD14,T_Equipos[NombreEquipo],0))</f>
        <v>C</v>
      </c>
      <c r="BD14" s="756" t="str">
        <f ca="1">+Equipos!B10</f>
        <v>Brasil</v>
      </c>
      <c r="BE14" s="760">
        <f t="shared" ca="1" si="25"/>
        <v>9</v>
      </c>
      <c r="BF14" s="760">
        <f t="shared" ca="1" si="26"/>
        <v>3</v>
      </c>
      <c r="BG14" s="760">
        <f t="shared" ca="1" si="17"/>
        <v>3</v>
      </c>
      <c r="BH14" s="760">
        <f t="shared" ca="1" si="18"/>
        <v>0</v>
      </c>
      <c r="BI14" s="760">
        <f t="shared" ca="1" si="19"/>
        <v>0</v>
      </c>
      <c r="BJ14" s="760">
        <f t="shared" ca="1" si="20"/>
        <v>9</v>
      </c>
      <c r="BK14" s="760">
        <f t="shared" ca="1" si="21"/>
        <v>2</v>
      </c>
      <c r="BL14" s="760">
        <f t="shared" ca="1" si="27"/>
        <v>7</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9</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v>
      </c>
      <c r="BU14" s="770" t="str">
        <f t="shared" ca="1" si="36"/>
        <v>-</v>
      </c>
      <c r="BV14" s="770" t="str">
        <f t="shared" ca="1" si="37"/>
        <v>-</v>
      </c>
      <c r="BW14" s="770" t="str">
        <f t="shared" ca="1" si="38"/>
        <v>-</v>
      </c>
      <c r="BX14" s="770" t="str">
        <f t="shared" ca="1" si="39"/>
        <v>-</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v>
      </c>
      <c r="CA14" s="770" t="str">
        <f t="shared" ca="1" si="40"/>
        <v>-</v>
      </c>
      <c r="CB14" s="770" t="str">
        <f t="shared" ca="1" si="41"/>
        <v>-</v>
      </c>
      <c r="CC14" s="770" t="str">
        <f t="shared" ca="1" si="42"/>
        <v>-</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v>
      </c>
      <c r="CF14" s="770" t="str">
        <f t="shared" ca="1" si="43"/>
        <v>-</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v>
      </c>
      <c r="CI14" s="770" t="str">
        <f t="shared" ca="1" si="44"/>
        <v>-</v>
      </c>
      <c r="CJ14" s="770" t="str">
        <f t="shared" ca="1" si="45"/>
        <v>-</v>
      </c>
      <c r="CK14" s="770" t="str">
        <f t="shared" ca="1" si="46"/>
        <v>-</v>
      </c>
      <c r="CL14" s="770" t="str">
        <f t="shared" ca="1" si="47"/>
        <v>-</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v>
      </c>
      <c r="CO14" s="770" t="str">
        <f t="shared" ca="1" si="48"/>
        <v>-</v>
      </c>
      <c r="CP14" s="770" t="str">
        <f t="shared" ca="1" si="49"/>
        <v>-</v>
      </c>
      <c r="CQ14" s="770" t="str">
        <f t="shared" ca="1" si="50"/>
        <v>-</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v>
      </c>
      <c r="CT14" s="770" t="str">
        <f t="shared" ca="1" si="51"/>
        <v>-</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v>
      </c>
      <c r="CW14" s="769" t="str">
        <f t="shared" ca="1" si="30"/>
        <v>-</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v>
      </c>
      <c r="CZ14" s="769" t="str">
        <f t="shared" ca="1" si="31"/>
        <v>-</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v>
      </c>
      <c r="DC14" s="768" t="str">
        <f ca="1">IF(DB14="-","-",COUNTIFS(T_Equipos[Rank],"&lt;"&amp;INDEX(T_Equipos[Rank],MATCH(BD14,T_Equipos[NombreEquipo],0)),$BC$6:$BC$53,INDEX(T_Equipos[Grupo],MATCH(BD14,T_Equipos[NombreEquipo],0)))+1)</f>
        <v>-</v>
      </c>
      <c r="DD14" s="768">
        <f ca="1">DA14+COUNTIFS($DB$6:$DB$53,DB14,$DC$6:DC$53,"&lt;"&amp;DC14,$BC$6:$BC$53,INDEX(T_Equipos[Grupo],MATCH(BD14,T_Equipos[NombreEquipo],0)))</f>
        <v>1</v>
      </c>
      <c r="DE14" s="768"/>
      <c r="DF14" s="768">
        <f t="shared" ca="1" si="52"/>
        <v>1</v>
      </c>
      <c r="DG14" s="768" t="str">
        <f ca="1">IF(DB14="-","-",COUNTIFS(DF$6:DF$53,"&lt;"&amp;DF14,$BC$6:$BC$53,INDEX(T_Equipos[Grupo],MATCH(BD14,T_Equipos[NombreEquipo],0))))</f>
        <v>-</v>
      </c>
      <c r="DH14" s="768">
        <f ca="1">DA14+COUNTIFS(DB$6:DB$53,DB14,DG$6:DG$53,"&lt;"&amp;DG14,$BC$6:$BC$53,INDEX(T_Equipos[Grupo],MATCH(BD14,T_Equipos[NombreEquipo],0)))</f>
        <v>1</v>
      </c>
      <c r="DI14" s="756"/>
      <c r="DJ14" s="756">
        <f t="shared" ca="1" si="53"/>
        <v>1</v>
      </c>
      <c r="DK14" s="756">
        <f t="shared" ca="1" si="24"/>
        <v>12</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c r="A15" s="757" t="str">
        <f ca="1">+Equipos!B8</f>
        <v>Catar</v>
      </c>
      <c r="B15" s="754"/>
      <c r="C15" s="756"/>
      <c r="D15" s="756" t="str">
        <f t="shared" si="54"/>
        <v>Empate</v>
      </c>
      <c r="E15" s="756" t="str">
        <f t="shared" ca="1" si="55"/>
        <v>P.3 (2)</v>
      </c>
      <c r="F15" s="756" t="str">
        <f t="shared" ca="1" si="56"/>
        <v>P.3 (2)</v>
      </c>
      <c r="G15" s="756"/>
      <c r="H15" s="756" t="str">
        <f t="shared" ca="1" si="57"/>
        <v>P.3 (2)</v>
      </c>
      <c r="I15" s="756" t="str">
        <f t="shared" ca="1" si="58"/>
        <v>P.3 (2)</v>
      </c>
      <c r="J15" s="756"/>
      <c r="K15" s="756" t="str">
        <f t="shared" ca="1" si="59"/>
        <v>P.3 (2)</v>
      </c>
      <c r="L15" s="756" t="str">
        <f t="shared" ca="1" si="60"/>
        <v>P.3 (2)</v>
      </c>
      <c r="M15" s="756"/>
      <c r="N15" s="756" t="str">
        <f t="shared" ca="1" si="61"/>
        <v>P.3 (2)</v>
      </c>
      <c r="O15" s="756" t="str">
        <f t="shared" ca="1" si="62"/>
        <v>P.3 (2)</v>
      </c>
      <c r="P15" s="756"/>
      <c r="Q15" s="756" t="str">
        <f t="shared" ca="1" si="63"/>
        <v>P.3 (2)</v>
      </c>
      <c r="R15" s="756" t="str">
        <f t="shared" ca="1" si="64"/>
        <v>P.3 (2)</v>
      </c>
      <c r="S15" s="756"/>
      <c r="T15" s="756" t="str">
        <f t="shared" ca="1" si="65"/>
        <v>P.3 (2)</v>
      </c>
      <c r="U15" s="756" t="str">
        <f t="shared" ca="1" si="66"/>
        <v>P.3 (2)</v>
      </c>
      <c r="V15" s="178"/>
      <c r="W15" s="832"/>
      <c r="X15" s="195">
        <f ca="1">Horarios!C15</f>
        <v>46191.666666666664</v>
      </c>
      <c r="Y15" s="196">
        <f ca="1">Horarios!C15</f>
        <v>46191.666666666664</v>
      </c>
      <c r="Z15" s="197" t="str">
        <f>$Z$6</f>
        <v>J2</v>
      </c>
      <c r="AA15" s="198" t="str">
        <f ca="1">A13</f>
        <v>Canadá</v>
      </c>
      <c r="AB15" s="486" t="str" cm="1">
        <f t="array" aca="1" ref="AB15" ca="1">Ver_flag_local</f>
        <v/>
      </c>
      <c r="AC15" s="199">
        <v>1</v>
      </c>
      <c r="AD15" s="200">
        <v>1</v>
      </c>
      <c r="AE15" s="491" t="str" cm="1">
        <f t="array" aca="1" ref="AE15" ca="1">Ver_flag_visit</f>
        <v/>
      </c>
      <c r="AF15" s="201" t="str">
        <f ca="1">A15</f>
        <v>Catar</v>
      </c>
      <c r="AG15" s="421">
        <f t="shared" si="67"/>
        <v>1</v>
      </c>
      <c r="AH15" s="202">
        <v>27</v>
      </c>
      <c r="AI15" s="19" t="str">
        <f t="shared" ref="AI15:AI17" si="72">AJ15&amp;$B$12</f>
        <v>2B</v>
      </c>
      <c r="AJ15" s="264">
        <v>2</v>
      </c>
      <c r="AK15" s="494" t="str" cm="1">
        <f t="array" aca="1" ref="AK15" ca="1">Ver_flag_visit</f>
        <v/>
      </c>
      <c r="AL15" s="228" t="str">
        <f ca="1">IFERROR(INDEX($BD$6:$BD$53,MATCH(AI15,$BN$6:$BN$53,0)),"")</f>
        <v>Bosnia y Herzegovina</v>
      </c>
      <c r="AM15" s="229">
        <f t="shared" ca="1" si="71"/>
        <v>7</v>
      </c>
      <c r="AN15" s="230">
        <f t="shared" ca="1" si="71"/>
        <v>3</v>
      </c>
      <c r="AO15" s="230">
        <f t="shared" ca="1" si="71"/>
        <v>2</v>
      </c>
      <c r="AP15" s="230">
        <f t="shared" ca="1" si="71"/>
        <v>1</v>
      </c>
      <c r="AQ15" s="230">
        <f t="shared" ca="1" si="71"/>
        <v>0</v>
      </c>
      <c r="AR15" s="230">
        <f t="shared" ca="1" si="71"/>
        <v>7</v>
      </c>
      <c r="AS15" s="230">
        <f t="shared" ca="1" si="71"/>
        <v>2</v>
      </c>
      <c r="AT15" s="265">
        <f t="shared" ca="1" si="71"/>
        <v>5</v>
      </c>
      <c r="AU15" s="428">
        <f ca="1">INDEX($DL$6:$DL$53,MATCH(AI15,$DP$6:$DP$53,0))</f>
        <v>1</v>
      </c>
      <c r="AV15" s="223" t="str">
        <f ca="1">INDEX($BD$6:$BD$53,MATCH(AI15,$BM$6:$BM$53,0))</f>
        <v>Bosnia y Herzegovina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3</v>
      </c>
      <c r="BF15" s="760">
        <f t="shared" ca="1" si="26"/>
        <v>3</v>
      </c>
      <c r="BG15" s="760">
        <f t="shared" ca="1" si="17"/>
        <v>1</v>
      </c>
      <c r="BH15" s="760">
        <f t="shared" ca="1" si="18"/>
        <v>0</v>
      </c>
      <c r="BI15" s="760">
        <f t="shared" ca="1" si="19"/>
        <v>2</v>
      </c>
      <c r="BJ15" s="760">
        <f t="shared" ca="1" si="20"/>
        <v>3</v>
      </c>
      <c r="BK15" s="760">
        <f t="shared" ca="1" si="21"/>
        <v>4</v>
      </c>
      <c r="BL15" s="760">
        <f t="shared" ca="1" si="27"/>
        <v>-1</v>
      </c>
      <c r="BM15" s="760" t="str">
        <f t="shared" ca="1" si="22"/>
        <v>3C</v>
      </c>
      <c r="BN15" s="760" t="str">
        <f t="shared" ca="1" si="23"/>
        <v>3C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3</v>
      </c>
      <c r="BS15" s="769">
        <f ca="1">BP15+COUNTIFS($BQ$6:$BQ$53,BQ15,$BR$6:BR$53,"&gt;"&amp;BR15,$BC$6:$BC$53,INDEX(T_Equipos[Grupo],MATCH(BD15,T_Equipos[NombreEquipo],0)))</f>
        <v>3</v>
      </c>
      <c r="BT15" s="769" t="str">
        <f ca="1">IF(COUNTIFS($BS$6:$BS$53,BS15,$BC$6:$BC$53,INDEX(T_Equipos[Grupo],MATCH(BD15,T_Equipos[NombreEquipo],0)))=1,"-","P."&amp;BS15&amp;" ("&amp;COUNTIFS($BS$6:$BS$53,BS15,$BC$6:$BC$53,INDEX(T_Equipos[Grupo],MATCH(BD15,T_Equipos[NombreEquipo],0)))&amp;")")</f>
        <v>-</v>
      </c>
      <c r="BU15" s="770" t="str">
        <f t="shared" ca="1" si="36"/>
        <v>-</v>
      </c>
      <c r="BV15" s="770" t="str">
        <f t="shared" ca="1" si="37"/>
        <v>-</v>
      </c>
      <c r="BW15" s="770" t="str">
        <f t="shared" ca="1" si="38"/>
        <v>-</v>
      </c>
      <c r="BX15" s="770" t="str">
        <f t="shared" ca="1" si="39"/>
        <v>-</v>
      </c>
      <c r="BY15" s="770">
        <f ca="1">BS15+COUNTIFS($BT$6:$BT$53,BT15,$BX$6:BX$53,"&gt;"&amp;BX15,$BC$6:$BC$53,INDEX(T_Equipos[Grupo],MATCH(BD15,T_Equipos[NombreEquipo],0)))</f>
        <v>3</v>
      </c>
      <c r="BZ15" s="769" t="str">
        <f ca="1">IF(COUNTIFS($BY$6:$BY$53,BY15,$BC$6:$BC$53,INDEX(T_Equipos[Grupo],MATCH(BD15,T_Equipos[NombreEquipo],0)))=1,"-","P."&amp;BY15&amp;" ("&amp;COUNTIFS($BY$6:$BY$53,BY15,$BC$6:$BC$53,INDEX(T_Equipos[Grupo],MATCH(BD15,T_Equipos[NombreEquipo],0)))&amp;")")</f>
        <v>-</v>
      </c>
      <c r="CA15" s="770" t="str">
        <f t="shared" ca="1" si="40"/>
        <v>-</v>
      </c>
      <c r="CB15" s="770" t="str">
        <f t="shared" ca="1" si="41"/>
        <v>-</v>
      </c>
      <c r="CC15" s="770" t="str">
        <f t="shared" ca="1" si="42"/>
        <v>-</v>
      </c>
      <c r="CD15" s="770">
        <f ca="1">BY15+COUNTIFS($BZ$6:$BZ$53,BZ15,$CC$6:CC$53,"&gt;"&amp;CC15,$BC$6:$BC$53,INDEX(T_Equipos[Grupo],MATCH(BD15,T_Equipos[NombreEquipo],0)))</f>
        <v>3</v>
      </c>
      <c r="CE15" s="769" t="str">
        <f ca="1">IF(COUNTIFS($CD$6:$CD$53,CD15,$BC$6:$BC$53,INDEX(T_Equipos[Grupo],MATCH(BD15,T_Equipos[NombreEquipo],0)))=1,"-","P."&amp;CD15&amp;" ("&amp;COUNTIFS($CD$6:$CD$53,CD15,$BC$6:$BC$53,INDEX(T_Equipos[Grupo],MATCH(BD15,T_Equipos[NombreEquipo],0)))&amp;")")</f>
        <v>-</v>
      </c>
      <c r="CF15" s="770" t="str">
        <f t="shared" ca="1" si="43"/>
        <v>-</v>
      </c>
      <c r="CG15" s="770">
        <f ca="1">CD15+COUNTIFS($CE$6:$CE$53,CE15,$CF$6:CF$53,"&gt;"&amp;CF15,$BC$6:$BC$53,INDEX(T_Equipos[Grupo],MATCH(BD15,T_Equipos[NombreEquipo],0)))</f>
        <v>3</v>
      </c>
      <c r="CH15" s="769" t="str">
        <f ca="1">IF(COUNTIFS($CG$6:$CG$53,CG15,$BC$6:$BC$53,INDEX(T_Equipos[Grupo],MATCH(BD15,T_Equipos[NombreEquipo],0)))=1,"-","P."&amp;CG15&amp;" ("&amp;COUNTIFS($CG$6:$CG$53,CG15,$BC$6:$BC$53,INDEX(T_Equipos[Grupo],MATCH(BD15,T_Equipos[NombreEquipo],0)))&amp;")")</f>
        <v>-</v>
      </c>
      <c r="CI15" s="770" t="str">
        <f t="shared" ca="1" si="44"/>
        <v>-</v>
      </c>
      <c r="CJ15" s="770" t="str">
        <f t="shared" ca="1" si="45"/>
        <v>-</v>
      </c>
      <c r="CK15" s="770" t="str">
        <f t="shared" ca="1" si="46"/>
        <v>-</v>
      </c>
      <c r="CL15" s="770" t="str">
        <f t="shared" ca="1" si="47"/>
        <v>-</v>
      </c>
      <c r="CM15" s="770">
        <f ca="1">CG15+COUNTIFS($CH$6:$CH$53,CH15,$CL$6:CL$53,"&gt;"&amp;CL15,$BC$6:$BC$53,INDEX(T_Equipos[Grupo],MATCH(BD15,T_Equipos[NombreEquipo],0)))</f>
        <v>3</v>
      </c>
      <c r="CN15" s="769" t="str">
        <f ca="1">IF(COUNTIFS($CM$6:$CM$53,CM15,$BC$6:$BC$53,INDEX(T_Equipos[Grupo],MATCH(BD15,T_Equipos[NombreEquipo],0)))=1,"-","P."&amp;CM15&amp;" ("&amp;COUNTIFS($CM$6:$CM$53,CM15,$BC$6:$BC$53,INDEX(T_Equipos[Grupo],MATCH(BD15,T_Equipos[NombreEquipo],0)))&amp;")")</f>
        <v>-</v>
      </c>
      <c r="CO15" s="770" t="str">
        <f t="shared" ca="1" si="48"/>
        <v>-</v>
      </c>
      <c r="CP15" s="770" t="str">
        <f t="shared" ca="1" si="49"/>
        <v>-</v>
      </c>
      <c r="CQ15" s="770" t="str">
        <f t="shared" ca="1" si="50"/>
        <v>-</v>
      </c>
      <c r="CR15" s="770">
        <f ca="1">CM15+COUNTIFS($CN$6:$CN$53,CN15,$CQ$6:CQ$53,"&gt;"&amp;CQ15,$BC$6:$BC$53,INDEX(T_Equipos[Grupo],MATCH(BD15,T_Equipos[NombreEquipo],0)))</f>
        <v>3</v>
      </c>
      <c r="CS15" s="769" t="str">
        <f ca="1">IF(COUNTIFS($CR$6:$CR$53,CR15,$BC$6:$BC$53,INDEX(T_Equipos[Grupo],MATCH(BD15,T_Equipos[NombreEquipo],0)))=1,"-","P."&amp;CR15&amp;" ("&amp;COUNTIFS($CR$6:$CR$53,CR15,$BC$6:$BC$53,INDEX(T_Equipos[Grupo],MATCH(BD15,T_Equipos[NombreEquipo],0)))&amp;")")</f>
        <v>-</v>
      </c>
      <c r="CT15" s="770" t="str">
        <f t="shared" ca="1" si="51"/>
        <v>-</v>
      </c>
      <c r="CU15" s="770">
        <f ca="1">CR15+COUNTIFS($CS$6:$CS$53,CS15,$CT$6:CT$53,"&gt;"&amp;CT15,$BC$6:$BC$53,INDEX(T_Equipos[Grupo],MATCH(BD15,T_Equipos[NombreEquipo],0)))</f>
        <v>3</v>
      </c>
      <c r="CV15" s="769" t="str">
        <f ca="1">IF(COUNTIFS($CU$6:$CU$53,CU15,$BC$6:$BC$53,INDEX(T_Equipos[Grupo],MATCH(BD15,T_Equipos[NombreEquipo],0)))=1,"-","P."&amp;CU15&amp;" ("&amp;COUNTIFS($CU$6:$CU$53,CU15,$BC$6:$BC$53,INDEX(T_Equipos[Grupo],MATCH(BD15,T_Equipos[NombreEquipo],0)))&amp;")")</f>
        <v>-</v>
      </c>
      <c r="CW15" s="769" t="str">
        <f t="shared" ca="1" si="30"/>
        <v>-</v>
      </c>
      <c r="CX15" s="769">
        <f ca="1">CU15+COUNTIFS($CV$6:$CV$53,CV15,$CW$6:CW$53,"&gt;"&amp;CW15,$BC$6:$BC$53,INDEX(T_Equipos[Grupo],MATCH(BD15,T_Equipos[NombreEquipo],0)))</f>
        <v>3</v>
      </c>
      <c r="CY15" s="769" t="str">
        <f ca="1">IF(COUNTIFS($CX$6:$CX$53,CX15,$BC$6:$BC$53,INDEX(T_Equipos[Grupo],MATCH(BD15,T_Equipos[NombreEquipo],0)))=1,"-","P."&amp;CX15&amp;" ("&amp;COUNTIFS($CX$6:$CX$53,CX15,$BC$6:$BC$53,INDEX(T_Equipos[Grupo],MATCH(BD15,T_Equipos[NombreEquipo],0)))&amp;")")</f>
        <v>-</v>
      </c>
      <c r="CZ15" s="769" t="str">
        <f t="shared" ca="1" si="31"/>
        <v>-</v>
      </c>
      <c r="DA15" s="770">
        <f ca="1">CX15+COUNTIFS($CY$6:$CY$53,CY15,$CZ$6:CZ$53,"&gt;"&amp;CZ15,$BC$6:$BC$53,INDEX(T_Equipos[Grupo],MATCH(BD15,T_Equipos[NombreEquipo],0)))</f>
        <v>3</v>
      </c>
      <c r="DB15" s="769" t="str">
        <f ca="1">IF(COUNTIFS($DA$6:$DA$53,DA15,$BC$6:$BC$53,INDEX(T_Equipos[Grupo],MATCH(BD15,T_Equipos[NombreEquipo],0)))=1,"-","P."&amp;DA15&amp;" ("&amp;COUNTIFS($DA$6:$DA$53,DA15,$BC$6:$BC$53,INDEX(T_Equipos[Grupo],MATCH(BD15,T_Equipos[NombreEquipo],0)))&amp;")")</f>
        <v>-</v>
      </c>
      <c r="DC15" s="768" t="str">
        <f ca="1">IF(DB15="-","-",COUNTIFS(T_Equipos[Rank],"&lt;"&amp;INDEX(T_Equipos[Rank],MATCH(BD15,T_Equipos[NombreEquipo],0)),$BC$6:$BC$53,INDEX(T_Equipos[Grupo],MATCH(BD15,T_Equipos[NombreEquipo],0)))+1)</f>
        <v>-</v>
      </c>
      <c r="DD15" s="768">
        <f ca="1">DA15+COUNTIFS($DB$6:$DB$53,DB15,$DC$6:DC$53,"&lt;"&amp;DC15,$BC$6:$BC$53,INDEX(T_Equipos[Grupo],MATCH(BD15,T_Equipos[NombreEquipo],0)))</f>
        <v>3</v>
      </c>
      <c r="DE15" s="768"/>
      <c r="DF15" s="768">
        <f t="shared" ca="1" si="52"/>
        <v>3</v>
      </c>
      <c r="DG15" s="768" t="str">
        <f ca="1">IF(DB15="-","-",COUNTIFS(DF$6:DF$53,"&lt;"&amp;DF15,$BC$6:$BC$53,INDEX(T_Equipos[Grupo],MATCH(BD15,T_Equipos[NombreEquipo],0))))</f>
        <v>-</v>
      </c>
      <c r="DH15" s="768">
        <f ca="1">DA15+COUNTIFS(DB$6:DB$53,DB15,DG$6:DG$53,"&lt;"&amp;DG15,$BC$6:$BC$53,INDEX(T_Equipos[Grupo],MATCH(BD15,T_Equipos[NombreEquipo],0)))</f>
        <v>3</v>
      </c>
      <c r="DI15" s="756"/>
      <c r="DJ15" s="756">
        <f t="shared" ca="1" si="53"/>
        <v>2</v>
      </c>
      <c r="DK15" s="756">
        <f t="shared" ca="1" si="24"/>
        <v>12</v>
      </c>
      <c r="DL15" s="756">
        <f t="shared" ca="1" si="33"/>
        <v>1</v>
      </c>
      <c r="DM15" s="750" t="str">
        <f t="shared" ca="1" si="34"/>
        <v>2.1</v>
      </c>
      <c r="DN15" s="756" cm="1">
        <f t="array" aca="1" ref="DN15" ca="1">OFFSET(Horarios!$P$3,DJ15-1,0,DL15,1)</f>
        <v>2</v>
      </c>
      <c r="DO15" s="756"/>
      <c r="DP15" s="756" t="s">
        <v>656</v>
      </c>
      <c r="DQ15" s="756" t="str">
        <f t="shared" ca="1" si="35"/>
        <v>Escocia</v>
      </c>
      <c r="DR15" s="756"/>
      <c r="DS15" s="756"/>
      <c r="DT15" s="756" t="str">
        <f t="shared" ca="1" si="15"/>
        <v>Canadá-Catar</v>
      </c>
      <c r="DU15" s="756"/>
      <c r="DV15" s="756"/>
      <c r="DW15" s="8"/>
    </row>
    <row r="16" spans="1:127">
      <c r="A16" s="757" t="str">
        <f ca="1">+Equipos!B9</f>
        <v>Suiza</v>
      </c>
      <c r="B16" s="754"/>
      <c r="C16" s="756"/>
      <c r="D16" s="756" t="str">
        <f t="shared" si="54"/>
        <v>Local</v>
      </c>
      <c r="E16" s="756" t="str">
        <f t="shared" ca="1" si="55"/>
        <v>P.1 (2)</v>
      </c>
      <c r="F16" s="756" t="str">
        <f t="shared" ca="1" si="56"/>
        <v>P.3 (2)</v>
      </c>
      <c r="G16" s="756"/>
      <c r="H16" s="756" t="str">
        <f t="shared" ca="1" si="57"/>
        <v>P.1 (2)</v>
      </c>
      <c r="I16" s="756" t="str">
        <f t="shared" ca="1" si="58"/>
        <v>P.3 (2)</v>
      </c>
      <c r="J16" s="756"/>
      <c r="K16" s="756" t="str">
        <f t="shared" ca="1" si="59"/>
        <v>P.1 (2)</v>
      </c>
      <c r="L16" s="756" t="str">
        <f t="shared" ca="1" si="60"/>
        <v>P.3 (2)</v>
      </c>
      <c r="M16" s="756"/>
      <c r="N16" s="756" t="str">
        <f t="shared" ca="1" si="61"/>
        <v>P.1 (2)</v>
      </c>
      <c r="O16" s="756" t="str">
        <f t="shared" ca="1" si="62"/>
        <v>P.3 (2)</v>
      </c>
      <c r="P16" s="756"/>
      <c r="Q16" s="756" t="str">
        <f t="shared" ca="1" si="63"/>
        <v>P.1 (2)</v>
      </c>
      <c r="R16" s="756" t="str">
        <f t="shared" ca="1" si="64"/>
        <v>P.3 (2)</v>
      </c>
      <c r="S16" s="756"/>
      <c r="T16" s="756" t="str">
        <f t="shared" ca="1" si="65"/>
        <v>P.1 (2)</v>
      </c>
      <c r="U16" s="756" t="str">
        <f t="shared" ca="1" si="66"/>
        <v>P.3 (2)</v>
      </c>
      <c r="V16" s="178"/>
      <c r="W16" s="832"/>
      <c r="X16" s="195">
        <f ca="1">Horarios!C16</f>
        <v>46197.541666666664</v>
      </c>
      <c r="Y16" s="196">
        <f ca="1">Horarios!C16</f>
        <v>46197.541666666664</v>
      </c>
      <c r="Z16" s="197" t="str">
        <f>$Z$8</f>
        <v>J3</v>
      </c>
      <c r="AA16" s="198" t="str">
        <f ca="1">A16</f>
        <v>Suiza</v>
      </c>
      <c r="AB16" s="486" t="str" cm="1">
        <f t="array" aca="1" ref="AB16" ca="1">Ver_flag_local</f>
        <v/>
      </c>
      <c r="AC16" s="199">
        <v>2</v>
      </c>
      <c r="AD16" s="200">
        <v>0</v>
      </c>
      <c r="AE16" s="491" t="str" cm="1">
        <f t="array" aca="1" ref="AE16" ca="1">Ver_flag_visit</f>
        <v/>
      </c>
      <c r="AF16" s="201" t="str">
        <f ca="1">A13</f>
        <v>Canadá</v>
      </c>
      <c r="AG16" s="421">
        <f t="shared" si="67"/>
        <v>1</v>
      </c>
      <c r="AH16" s="202">
        <v>51</v>
      </c>
      <c r="AI16" s="19" t="str">
        <f t="shared" si="72"/>
        <v>3B</v>
      </c>
      <c r="AJ16" s="264">
        <v>3</v>
      </c>
      <c r="AK16" s="494" t="str" cm="1">
        <f t="array" aca="1" ref="AK16" ca="1">Ver_flag_visit</f>
        <v/>
      </c>
      <c r="AL16" s="228" t="str">
        <f ca="1">IFERROR(INDEX($BD$6:$BD$53,MATCH(AI16,$BN$6:$BN$53,0)),"")</f>
        <v>Canadá</v>
      </c>
      <c r="AM16" s="229">
        <f t="shared" ca="1" si="71"/>
        <v>1</v>
      </c>
      <c r="AN16" s="230">
        <f t="shared" ca="1" si="71"/>
        <v>3</v>
      </c>
      <c r="AO16" s="230">
        <f t="shared" ca="1" si="71"/>
        <v>0</v>
      </c>
      <c r="AP16" s="230">
        <f t="shared" ca="1" si="71"/>
        <v>1</v>
      </c>
      <c r="AQ16" s="230">
        <f t="shared" ca="1" si="71"/>
        <v>2</v>
      </c>
      <c r="AR16" s="230">
        <f t="shared" ca="1" si="71"/>
        <v>1</v>
      </c>
      <c r="AS16" s="230">
        <f t="shared" ca="1" si="71"/>
        <v>4</v>
      </c>
      <c r="AT16" s="265">
        <f t="shared" ca="1" si="71"/>
        <v>-3</v>
      </c>
      <c r="AU16" s="428">
        <f ca="1">INDEX($DL$6:$DL$53,MATCH(AI16,$DP$6:$DP$53,0))</f>
        <v>1</v>
      </c>
      <c r="AV16" s="223" t="str">
        <f ca="1">INDEX($BD$6:$BD$53,MATCH(AI16,$BM$6:$BM$53,0))</f>
        <v>Canadá</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3</v>
      </c>
      <c r="BG16" s="760">
        <f t="shared" ca="1" si="17"/>
        <v>0</v>
      </c>
      <c r="BH16" s="760">
        <f t="shared" ca="1" si="18"/>
        <v>0</v>
      </c>
      <c r="BI16" s="760">
        <f t="shared" ca="1" si="19"/>
        <v>3</v>
      </c>
      <c r="BJ16" s="760">
        <f t="shared" ca="1" si="20"/>
        <v>0</v>
      </c>
      <c r="BK16" s="760">
        <f t="shared" ca="1" si="21"/>
        <v>7</v>
      </c>
      <c r="BL16" s="760">
        <f t="shared" ca="1" si="27"/>
        <v>-7</v>
      </c>
      <c r="BM16" s="760" t="str">
        <f t="shared" ca="1" si="22"/>
        <v>4C</v>
      </c>
      <c r="BN16" s="760" t="str">
        <f t="shared" ca="1" si="23"/>
        <v>4C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4</v>
      </c>
      <c r="BT16" s="769" t="str">
        <f ca="1">IF(COUNTIFS($BS$6:$BS$53,BS16,$BC$6:$BC$53,INDEX(T_Equipos[Grupo],MATCH(BD16,T_Equipos[NombreEquipo],0)))=1,"-","P."&amp;BS16&amp;" ("&amp;COUNTIFS($BS$6:$BS$53,BS16,$BC$6:$BC$53,INDEX(T_Equipos[Grupo],MATCH(BD16,T_Equipos[NombreEquipo],0)))&amp;")")</f>
        <v>-</v>
      </c>
      <c r="BU16" s="770" t="str">
        <f t="shared" ca="1" si="36"/>
        <v>-</v>
      </c>
      <c r="BV16" s="770" t="str">
        <f t="shared" ca="1" si="37"/>
        <v>-</v>
      </c>
      <c r="BW16" s="770" t="str">
        <f t="shared" ca="1" si="38"/>
        <v>-</v>
      </c>
      <c r="BX16" s="770" t="str">
        <f t="shared" ca="1" si="39"/>
        <v>-</v>
      </c>
      <c r="BY16" s="770">
        <f ca="1">BS16+COUNTIFS($BT$6:$BT$53,BT16,$BX$6:BX$53,"&gt;"&amp;BX16,$BC$6:$BC$53,INDEX(T_Equipos[Grupo],MATCH(BD16,T_Equipos[NombreEquipo],0)))</f>
        <v>4</v>
      </c>
      <c r="BZ16" s="769" t="str">
        <f ca="1">IF(COUNTIFS($BY$6:$BY$53,BY16,$BC$6:$BC$53,INDEX(T_Equipos[Grupo],MATCH(BD16,T_Equipos[NombreEquipo],0)))=1,"-","P."&amp;BY16&amp;" ("&amp;COUNTIFS($BY$6:$BY$53,BY16,$BC$6:$BC$53,INDEX(T_Equipos[Grupo],MATCH(BD16,T_Equipos[NombreEquipo],0)))&amp;")")</f>
        <v>-</v>
      </c>
      <c r="CA16" s="770" t="str">
        <f t="shared" ca="1" si="40"/>
        <v>-</v>
      </c>
      <c r="CB16" s="770" t="str">
        <f t="shared" ca="1" si="41"/>
        <v>-</v>
      </c>
      <c r="CC16" s="770" t="str">
        <f t="shared" ca="1" si="42"/>
        <v>-</v>
      </c>
      <c r="CD16" s="770">
        <f ca="1">BY16+COUNTIFS($BZ$6:$BZ$53,BZ16,$CC$6:CC$53,"&gt;"&amp;CC16,$BC$6:$BC$53,INDEX(T_Equipos[Grupo],MATCH(BD16,T_Equipos[NombreEquipo],0)))</f>
        <v>4</v>
      </c>
      <c r="CE16" s="769" t="str">
        <f ca="1">IF(COUNTIFS($CD$6:$CD$53,CD16,$BC$6:$BC$53,INDEX(T_Equipos[Grupo],MATCH(BD16,T_Equipos[NombreEquipo],0)))=1,"-","P."&amp;CD16&amp;" ("&amp;COUNTIFS($CD$6:$CD$53,CD16,$BC$6:$BC$53,INDEX(T_Equipos[Grupo],MATCH(BD16,T_Equipos[NombreEquipo],0)))&amp;")")</f>
        <v>-</v>
      </c>
      <c r="CF16" s="770" t="str">
        <f t="shared" ca="1" si="43"/>
        <v>-</v>
      </c>
      <c r="CG16" s="770">
        <f ca="1">CD16+COUNTIFS($CE$6:$CE$53,CE16,$CF$6:CF$53,"&gt;"&amp;CF16,$BC$6:$BC$53,INDEX(T_Equipos[Grupo],MATCH(BD16,T_Equipos[NombreEquipo],0)))</f>
        <v>4</v>
      </c>
      <c r="CH16" s="769" t="str">
        <f ca="1">IF(COUNTIFS($CG$6:$CG$53,CG16,$BC$6:$BC$53,INDEX(T_Equipos[Grupo],MATCH(BD16,T_Equipos[NombreEquipo],0)))=1,"-","P."&amp;CG16&amp;" ("&amp;COUNTIFS($CG$6:$CG$53,CG16,$BC$6:$BC$53,INDEX(T_Equipos[Grupo],MATCH(BD16,T_Equipos[NombreEquipo],0)))&amp;")")</f>
        <v>-</v>
      </c>
      <c r="CI16" s="770" t="str">
        <f t="shared" ca="1" si="44"/>
        <v>-</v>
      </c>
      <c r="CJ16" s="770" t="str">
        <f t="shared" ca="1" si="45"/>
        <v>-</v>
      </c>
      <c r="CK16" s="770" t="str">
        <f t="shared" ca="1" si="46"/>
        <v>-</v>
      </c>
      <c r="CL16" s="770" t="str">
        <f t="shared" ca="1" si="47"/>
        <v>-</v>
      </c>
      <c r="CM16" s="770">
        <f ca="1">CG16+COUNTIFS($CH$6:$CH$53,CH16,$CL$6:CL$53,"&gt;"&amp;CL16,$BC$6:$BC$53,INDEX(T_Equipos[Grupo],MATCH(BD16,T_Equipos[NombreEquipo],0)))</f>
        <v>4</v>
      </c>
      <c r="CN16" s="769" t="str">
        <f ca="1">IF(COUNTIFS($CM$6:$CM$53,CM16,$BC$6:$BC$53,INDEX(T_Equipos[Grupo],MATCH(BD16,T_Equipos[NombreEquipo],0)))=1,"-","P."&amp;CM16&amp;" ("&amp;COUNTIFS($CM$6:$CM$53,CM16,$BC$6:$BC$53,INDEX(T_Equipos[Grupo],MATCH(BD16,T_Equipos[NombreEquipo],0)))&amp;")")</f>
        <v>-</v>
      </c>
      <c r="CO16" s="770" t="str">
        <f t="shared" ca="1" si="48"/>
        <v>-</v>
      </c>
      <c r="CP16" s="770" t="str">
        <f t="shared" ca="1" si="49"/>
        <v>-</v>
      </c>
      <c r="CQ16" s="770" t="str">
        <f t="shared" ca="1" si="50"/>
        <v>-</v>
      </c>
      <c r="CR16" s="770">
        <f ca="1">CM16+COUNTIFS($CN$6:$CN$53,CN16,$CQ$6:CQ$53,"&gt;"&amp;CQ16,$BC$6:$BC$53,INDEX(T_Equipos[Grupo],MATCH(BD16,T_Equipos[NombreEquipo],0)))</f>
        <v>4</v>
      </c>
      <c r="CS16" s="769" t="str">
        <f ca="1">IF(COUNTIFS($CR$6:$CR$53,CR16,$BC$6:$BC$53,INDEX(T_Equipos[Grupo],MATCH(BD16,T_Equipos[NombreEquipo],0)))=1,"-","P."&amp;CR16&amp;" ("&amp;COUNTIFS($CR$6:$CR$53,CR16,$BC$6:$BC$53,INDEX(T_Equipos[Grupo],MATCH(BD16,T_Equipos[NombreEquipo],0)))&amp;")")</f>
        <v>-</v>
      </c>
      <c r="CT16" s="770" t="str">
        <f t="shared" ca="1" si="51"/>
        <v>-</v>
      </c>
      <c r="CU16" s="770">
        <f ca="1">CR16+COUNTIFS($CS$6:$CS$53,CS16,$CT$6:CT$53,"&gt;"&amp;CT16,$BC$6:$BC$53,INDEX(T_Equipos[Grupo],MATCH(BD16,T_Equipos[NombreEquipo],0)))</f>
        <v>4</v>
      </c>
      <c r="CV16" s="769" t="str">
        <f ca="1">IF(COUNTIFS($CU$6:$CU$53,CU16,$BC$6:$BC$53,INDEX(T_Equipos[Grupo],MATCH(BD16,T_Equipos[NombreEquipo],0)))=1,"-","P."&amp;CU16&amp;" ("&amp;COUNTIFS($CU$6:$CU$53,CU16,$BC$6:$BC$53,INDEX(T_Equipos[Grupo],MATCH(BD16,T_Equipos[NombreEquipo],0)))&amp;")")</f>
        <v>-</v>
      </c>
      <c r="CW16" s="769" t="str">
        <f t="shared" ca="1" si="30"/>
        <v>-</v>
      </c>
      <c r="CX16" s="769">
        <f ca="1">CU16+COUNTIFS($CV$6:$CV$53,CV16,$CW$6:CW$53,"&gt;"&amp;CW16,$BC$6:$BC$53,INDEX(T_Equipos[Grupo],MATCH(BD16,T_Equipos[NombreEquipo],0)))</f>
        <v>4</v>
      </c>
      <c r="CY16" s="769" t="str">
        <f ca="1">IF(COUNTIFS($CX$6:$CX$53,CX16,$BC$6:$BC$53,INDEX(T_Equipos[Grupo],MATCH(BD16,T_Equipos[NombreEquipo],0)))=1,"-","P."&amp;CX16&amp;" ("&amp;COUNTIFS($CX$6:$CX$53,CX16,$BC$6:$BC$53,INDEX(T_Equipos[Grupo],MATCH(BD16,T_Equipos[NombreEquipo],0)))&amp;")")</f>
        <v>-</v>
      </c>
      <c r="CZ16" s="769" t="str">
        <f t="shared" ca="1" si="31"/>
        <v>-</v>
      </c>
      <c r="DA16" s="770">
        <f ca="1">CX16+COUNTIFS($CY$6:$CY$53,CY16,$CZ$6:CZ$53,"&gt;"&amp;CZ16,$BC$6:$BC$53,INDEX(T_Equipos[Grupo],MATCH(BD16,T_Equipos[NombreEquipo],0)))</f>
        <v>4</v>
      </c>
      <c r="DB16" s="769" t="str">
        <f ca="1">IF(COUNTIFS($DA$6:$DA$53,DA16,$BC$6:$BC$53,INDEX(T_Equipos[Grupo],MATCH(BD16,T_Equipos[NombreEquipo],0)))=1,"-","P."&amp;DA16&amp;" ("&amp;COUNTIFS($DA$6:$DA$53,DA16,$BC$6:$BC$53,INDEX(T_Equipos[Grupo],MATCH(BD16,T_Equipos[NombreEquipo],0)))&amp;")")</f>
        <v>-</v>
      </c>
      <c r="DC16" s="768" t="str">
        <f ca="1">IF(DB16="-","-",COUNTIFS(T_Equipos[Rank],"&lt;"&amp;INDEX(T_Equipos[Rank],MATCH(BD16,T_Equipos[NombreEquipo],0)),$BC$6:$BC$53,INDEX(T_Equipos[Grupo],MATCH(BD16,T_Equipos[NombreEquipo],0)))+1)</f>
        <v>-</v>
      </c>
      <c r="DD16" s="768">
        <f ca="1">DA16+COUNTIFS($DB$6:$DB$53,DB16,$DC$6:DC$53,"&lt;"&amp;DC16,$BC$6:$BC$53,INDEX(T_Equipos[Grupo],MATCH(BD16,T_Equipos[NombreEquipo],0)))</f>
        <v>4</v>
      </c>
      <c r="DE16" s="768"/>
      <c r="DF16" s="768">
        <f t="shared" ca="1" si="52"/>
        <v>4</v>
      </c>
      <c r="DG16" s="768" t="str">
        <f ca="1">IF(DB16="-","-",COUNTIFS(DF$6:DF$53,"&lt;"&amp;DF16,$BC$6:$BC$53,INDEX(T_Equipos[Grupo],MATCH(BD16,T_Equipos[NombreEquipo],0))))</f>
        <v>-</v>
      </c>
      <c r="DH16" s="768">
        <f ca="1">DA16+COUNTIFS(DB$6:DB$53,DB16,DG$6:DG$53,"&lt;"&amp;DG16,$BC$6:$BC$53,INDEX(T_Equipos[Grupo],MATCH(BD16,T_Equipos[NombreEquipo],0)))</f>
        <v>4</v>
      </c>
      <c r="DI16" s="756"/>
      <c r="DJ16" s="756">
        <f t="shared" ca="1" si="53"/>
        <v>3</v>
      </c>
      <c r="DK16" s="756">
        <f t="shared" ca="1" si="24"/>
        <v>12</v>
      </c>
      <c r="DL16" s="756">
        <f t="shared" ca="1" si="33"/>
        <v>1</v>
      </c>
      <c r="DM16" s="750" t="str">
        <f t="shared" ca="1" si="34"/>
        <v>3.1</v>
      </c>
      <c r="DN16" s="756" cm="1">
        <f t="array" aca="1" ref="DN16" ca="1">OFFSET(Horarios!$P$3,DJ16-1,0,DL16,1)</f>
        <v>3</v>
      </c>
      <c r="DO16" s="756"/>
      <c r="DP16" s="756" t="s">
        <v>91</v>
      </c>
      <c r="DQ16" s="756" t="str">
        <f t="shared" ca="1" si="35"/>
        <v>Marruecos</v>
      </c>
      <c r="DR16" s="756"/>
      <c r="DS16" s="756"/>
      <c r="DT16" s="756" t="str">
        <f t="shared" ca="1" si="15"/>
        <v>Suiza-Canadá</v>
      </c>
      <c r="DU16" s="756"/>
      <c r="DV16" s="756"/>
      <c r="DW16" s="8"/>
    </row>
    <row r="17" spans="1:127" ht="15" thickBot="1">
      <c r="A17" s="751"/>
      <c r="B17" s="754"/>
      <c r="C17" s="751"/>
      <c r="D17" s="756" t="str">
        <f t="shared" si="54"/>
        <v>Local</v>
      </c>
      <c r="E17" s="756" t="str">
        <f t="shared" ca="1" si="55"/>
        <v>P.1 (2)</v>
      </c>
      <c r="F17" s="756" t="str">
        <f t="shared" ca="1" si="56"/>
        <v>P.3 (2)</v>
      </c>
      <c r="G17" s="756"/>
      <c r="H17" s="756" t="str">
        <f t="shared" ca="1" si="57"/>
        <v>P.1 (2)</v>
      </c>
      <c r="I17" s="756" t="str">
        <f t="shared" ca="1" si="58"/>
        <v>P.3 (2)</v>
      </c>
      <c r="J17" s="756"/>
      <c r="K17" s="756" t="str">
        <f t="shared" ca="1" si="59"/>
        <v>P.1 (2)</v>
      </c>
      <c r="L17" s="756" t="str">
        <f t="shared" ca="1" si="60"/>
        <v>P.3 (2)</v>
      </c>
      <c r="M17" s="756"/>
      <c r="N17" s="756" t="str">
        <f t="shared" ca="1" si="61"/>
        <v>P.1 (2)</v>
      </c>
      <c r="O17" s="756" t="str">
        <f t="shared" ca="1" si="62"/>
        <v>P.3 (2)</v>
      </c>
      <c r="P17" s="756"/>
      <c r="Q17" s="756" t="str">
        <f t="shared" ca="1" si="63"/>
        <v>P.1 (2)</v>
      </c>
      <c r="R17" s="756" t="str">
        <f t="shared" ca="1" si="64"/>
        <v>P.3 (2)</v>
      </c>
      <c r="S17" s="756"/>
      <c r="T17" s="756" t="str">
        <f t="shared" ca="1" si="65"/>
        <v>P.1 (2)</v>
      </c>
      <c r="U17" s="756" t="str">
        <f t="shared" ca="1" si="66"/>
        <v>P.3 (2)</v>
      </c>
      <c r="V17" s="178"/>
      <c r="W17" s="833"/>
      <c r="X17" s="234">
        <f ca="1">Horarios!C17</f>
        <v>46197.541666666664</v>
      </c>
      <c r="Y17" s="235">
        <f ca="1">Horarios!C17</f>
        <v>46197.541666666664</v>
      </c>
      <c r="Z17" s="236" t="str">
        <f>$Z$8</f>
        <v>J3</v>
      </c>
      <c r="AA17" s="237" t="str">
        <f ca="1">A14</f>
        <v>Bosnia y Herzegovina</v>
      </c>
      <c r="AB17" s="487" t="str" cm="1">
        <f t="array" aca="1" ref="AB17" ca="1">Ver_flag_local</f>
        <v/>
      </c>
      <c r="AC17" s="238">
        <v>4</v>
      </c>
      <c r="AD17" s="239">
        <v>0</v>
      </c>
      <c r="AE17" s="492" t="str" cm="1">
        <f t="array" aca="1" ref="AE17" ca="1">Ver_flag_visit</f>
        <v/>
      </c>
      <c r="AF17" s="240" t="str">
        <f ca="1">A15</f>
        <v>Catar</v>
      </c>
      <c r="AG17" s="421">
        <f t="shared" si="67"/>
        <v>1</v>
      </c>
      <c r="AH17" s="202">
        <v>52</v>
      </c>
      <c r="AI17" s="19" t="str">
        <f t="shared" si="72"/>
        <v>4B</v>
      </c>
      <c r="AJ17" s="266">
        <v>4</v>
      </c>
      <c r="AK17" s="497" t="str" cm="1">
        <f t="array" aca="1" ref="AK17" ca="1">Ver_flag_visit</f>
        <v/>
      </c>
      <c r="AL17" s="267" t="str">
        <f ca="1">IFERROR(INDEX($BD$6:$BD$53,MATCH(AI17,$BN$6:$BN$53,0)),"")</f>
        <v>Catar</v>
      </c>
      <c r="AM17" s="268">
        <f t="shared" ca="1" si="71"/>
        <v>1</v>
      </c>
      <c r="AN17" s="269">
        <f t="shared" ca="1" si="71"/>
        <v>3</v>
      </c>
      <c r="AO17" s="269">
        <f t="shared" ca="1" si="71"/>
        <v>0</v>
      </c>
      <c r="AP17" s="269">
        <f t="shared" ca="1" si="71"/>
        <v>1</v>
      </c>
      <c r="AQ17" s="269">
        <f t="shared" ca="1" si="71"/>
        <v>2</v>
      </c>
      <c r="AR17" s="269">
        <f t="shared" ca="1" si="71"/>
        <v>1</v>
      </c>
      <c r="AS17" s="269">
        <f t="shared" ca="1" si="71"/>
        <v>10</v>
      </c>
      <c r="AT17" s="270">
        <f t="shared" ca="1" si="71"/>
        <v>-9</v>
      </c>
      <c r="AU17" s="428">
        <f ca="1">INDEX($DL$6:$DL$53,MATCH(AI17,$DP$6:$DP$53,0))</f>
        <v>1</v>
      </c>
      <c r="AV17" s="223" t="str">
        <f ca="1">INDEX($BD$6:$BD$53,MATCH(AI17,$BM$6:$BM$53,0))</f>
        <v>Catar</v>
      </c>
      <c r="AW17" s="435"/>
      <c r="AX17" s="224"/>
      <c r="AY17" s="246" t="str">
        <f ca="1">+A16</f>
        <v>Suiza</v>
      </c>
      <c r="AZ17" s="247"/>
      <c r="BA17" s="181"/>
      <c r="BB17" s="756"/>
      <c r="BC17" s="768" t="str">
        <f ca="1">+INDEX(T_Equipos[Grupo],MATCH(WORLDCUP!BD17,T_Equipos[NombreEquipo],0))</f>
        <v>C</v>
      </c>
      <c r="BD17" s="756" t="str">
        <f ca="1">+Equipos!B13</f>
        <v>Escocia</v>
      </c>
      <c r="BE17" s="760">
        <f t="shared" ca="1" si="25"/>
        <v>6</v>
      </c>
      <c r="BF17" s="760">
        <f t="shared" ca="1" si="26"/>
        <v>3</v>
      </c>
      <c r="BG17" s="760">
        <f t="shared" ca="1" si="17"/>
        <v>2</v>
      </c>
      <c r="BH17" s="760">
        <f t="shared" ca="1" si="18"/>
        <v>0</v>
      </c>
      <c r="BI17" s="760">
        <f t="shared" ca="1" si="19"/>
        <v>1</v>
      </c>
      <c r="BJ17" s="760">
        <f t="shared" ca="1" si="20"/>
        <v>4</v>
      </c>
      <c r="BK17" s="760">
        <f t="shared" ca="1" si="21"/>
        <v>3</v>
      </c>
      <c r="BL17" s="760">
        <f t="shared" ca="1" si="27"/>
        <v>1</v>
      </c>
      <c r="BM17" s="760" t="str">
        <f t="shared" ca="1" si="22"/>
        <v>2C</v>
      </c>
      <c r="BN17" s="760" t="str">
        <f t="shared" ca="1" si="23"/>
        <v>2C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6</v>
      </c>
      <c r="BS17" s="769">
        <f ca="1">BP17+COUNTIFS($BQ$6:$BQ$53,BQ17,$BR$6:BR$53,"&gt;"&amp;BR17,$BC$6:$BC$53,INDEX(T_Equipos[Grupo],MATCH(BD17,T_Equipos[NombreEquipo],0)))</f>
        <v>2</v>
      </c>
      <c r="BT17" s="769" t="str">
        <f ca="1">IF(COUNTIFS($BS$6:$BS$53,BS17,$BC$6:$BC$53,INDEX(T_Equipos[Grupo],MATCH(BD17,T_Equipos[NombreEquipo],0)))=1,"-","P."&amp;BS17&amp;" ("&amp;COUNTIFS($BS$6:$BS$53,BS17,$BC$6:$BC$53,INDEX(T_Equipos[Grupo],MATCH(BD17,T_Equipos[NombreEquipo],0)))&amp;")")</f>
        <v>-</v>
      </c>
      <c r="BU17" s="770" t="str">
        <f t="shared" ca="1" si="36"/>
        <v>-</v>
      </c>
      <c r="BV17" s="770" t="str">
        <f t="shared" ca="1" si="37"/>
        <v>-</v>
      </c>
      <c r="BW17" s="770" t="str">
        <f t="shared" ca="1" si="38"/>
        <v>-</v>
      </c>
      <c r="BX17" s="770" t="str">
        <f t="shared" ca="1" si="39"/>
        <v>-</v>
      </c>
      <c r="BY17" s="770">
        <f ca="1">BS17+COUNTIFS($BT$6:$BT$53,BT17,$BX$6:BX$53,"&gt;"&amp;BX17,$BC$6:$BC$53,INDEX(T_Equipos[Grupo],MATCH(BD17,T_Equipos[NombreEquipo],0)))</f>
        <v>2</v>
      </c>
      <c r="BZ17" s="769" t="str">
        <f ca="1">IF(COUNTIFS($BY$6:$BY$53,BY17,$BC$6:$BC$53,INDEX(T_Equipos[Grupo],MATCH(BD17,T_Equipos[NombreEquipo],0)))=1,"-","P."&amp;BY17&amp;" ("&amp;COUNTIFS($BY$6:$BY$53,BY17,$BC$6:$BC$53,INDEX(T_Equipos[Grupo],MATCH(BD17,T_Equipos[NombreEquipo],0)))&amp;")")</f>
        <v>-</v>
      </c>
      <c r="CA17" s="770" t="str">
        <f t="shared" ca="1" si="40"/>
        <v>-</v>
      </c>
      <c r="CB17" s="770" t="str">
        <f t="shared" ca="1" si="41"/>
        <v>-</v>
      </c>
      <c r="CC17" s="770" t="str">
        <f t="shared" ca="1" si="42"/>
        <v>-</v>
      </c>
      <c r="CD17" s="770">
        <f ca="1">BY17+COUNTIFS($BZ$6:$BZ$53,BZ17,$CC$6:CC$53,"&gt;"&amp;CC17,$BC$6:$BC$53,INDEX(T_Equipos[Grupo],MATCH(BD17,T_Equipos[NombreEquipo],0)))</f>
        <v>2</v>
      </c>
      <c r="CE17" s="769" t="str">
        <f ca="1">IF(COUNTIFS($CD$6:$CD$53,CD17,$BC$6:$BC$53,INDEX(T_Equipos[Grupo],MATCH(BD17,T_Equipos[NombreEquipo],0)))=1,"-","P."&amp;CD17&amp;" ("&amp;COUNTIFS($CD$6:$CD$53,CD17,$BC$6:$BC$53,INDEX(T_Equipos[Grupo],MATCH(BD17,T_Equipos[NombreEquipo],0)))&amp;")")</f>
        <v>-</v>
      </c>
      <c r="CF17" s="770" t="str">
        <f t="shared" ca="1" si="43"/>
        <v>-</v>
      </c>
      <c r="CG17" s="770">
        <f ca="1">CD17+COUNTIFS($CE$6:$CE$53,CE17,$CF$6:CF$53,"&gt;"&amp;CF17,$BC$6:$BC$53,INDEX(T_Equipos[Grupo],MATCH(BD17,T_Equipos[NombreEquipo],0)))</f>
        <v>2</v>
      </c>
      <c r="CH17" s="769" t="str">
        <f ca="1">IF(COUNTIFS($CG$6:$CG$53,CG17,$BC$6:$BC$53,INDEX(T_Equipos[Grupo],MATCH(BD17,T_Equipos[NombreEquipo],0)))=1,"-","P."&amp;CG17&amp;" ("&amp;COUNTIFS($CG$6:$CG$53,CG17,$BC$6:$BC$53,INDEX(T_Equipos[Grupo],MATCH(BD17,T_Equipos[NombreEquipo],0)))&amp;")")</f>
        <v>-</v>
      </c>
      <c r="CI17" s="770" t="str">
        <f t="shared" ca="1" si="44"/>
        <v>-</v>
      </c>
      <c r="CJ17" s="770" t="str">
        <f t="shared" ca="1" si="45"/>
        <v>-</v>
      </c>
      <c r="CK17" s="770" t="str">
        <f t="shared" ca="1" si="46"/>
        <v>-</v>
      </c>
      <c r="CL17" s="770" t="str">
        <f t="shared" ca="1" si="47"/>
        <v>-</v>
      </c>
      <c r="CM17" s="770">
        <f ca="1">CG17+COUNTIFS($CH$6:$CH$53,CH17,$CL$6:CL$53,"&gt;"&amp;CL17,$BC$6:$BC$53,INDEX(T_Equipos[Grupo],MATCH(BD17,T_Equipos[NombreEquipo],0)))</f>
        <v>2</v>
      </c>
      <c r="CN17" s="769" t="str">
        <f ca="1">IF(COUNTIFS($CM$6:$CM$53,CM17,$BC$6:$BC$53,INDEX(T_Equipos[Grupo],MATCH(BD17,T_Equipos[NombreEquipo],0)))=1,"-","P."&amp;CM17&amp;" ("&amp;COUNTIFS($CM$6:$CM$53,CM17,$BC$6:$BC$53,INDEX(T_Equipos[Grupo],MATCH(BD17,T_Equipos[NombreEquipo],0)))&amp;")")</f>
        <v>-</v>
      </c>
      <c r="CO17" s="770" t="str">
        <f t="shared" ca="1" si="48"/>
        <v>-</v>
      </c>
      <c r="CP17" s="770" t="str">
        <f t="shared" ca="1" si="49"/>
        <v>-</v>
      </c>
      <c r="CQ17" s="770" t="str">
        <f t="shared" ca="1" si="50"/>
        <v>-</v>
      </c>
      <c r="CR17" s="770">
        <f ca="1">CM17+COUNTIFS($CN$6:$CN$53,CN17,$CQ$6:CQ$53,"&gt;"&amp;CQ17,$BC$6:$BC$53,INDEX(T_Equipos[Grupo],MATCH(BD17,T_Equipos[NombreEquipo],0)))</f>
        <v>2</v>
      </c>
      <c r="CS17" s="769" t="str">
        <f ca="1">IF(COUNTIFS($CR$6:$CR$53,CR17,$BC$6:$BC$53,INDEX(T_Equipos[Grupo],MATCH(BD17,T_Equipos[NombreEquipo],0)))=1,"-","P."&amp;CR17&amp;" ("&amp;COUNTIFS($CR$6:$CR$53,CR17,$BC$6:$BC$53,INDEX(T_Equipos[Grupo],MATCH(BD17,T_Equipos[NombreEquipo],0)))&amp;")")</f>
        <v>-</v>
      </c>
      <c r="CT17" s="770" t="str">
        <f t="shared" ca="1" si="51"/>
        <v>-</v>
      </c>
      <c r="CU17" s="770">
        <f ca="1">CR17+COUNTIFS($CS$6:$CS$53,CS17,$CT$6:CT$53,"&gt;"&amp;CT17,$BC$6:$BC$53,INDEX(T_Equipos[Grupo],MATCH(BD17,T_Equipos[NombreEquipo],0)))</f>
        <v>2</v>
      </c>
      <c r="CV17" s="769" t="str">
        <f ca="1">IF(COUNTIFS($CU$6:$CU$53,CU17,$BC$6:$BC$53,INDEX(T_Equipos[Grupo],MATCH(BD17,T_Equipos[NombreEquipo],0)))=1,"-","P."&amp;CU17&amp;" ("&amp;COUNTIFS($CU$6:$CU$53,CU17,$BC$6:$BC$53,INDEX(T_Equipos[Grupo],MATCH(BD17,T_Equipos[NombreEquipo],0)))&amp;")")</f>
        <v>-</v>
      </c>
      <c r="CW17" s="769" t="str">
        <f t="shared" ca="1" si="30"/>
        <v>-</v>
      </c>
      <c r="CX17" s="769">
        <f ca="1">CU17+COUNTIFS($CV$6:$CV$53,CV17,$CW$6:CW$53,"&gt;"&amp;CW17,$BC$6:$BC$53,INDEX(T_Equipos[Grupo],MATCH(BD17,T_Equipos[NombreEquipo],0)))</f>
        <v>2</v>
      </c>
      <c r="CY17" s="769" t="str">
        <f ca="1">IF(COUNTIFS($CX$6:$CX$53,CX17,$BC$6:$BC$53,INDEX(T_Equipos[Grupo],MATCH(BD17,T_Equipos[NombreEquipo],0)))=1,"-","P."&amp;CX17&amp;" ("&amp;COUNTIFS($CX$6:$CX$53,CX17,$BC$6:$BC$53,INDEX(T_Equipos[Grupo],MATCH(BD17,T_Equipos[NombreEquipo],0)))&amp;")")</f>
        <v>-</v>
      </c>
      <c r="CZ17" s="769" t="str">
        <f t="shared" ca="1" si="31"/>
        <v>-</v>
      </c>
      <c r="DA17" s="770">
        <f ca="1">CX17+COUNTIFS($CY$6:$CY$53,CY17,$CZ$6:CZ$53,"&gt;"&amp;CZ17,$BC$6:$BC$53,INDEX(T_Equipos[Grupo],MATCH(BD17,T_Equipos[NombreEquipo],0)))</f>
        <v>2</v>
      </c>
      <c r="DB17" s="769" t="str">
        <f ca="1">IF(COUNTIFS($DA$6:$DA$53,DA17,$BC$6:$BC$53,INDEX(T_Equipos[Grupo],MATCH(BD17,T_Equipos[NombreEquipo],0)))=1,"-","P."&amp;DA17&amp;" ("&amp;COUNTIFS($DA$6:$DA$53,DA17,$BC$6:$BC$53,INDEX(T_Equipos[Grupo],MATCH(BD17,T_Equipos[NombreEquipo],0)))&amp;")")</f>
        <v>-</v>
      </c>
      <c r="DC17" s="768" t="str">
        <f ca="1">IF(DB17="-","-",COUNTIFS(T_Equipos[Rank],"&lt;"&amp;INDEX(T_Equipos[Rank],MATCH(BD17,T_Equipos[NombreEquipo],0)),$BC$6:$BC$53,INDEX(T_Equipos[Grupo],MATCH(BD17,T_Equipos[NombreEquipo],0)))+1)</f>
        <v>-</v>
      </c>
      <c r="DD17" s="768">
        <f ca="1">DA17+COUNTIFS($DB$6:$DB$53,DB17,$DC$6:DC$53,"&lt;"&amp;DC17,$BC$6:$BC$53,INDEX(T_Equipos[Grupo],MATCH(BD17,T_Equipos[NombreEquipo],0)))</f>
        <v>2</v>
      </c>
      <c r="DE17" s="768"/>
      <c r="DF17" s="768">
        <f t="shared" ca="1" si="52"/>
        <v>2</v>
      </c>
      <c r="DG17" s="768" t="str">
        <f ca="1">IF(DB17="-","-",COUNTIFS(DF$6:DF$53,"&lt;"&amp;DF17,$BC$6:$BC$53,INDEX(T_Equipos[Grupo],MATCH(BD17,T_Equipos[NombreEquipo],0))))</f>
        <v>-</v>
      </c>
      <c r="DH17" s="768">
        <f ca="1">DA17+COUNTIFS(DB$6:DB$53,DB17,DG$6:DG$53,"&lt;"&amp;DG17,$BC$6:$BC$53,INDEX(T_Equipos[Grupo],MATCH(BD17,T_Equipos[NombreEquipo],0)))</f>
        <v>2</v>
      </c>
      <c r="DI17" s="756"/>
      <c r="DJ17" s="756">
        <f t="shared" ca="1" si="53"/>
        <v>4</v>
      </c>
      <c r="DK17" s="756">
        <f t="shared" ca="1" si="24"/>
        <v>12</v>
      </c>
      <c r="DL17" s="756">
        <f t="shared" ca="1" si="33"/>
        <v>1</v>
      </c>
      <c r="DM17" s="750" t="str">
        <f t="shared" ca="1" si="34"/>
        <v>4.1</v>
      </c>
      <c r="DN17" s="756" cm="1">
        <f t="array" aca="1" ref="DN17" ca="1">OFFSET(Horarios!$P$3,DJ17-1,0,DL17,1)</f>
        <v>4</v>
      </c>
      <c r="DO17" s="756"/>
      <c r="DP17" s="756" t="s">
        <v>657</v>
      </c>
      <c r="DQ17" s="756" t="str">
        <f t="shared" ca="1" si="35"/>
        <v>Haití</v>
      </c>
      <c r="DR17" s="756"/>
      <c r="DS17" s="756"/>
      <c r="DT17" s="756" t="str">
        <f t="shared" ca="1" si="15"/>
        <v>Bosnia y Herzegovina-Catar</v>
      </c>
      <c r="DU17" s="756"/>
      <c r="DV17" s="756"/>
      <c r="DW17" s="8"/>
    </row>
    <row r="18" spans="1:127" ht="15" thickBot="1">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5</v>
      </c>
      <c r="BF18" s="760">
        <f t="shared" ca="1" si="26"/>
        <v>3</v>
      </c>
      <c r="BG18" s="760">
        <f t="shared" ca="1" si="17"/>
        <v>1</v>
      </c>
      <c r="BH18" s="760">
        <f t="shared" ca="1" si="18"/>
        <v>2</v>
      </c>
      <c r="BI18" s="760">
        <f t="shared" ca="1" si="19"/>
        <v>0</v>
      </c>
      <c r="BJ18" s="760">
        <f t="shared" ca="1" si="20"/>
        <v>3</v>
      </c>
      <c r="BK18" s="760">
        <f t="shared" ca="1" si="21"/>
        <v>2</v>
      </c>
      <c r="BL18" s="760">
        <f t="shared" ca="1" si="27"/>
        <v>1</v>
      </c>
      <c r="BM18" s="760" t="str">
        <f t="shared" ca="1" si="22"/>
        <v>2D</v>
      </c>
      <c r="BN18" s="760" t="str">
        <f t="shared" ca="1" si="23"/>
        <v>2D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5</v>
      </c>
      <c r="BS18" s="769">
        <f ca="1">BP18+COUNTIFS($BQ$6:$BQ$53,BQ18,$BR$6:BR$53,"&gt;"&amp;BR18,$BC$6:$BC$53,INDEX(T_Equipos[Grupo],MATCH(BD18,T_Equipos[NombreEquipo],0)))</f>
        <v>2</v>
      </c>
      <c r="BT18" s="769" t="str">
        <f ca="1">IF(COUNTIFS($BS$6:$BS$53,BS18,$BC$6:$BC$53,INDEX(T_Equipos[Grupo],MATCH(BD18,T_Equipos[NombreEquipo],0)))=1,"-","P."&amp;BS18&amp;" ("&amp;COUNTIFS($BS$6:$BS$53,BS18,$BC$6:$BC$53,INDEX(T_Equipos[Grupo],MATCH(BD18,T_Equipos[NombreEquipo],0)))&amp;")")</f>
        <v>-</v>
      </c>
      <c r="BU18" s="770" t="str">
        <f t="shared" ca="1" si="36"/>
        <v>-</v>
      </c>
      <c r="BV18" s="770" t="str">
        <f t="shared" ca="1" si="37"/>
        <v>-</v>
      </c>
      <c r="BW18" s="770" t="str">
        <f t="shared" ca="1" si="38"/>
        <v>-</v>
      </c>
      <c r="BX18" s="770" t="str">
        <f t="shared" ca="1" si="39"/>
        <v>-</v>
      </c>
      <c r="BY18" s="770">
        <f ca="1">BS18+COUNTIFS($BT$6:$BT$53,BT18,$BX$6:BX$53,"&gt;"&amp;BX18,$BC$6:$BC$53,INDEX(T_Equipos[Grupo],MATCH(BD18,T_Equipos[NombreEquipo],0)))</f>
        <v>2</v>
      </c>
      <c r="BZ18" s="769" t="str">
        <f ca="1">IF(COUNTIFS($BY$6:$BY$53,BY18,$BC$6:$BC$53,INDEX(T_Equipos[Grupo],MATCH(BD18,T_Equipos[NombreEquipo],0)))=1,"-","P."&amp;BY18&amp;" ("&amp;COUNTIFS($BY$6:$BY$53,BY18,$BC$6:$BC$53,INDEX(T_Equipos[Grupo],MATCH(BD18,T_Equipos[NombreEquipo],0)))&amp;")")</f>
        <v>-</v>
      </c>
      <c r="CA18" s="770" t="str">
        <f t="shared" ca="1" si="40"/>
        <v>-</v>
      </c>
      <c r="CB18" s="770" t="str">
        <f t="shared" ca="1" si="41"/>
        <v>-</v>
      </c>
      <c r="CC18" s="770" t="str">
        <f t="shared" ca="1" si="42"/>
        <v>-</v>
      </c>
      <c r="CD18" s="770">
        <f ca="1">BY18+COUNTIFS($BZ$6:$BZ$53,BZ18,$CC$6:CC$53,"&gt;"&amp;CC18,$BC$6:$BC$53,INDEX(T_Equipos[Grupo],MATCH(BD18,T_Equipos[NombreEquipo],0)))</f>
        <v>2</v>
      </c>
      <c r="CE18" s="769" t="str">
        <f ca="1">IF(COUNTIFS($CD$6:$CD$53,CD18,$BC$6:$BC$53,INDEX(T_Equipos[Grupo],MATCH(BD18,T_Equipos[NombreEquipo],0)))=1,"-","P."&amp;CD18&amp;" ("&amp;COUNTIFS($CD$6:$CD$53,CD18,$BC$6:$BC$53,INDEX(T_Equipos[Grupo],MATCH(BD18,T_Equipos[NombreEquipo],0)))&amp;")")</f>
        <v>-</v>
      </c>
      <c r="CF18" s="770" t="str">
        <f t="shared" ca="1" si="43"/>
        <v>-</v>
      </c>
      <c r="CG18" s="770">
        <f ca="1">CD18+COUNTIFS($CE$6:$CE$53,CE18,$CF$6:CF$53,"&gt;"&amp;CF18,$BC$6:$BC$53,INDEX(T_Equipos[Grupo],MATCH(BD18,T_Equipos[NombreEquipo],0)))</f>
        <v>2</v>
      </c>
      <c r="CH18" s="769" t="str">
        <f ca="1">IF(COUNTIFS($CG$6:$CG$53,CG18,$BC$6:$BC$53,INDEX(T_Equipos[Grupo],MATCH(BD18,T_Equipos[NombreEquipo],0)))=1,"-","P."&amp;CG18&amp;" ("&amp;COUNTIFS($CG$6:$CG$53,CG18,$BC$6:$BC$53,INDEX(T_Equipos[Grupo],MATCH(BD18,T_Equipos[NombreEquipo],0)))&amp;")")</f>
        <v>-</v>
      </c>
      <c r="CI18" s="770" t="str">
        <f t="shared" ca="1" si="44"/>
        <v>-</v>
      </c>
      <c r="CJ18" s="770" t="str">
        <f t="shared" ca="1" si="45"/>
        <v>-</v>
      </c>
      <c r="CK18" s="770" t="str">
        <f t="shared" ca="1" si="46"/>
        <v>-</v>
      </c>
      <c r="CL18" s="770" t="str">
        <f t="shared" ca="1" si="47"/>
        <v>-</v>
      </c>
      <c r="CM18" s="770">
        <f ca="1">CG18+COUNTIFS($CH$6:$CH$53,CH18,$CL$6:CL$53,"&gt;"&amp;CL18,$BC$6:$BC$53,INDEX(T_Equipos[Grupo],MATCH(BD18,T_Equipos[NombreEquipo],0)))</f>
        <v>2</v>
      </c>
      <c r="CN18" s="769" t="str">
        <f ca="1">IF(COUNTIFS($CM$6:$CM$53,CM18,$BC$6:$BC$53,INDEX(T_Equipos[Grupo],MATCH(BD18,T_Equipos[NombreEquipo],0)))=1,"-","P."&amp;CM18&amp;" ("&amp;COUNTIFS($CM$6:$CM$53,CM18,$BC$6:$BC$53,INDEX(T_Equipos[Grupo],MATCH(BD18,T_Equipos[NombreEquipo],0)))&amp;")")</f>
        <v>-</v>
      </c>
      <c r="CO18" s="770" t="str">
        <f t="shared" ca="1" si="48"/>
        <v>-</v>
      </c>
      <c r="CP18" s="770" t="str">
        <f t="shared" ca="1" si="49"/>
        <v>-</v>
      </c>
      <c r="CQ18" s="770" t="str">
        <f t="shared" ca="1" si="50"/>
        <v>-</v>
      </c>
      <c r="CR18" s="770">
        <f ca="1">CM18+COUNTIFS($CN$6:$CN$53,CN18,$CQ$6:CQ$53,"&gt;"&amp;CQ18,$BC$6:$BC$53,INDEX(T_Equipos[Grupo],MATCH(BD18,T_Equipos[NombreEquipo],0)))</f>
        <v>2</v>
      </c>
      <c r="CS18" s="769" t="str">
        <f ca="1">IF(COUNTIFS($CR$6:$CR$53,CR18,$BC$6:$BC$53,INDEX(T_Equipos[Grupo],MATCH(BD18,T_Equipos[NombreEquipo],0)))=1,"-","P."&amp;CR18&amp;" ("&amp;COUNTIFS($CR$6:$CR$53,CR18,$BC$6:$BC$53,INDEX(T_Equipos[Grupo],MATCH(BD18,T_Equipos[NombreEquipo],0)))&amp;")")</f>
        <v>-</v>
      </c>
      <c r="CT18" s="770" t="str">
        <f t="shared" ca="1" si="51"/>
        <v>-</v>
      </c>
      <c r="CU18" s="770">
        <f ca="1">CR18+COUNTIFS($CS$6:$CS$53,CS18,$CT$6:CT$53,"&gt;"&amp;CT18,$BC$6:$BC$53,INDEX(T_Equipos[Grupo],MATCH(BD18,T_Equipos[NombreEquipo],0)))</f>
        <v>2</v>
      </c>
      <c r="CV18" s="769" t="str">
        <f ca="1">IF(COUNTIFS($CU$6:$CU$53,CU18,$BC$6:$BC$53,INDEX(T_Equipos[Grupo],MATCH(BD18,T_Equipos[NombreEquipo],0)))=1,"-","P."&amp;CU18&amp;" ("&amp;COUNTIFS($CU$6:$CU$53,CU18,$BC$6:$BC$53,INDEX(T_Equipos[Grupo],MATCH(BD18,T_Equipos[NombreEquipo],0)))&amp;")")</f>
        <v>-</v>
      </c>
      <c r="CW18" s="769" t="str">
        <f t="shared" ca="1" si="30"/>
        <v>-</v>
      </c>
      <c r="CX18" s="769">
        <f ca="1">CU18+COUNTIFS($CV$6:$CV$53,CV18,$CW$6:CW$53,"&gt;"&amp;CW18,$BC$6:$BC$53,INDEX(T_Equipos[Grupo],MATCH(BD18,T_Equipos[NombreEquipo],0)))</f>
        <v>2</v>
      </c>
      <c r="CY18" s="769" t="str">
        <f ca="1">IF(COUNTIFS($CX$6:$CX$53,CX18,$BC$6:$BC$53,INDEX(T_Equipos[Grupo],MATCH(BD18,T_Equipos[NombreEquipo],0)))=1,"-","P."&amp;CX18&amp;" ("&amp;COUNTIFS($CX$6:$CX$53,CX18,$BC$6:$BC$53,INDEX(T_Equipos[Grupo],MATCH(BD18,T_Equipos[NombreEquipo],0)))&amp;")")</f>
        <v>-</v>
      </c>
      <c r="CZ18" s="769" t="str">
        <f t="shared" ca="1" si="31"/>
        <v>-</v>
      </c>
      <c r="DA18" s="770">
        <f ca="1">CX18+COUNTIFS($CY$6:$CY$53,CY18,$CZ$6:CZ$53,"&gt;"&amp;CZ18,$BC$6:$BC$53,INDEX(T_Equipos[Grupo],MATCH(BD18,T_Equipos[NombreEquipo],0)))</f>
        <v>2</v>
      </c>
      <c r="DB18" s="769" t="str">
        <f ca="1">IF(COUNTIFS($DA$6:$DA$53,DA18,$BC$6:$BC$53,INDEX(T_Equipos[Grupo],MATCH(BD18,T_Equipos[NombreEquipo],0)))=1,"-","P."&amp;DA18&amp;" ("&amp;COUNTIFS($DA$6:$DA$53,DA18,$BC$6:$BC$53,INDEX(T_Equipos[Grupo],MATCH(BD18,T_Equipos[NombreEquipo],0)))&amp;")")</f>
        <v>-</v>
      </c>
      <c r="DC18" s="768" t="str">
        <f ca="1">IF(DB18="-","-",COUNTIFS(T_Equipos[Rank],"&lt;"&amp;INDEX(T_Equipos[Rank],MATCH(BD18,T_Equipos[NombreEquipo],0)),$BC$6:$BC$53,INDEX(T_Equipos[Grupo],MATCH(BD18,T_Equipos[NombreEquipo],0)))+1)</f>
        <v>-</v>
      </c>
      <c r="DD18" s="768">
        <f ca="1">DA18+COUNTIFS($DB$6:$DB$53,DB18,$DC$6:DC$53,"&lt;"&amp;DC18,$BC$6:$BC$53,INDEX(T_Equipos[Grupo],MATCH(BD18,T_Equipos[NombreEquipo],0)))</f>
        <v>2</v>
      </c>
      <c r="DE18" s="768"/>
      <c r="DF18" s="768">
        <f t="shared" ca="1" si="52"/>
        <v>2</v>
      </c>
      <c r="DG18" s="768" t="str">
        <f ca="1">IF(DB18="-","-",COUNTIFS(DF$6:DF$53,"&lt;"&amp;DF18,$BC$6:$BC$53,INDEX(T_Equipos[Grupo],MATCH(BD18,T_Equipos[NombreEquipo],0))))</f>
        <v>-</v>
      </c>
      <c r="DH18" s="768">
        <f ca="1">DA18+COUNTIFS(DB$6:DB$53,DB18,DG$6:DG$53,"&lt;"&amp;DG18,$BC$6:$BC$53,INDEX(T_Equipos[Grupo],MATCH(BD18,T_Equipos[NombreEquipo],0)))</f>
        <v>2</v>
      </c>
      <c r="DI18" s="756"/>
      <c r="DJ18" s="756">
        <f t="shared" ca="1" si="53"/>
        <v>1</v>
      </c>
      <c r="DK18" s="756">
        <f t="shared" ca="1" si="24"/>
        <v>12</v>
      </c>
      <c r="DL18" s="756">
        <f t="shared" ca="1" si="33"/>
        <v>1</v>
      </c>
      <c r="DM18" s="750" t="str">
        <f t="shared" ca="1" si="34"/>
        <v>1.1</v>
      </c>
      <c r="DN18" s="756" cm="1">
        <f t="array" aca="1" ref="DN18" ca="1">OFFSET(Horarios!$P$3,DJ18-1,0,DL18,1)</f>
        <v>1</v>
      </c>
      <c r="DO18" s="756"/>
      <c r="DP18" s="756" t="s">
        <v>658</v>
      </c>
      <c r="DQ18" s="756" t="str">
        <f t="shared" ca="1" si="35"/>
        <v>Turquía</v>
      </c>
      <c r="DR18" s="756"/>
      <c r="DS18" s="756"/>
      <c r="DT18" s="756" t="str">
        <f t="shared" si="15"/>
        <v>-</v>
      </c>
      <c r="DU18" s="756"/>
      <c r="DV18" s="756"/>
      <c r="DW18" s="8"/>
    </row>
    <row r="19" spans="1:127" ht="15" thickBot="1">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4</v>
      </c>
      <c r="BF19" s="760">
        <f t="shared" ca="1" si="26"/>
        <v>3</v>
      </c>
      <c r="BG19" s="760">
        <f t="shared" ca="1" si="17"/>
        <v>1</v>
      </c>
      <c r="BH19" s="760">
        <f t="shared" ca="1" si="18"/>
        <v>1</v>
      </c>
      <c r="BI19" s="760">
        <f t="shared" ca="1" si="19"/>
        <v>1</v>
      </c>
      <c r="BJ19" s="760">
        <f t="shared" ca="1" si="20"/>
        <v>4</v>
      </c>
      <c r="BK19" s="760">
        <f t="shared" ca="1" si="21"/>
        <v>5</v>
      </c>
      <c r="BL19" s="760">
        <f t="shared" ca="1" si="27"/>
        <v>-1</v>
      </c>
      <c r="BM19" s="760" t="str">
        <f t="shared" ca="1" si="22"/>
        <v>3D</v>
      </c>
      <c r="BN19" s="760" t="str">
        <f t="shared" ca="1" si="23"/>
        <v>3D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4</v>
      </c>
      <c r="BS19" s="769">
        <f ca="1">BP19+COUNTIFS($BQ$6:$BQ$53,BQ19,$BR$6:BR$53,"&gt;"&amp;BR19,$BC$6:$BC$53,INDEX(T_Equipos[Grupo],MATCH(BD19,T_Equipos[NombreEquipo],0)))</f>
        <v>3</v>
      </c>
      <c r="BT19" s="769" t="str">
        <f ca="1">IF(COUNTIFS($BS$6:$BS$53,BS19,$BC$6:$BC$53,INDEX(T_Equipos[Grupo],MATCH(BD19,T_Equipos[NombreEquipo],0)))=1,"-","P."&amp;BS19&amp;" ("&amp;COUNTIFS($BS$6:$BS$53,BS19,$BC$6:$BC$53,INDEX(T_Equipos[Grupo],MATCH(BD19,T_Equipos[NombreEquipo],0)))&amp;")")</f>
        <v>-</v>
      </c>
      <c r="BU19" s="770" t="str">
        <f t="shared" ca="1" si="36"/>
        <v>-</v>
      </c>
      <c r="BV19" s="770" t="str">
        <f t="shared" ca="1" si="37"/>
        <v>-</v>
      </c>
      <c r="BW19" s="770" t="str">
        <f t="shared" ca="1" si="38"/>
        <v>-</v>
      </c>
      <c r="BX19" s="770" t="str">
        <f t="shared" ca="1" si="39"/>
        <v>-</v>
      </c>
      <c r="BY19" s="770">
        <f ca="1">BS19+COUNTIFS($BT$6:$BT$53,BT19,$BX$6:BX$53,"&gt;"&amp;BX19,$BC$6:$BC$53,INDEX(T_Equipos[Grupo],MATCH(BD19,T_Equipos[NombreEquipo],0)))</f>
        <v>3</v>
      </c>
      <c r="BZ19" s="769" t="str">
        <f ca="1">IF(COUNTIFS($BY$6:$BY$53,BY19,$BC$6:$BC$53,INDEX(T_Equipos[Grupo],MATCH(BD19,T_Equipos[NombreEquipo],0)))=1,"-","P."&amp;BY19&amp;" ("&amp;COUNTIFS($BY$6:$BY$53,BY19,$BC$6:$BC$53,INDEX(T_Equipos[Grupo],MATCH(BD19,T_Equipos[NombreEquipo],0)))&amp;")")</f>
        <v>-</v>
      </c>
      <c r="CA19" s="770" t="str">
        <f t="shared" ca="1" si="40"/>
        <v>-</v>
      </c>
      <c r="CB19" s="770" t="str">
        <f t="shared" ca="1" si="41"/>
        <v>-</v>
      </c>
      <c r="CC19" s="770" t="str">
        <f t="shared" ca="1" si="42"/>
        <v>-</v>
      </c>
      <c r="CD19" s="770">
        <f ca="1">BY19+COUNTIFS($BZ$6:$BZ$53,BZ19,$CC$6:CC$53,"&gt;"&amp;CC19,$BC$6:$BC$53,INDEX(T_Equipos[Grupo],MATCH(BD19,T_Equipos[NombreEquipo],0)))</f>
        <v>3</v>
      </c>
      <c r="CE19" s="769" t="str">
        <f ca="1">IF(COUNTIFS($CD$6:$CD$53,CD19,$BC$6:$BC$53,INDEX(T_Equipos[Grupo],MATCH(BD19,T_Equipos[NombreEquipo],0)))=1,"-","P."&amp;CD19&amp;" ("&amp;COUNTIFS($CD$6:$CD$53,CD19,$BC$6:$BC$53,INDEX(T_Equipos[Grupo],MATCH(BD19,T_Equipos[NombreEquipo],0)))&amp;")")</f>
        <v>-</v>
      </c>
      <c r="CF19" s="770" t="str">
        <f t="shared" ca="1" si="43"/>
        <v>-</v>
      </c>
      <c r="CG19" s="770">
        <f ca="1">CD19+COUNTIFS($CE$6:$CE$53,CE19,$CF$6:CF$53,"&gt;"&amp;CF19,$BC$6:$BC$53,INDEX(T_Equipos[Grupo],MATCH(BD19,T_Equipos[NombreEquipo],0)))</f>
        <v>3</v>
      </c>
      <c r="CH19" s="769" t="str">
        <f ca="1">IF(COUNTIFS($CG$6:$CG$53,CG19,$BC$6:$BC$53,INDEX(T_Equipos[Grupo],MATCH(BD19,T_Equipos[NombreEquipo],0)))=1,"-","P."&amp;CG19&amp;" ("&amp;COUNTIFS($CG$6:$CG$53,CG19,$BC$6:$BC$53,INDEX(T_Equipos[Grupo],MATCH(BD19,T_Equipos[NombreEquipo],0)))&amp;")")</f>
        <v>-</v>
      </c>
      <c r="CI19" s="770" t="str">
        <f t="shared" ca="1" si="44"/>
        <v>-</v>
      </c>
      <c r="CJ19" s="770" t="str">
        <f t="shared" ca="1" si="45"/>
        <v>-</v>
      </c>
      <c r="CK19" s="770" t="str">
        <f t="shared" ca="1" si="46"/>
        <v>-</v>
      </c>
      <c r="CL19" s="770" t="str">
        <f t="shared" ca="1" si="47"/>
        <v>-</v>
      </c>
      <c r="CM19" s="770">
        <f ca="1">CG19+COUNTIFS($CH$6:$CH$53,CH19,$CL$6:CL$53,"&gt;"&amp;CL19,$BC$6:$BC$53,INDEX(T_Equipos[Grupo],MATCH(BD19,T_Equipos[NombreEquipo],0)))</f>
        <v>3</v>
      </c>
      <c r="CN19" s="769" t="str">
        <f ca="1">IF(COUNTIFS($CM$6:$CM$53,CM19,$BC$6:$BC$53,INDEX(T_Equipos[Grupo],MATCH(BD19,T_Equipos[NombreEquipo],0)))=1,"-","P."&amp;CM19&amp;" ("&amp;COUNTIFS($CM$6:$CM$53,CM19,$BC$6:$BC$53,INDEX(T_Equipos[Grupo],MATCH(BD19,T_Equipos[NombreEquipo],0)))&amp;")")</f>
        <v>-</v>
      </c>
      <c r="CO19" s="770" t="str">
        <f t="shared" ca="1" si="48"/>
        <v>-</v>
      </c>
      <c r="CP19" s="770" t="str">
        <f t="shared" ca="1" si="49"/>
        <v>-</v>
      </c>
      <c r="CQ19" s="770" t="str">
        <f t="shared" ca="1" si="50"/>
        <v>-</v>
      </c>
      <c r="CR19" s="770">
        <f ca="1">CM19+COUNTIFS($CN$6:$CN$53,CN19,$CQ$6:CQ$53,"&gt;"&amp;CQ19,$BC$6:$BC$53,INDEX(T_Equipos[Grupo],MATCH(BD19,T_Equipos[NombreEquipo],0)))</f>
        <v>3</v>
      </c>
      <c r="CS19" s="769" t="str">
        <f ca="1">IF(COUNTIFS($CR$6:$CR$53,CR19,$BC$6:$BC$53,INDEX(T_Equipos[Grupo],MATCH(BD19,T_Equipos[NombreEquipo],0)))=1,"-","P."&amp;CR19&amp;" ("&amp;COUNTIFS($CR$6:$CR$53,CR19,$BC$6:$BC$53,INDEX(T_Equipos[Grupo],MATCH(BD19,T_Equipos[NombreEquipo],0)))&amp;")")</f>
        <v>-</v>
      </c>
      <c r="CT19" s="770" t="str">
        <f t="shared" ca="1" si="51"/>
        <v>-</v>
      </c>
      <c r="CU19" s="770">
        <f ca="1">CR19+COUNTIFS($CS$6:$CS$53,CS19,$CT$6:CT$53,"&gt;"&amp;CT19,$BC$6:$BC$53,INDEX(T_Equipos[Grupo],MATCH(BD19,T_Equipos[NombreEquipo],0)))</f>
        <v>3</v>
      </c>
      <c r="CV19" s="769" t="str">
        <f ca="1">IF(COUNTIFS($CU$6:$CU$53,CU19,$BC$6:$BC$53,INDEX(T_Equipos[Grupo],MATCH(BD19,T_Equipos[NombreEquipo],0)))=1,"-","P."&amp;CU19&amp;" ("&amp;COUNTIFS($CU$6:$CU$53,CU19,$BC$6:$BC$53,INDEX(T_Equipos[Grupo],MATCH(BD19,T_Equipos[NombreEquipo],0)))&amp;")")</f>
        <v>-</v>
      </c>
      <c r="CW19" s="769" t="str">
        <f t="shared" ca="1" si="30"/>
        <v>-</v>
      </c>
      <c r="CX19" s="769">
        <f ca="1">CU19+COUNTIFS($CV$6:$CV$53,CV19,$CW$6:CW$53,"&gt;"&amp;CW19,$BC$6:$BC$53,INDEX(T_Equipos[Grupo],MATCH(BD19,T_Equipos[NombreEquipo],0)))</f>
        <v>3</v>
      </c>
      <c r="CY19" s="769" t="str">
        <f ca="1">IF(COUNTIFS($CX$6:$CX$53,CX19,$BC$6:$BC$53,INDEX(T_Equipos[Grupo],MATCH(BD19,T_Equipos[NombreEquipo],0)))=1,"-","P."&amp;CX19&amp;" ("&amp;COUNTIFS($CX$6:$CX$53,CX19,$BC$6:$BC$53,INDEX(T_Equipos[Grupo],MATCH(BD19,T_Equipos[NombreEquipo],0)))&amp;")")</f>
        <v>-</v>
      </c>
      <c r="CZ19" s="769" t="str">
        <f t="shared" ca="1" si="31"/>
        <v>-</v>
      </c>
      <c r="DA19" s="770">
        <f ca="1">CX19+COUNTIFS($CY$6:$CY$53,CY19,$CZ$6:CZ$53,"&gt;"&amp;CZ19,$BC$6:$BC$53,INDEX(T_Equipos[Grupo],MATCH(BD19,T_Equipos[NombreEquipo],0)))</f>
        <v>3</v>
      </c>
      <c r="DB19" s="769" t="str">
        <f ca="1">IF(COUNTIFS($DA$6:$DA$53,DA19,$BC$6:$BC$53,INDEX(T_Equipos[Grupo],MATCH(BD19,T_Equipos[NombreEquipo],0)))=1,"-","P."&amp;DA19&amp;" ("&amp;COUNTIFS($DA$6:$DA$53,DA19,$BC$6:$BC$53,INDEX(T_Equipos[Grupo],MATCH(BD19,T_Equipos[NombreEquipo],0)))&amp;")")</f>
        <v>-</v>
      </c>
      <c r="DC19" s="768" t="str">
        <f ca="1">IF(DB19="-","-",COUNTIFS(T_Equipos[Rank],"&lt;"&amp;INDEX(T_Equipos[Rank],MATCH(BD19,T_Equipos[NombreEquipo],0)),$BC$6:$BC$53,INDEX(T_Equipos[Grupo],MATCH(BD19,T_Equipos[NombreEquipo],0)))+1)</f>
        <v>-</v>
      </c>
      <c r="DD19" s="768">
        <f ca="1">DA19+COUNTIFS($DB$6:$DB$53,DB19,$DC$6:DC$53,"&lt;"&amp;DC19,$BC$6:$BC$53,INDEX(T_Equipos[Grupo],MATCH(BD19,T_Equipos[NombreEquipo],0)))</f>
        <v>3</v>
      </c>
      <c r="DE19" s="768"/>
      <c r="DF19" s="768">
        <f t="shared" ca="1" si="52"/>
        <v>3</v>
      </c>
      <c r="DG19" s="768" t="str">
        <f ca="1">IF(DB19="-","-",COUNTIFS(DF$6:DF$53,"&lt;"&amp;DF19,$BC$6:$BC$53,INDEX(T_Equipos[Grupo],MATCH(BD19,T_Equipos[NombreEquipo],0))))</f>
        <v>-</v>
      </c>
      <c r="DH19" s="768">
        <f ca="1">DA19+COUNTIFS(DB$6:DB$53,DB19,DG$6:DG$53,"&lt;"&amp;DG19,$BC$6:$BC$53,INDEX(T_Equipos[Grupo],MATCH(BD19,T_Equipos[NombreEquipo],0)))</f>
        <v>3</v>
      </c>
      <c r="DI19" s="756"/>
      <c r="DJ19" s="756">
        <f t="shared" ca="1" si="53"/>
        <v>2</v>
      </c>
      <c r="DK19" s="756">
        <f t="shared" ca="1" si="24"/>
        <v>12</v>
      </c>
      <c r="DL19" s="756">
        <f t="shared" ca="1" si="33"/>
        <v>1</v>
      </c>
      <c r="DM19" s="750" t="str">
        <f t="shared" ca="1" si="34"/>
        <v>2.1</v>
      </c>
      <c r="DN19" s="756" cm="1">
        <f t="array" aca="1" ref="DN19" ca="1">OFFSET(Horarios!$P$3,DJ19-1,0,DL19,1)</f>
        <v>2</v>
      </c>
      <c r="DO19" s="756"/>
      <c r="DP19" s="756" t="s">
        <v>659</v>
      </c>
      <c r="DQ19" s="756" t="str">
        <f t="shared" ca="1" si="35"/>
        <v>Estados Unidos</v>
      </c>
      <c r="DR19" s="756"/>
      <c r="DS19" s="756"/>
      <c r="DT19" s="756" t="str">
        <f t="shared" si="15"/>
        <v>Casa-Fuera</v>
      </c>
      <c r="DU19" s="756"/>
      <c r="DV19" s="756"/>
      <c r="DW19" s="8"/>
    </row>
    <row r="20" spans="1:127" ht="15" customHeight="1" thickBot="1">
      <c r="A20" s="753" t="s">
        <v>30</v>
      </c>
      <c r="B20" s="754" t="s">
        <v>2</v>
      </c>
      <c r="C20" s="755">
        <f>COUNTIF(Equipos!$C$2:$C$49,WORLDCUP!B20)</f>
        <v>4</v>
      </c>
      <c r="D20" s="756" t="str">
        <f t="shared" ref="D20:D25" si="73">IF(OR(AC20="",AD20=""),"Pendiente",IF(AC20&gt;AD20,"Local",IF(AC20&lt;AD20,"Visitante","Empate")))</f>
        <v>Local</v>
      </c>
      <c r="E20" s="756" t="str">
        <f t="shared" ref="E20:E25" ca="1" si="74">IF(D20="Pendiente","-",INDEX($BT$6:$BT$53,MATCH($AA20,$BD$6:$BD$53,0)))</f>
        <v>-</v>
      </c>
      <c r="F20" s="756" t="str">
        <f t="shared" ref="F20:F25" ca="1" si="75">IF(D20="Pendiente","-",INDEX($BT$6:$BT$53,MATCH($AF20,$BD$6:$BD$53,0)))</f>
        <v>-</v>
      </c>
      <c r="G20" s="756"/>
      <c r="H20" s="756" t="str">
        <f t="shared" ref="H20:H25" ca="1" si="76">IF(D20="Pendiente","-",INDEX($BZ$6:$BZ$53,MATCH($AA20,$BD$6:$BD$53,0)))</f>
        <v>-</v>
      </c>
      <c r="I20" s="756" t="str">
        <f t="shared" ref="I20:I25" ca="1" si="77">IF(D20="Pendiente","-",INDEX($BZ$6:$BZ$53,MATCH($AF20,$BD$6:$BD$53,0)))</f>
        <v>-</v>
      </c>
      <c r="J20" s="756"/>
      <c r="K20" s="756" t="str">
        <f t="shared" ref="K20:K25" ca="1" si="78">IF(D20="Pendiente","-",INDEX($CE$6:$CE$53,MATCH($AA20,$BD$6:$BD$53,0)))</f>
        <v>-</v>
      </c>
      <c r="L20" s="756" t="str">
        <f t="shared" ref="L20:L25" ca="1" si="79">IF(D20="Pendiente","-",INDEX($CE$6:$CE$53,MATCH($AF20,$BD$6:$BD$53,0)))</f>
        <v>-</v>
      </c>
      <c r="M20" s="756"/>
      <c r="N20" s="756" t="str">
        <f t="shared" ref="N20:N25" ca="1" si="80">IF(D20="Pendiente","-",INDEX($CH$6:$CH$53,MATCH($AA20,$BD$6:$BD$53,0)))</f>
        <v>-</v>
      </c>
      <c r="O20" s="756" t="str">
        <f t="shared" ref="O20:O25" ca="1" si="81">IF(D20="Pendiente","-",INDEX($CH$6:$CH$53,MATCH($AF20,$BD$6:$BD$53,0)))</f>
        <v>-</v>
      </c>
      <c r="P20" s="756"/>
      <c r="Q20" s="756" t="str">
        <f t="shared" ref="Q20:Q25" ca="1" si="82">IF(D20="Pendiente","-",INDEX($CN$6:$CN$53,MATCH($AA20,$BD$6:$BD$53,0)))</f>
        <v>-</v>
      </c>
      <c r="R20" s="756" t="str">
        <f t="shared" ref="R20:R25" ca="1" si="83">IF(D20="Pendiente","-",INDEX($CN$6:$CN$53,MATCH($AF20,$BD$6:$BD$53,0)))</f>
        <v>-</v>
      </c>
      <c r="S20" s="756"/>
      <c r="T20" s="756" t="str">
        <f t="shared" ref="T20:T25" ca="1" si="84">IF(D20="Pendiente","-",INDEX($CS$6:$CS$53,MATCH($AA20,$BD$6:$BD$53,0)))</f>
        <v>-</v>
      </c>
      <c r="U20" s="756" t="str">
        <f t="shared" ref="U20:U25" ca="1" si="85">IF(D20="Pendiente","-",INDEX($CS$6:$CS$53,MATCH($AF20,$BD$6:$BD$53,0)))</f>
        <v>-</v>
      </c>
      <c r="V20" s="178"/>
      <c r="W20" s="841" t="s">
        <v>2</v>
      </c>
      <c r="X20" s="195">
        <f ca="1">Horarios!C20</f>
        <v>46186.666666666664</v>
      </c>
      <c r="Y20" s="196">
        <f ca="1">Horarios!C20</f>
        <v>46186.666666666664</v>
      </c>
      <c r="Z20" s="197" t="str">
        <f>$Z$4</f>
        <v>J1</v>
      </c>
      <c r="AA20" s="198" t="str">
        <f ca="1">A21</f>
        <v>Brasil</v>
      </c>
      <c r="AB20" s="486" t="str" cm="1">
        <f t="array" aca="1" ref="AB20" ca="1">Ver_flag_local</f>
        <v/>
      </c>
      <c r="AC20" s="199">
        <v>2</v>
      </c>
      <c r="AD20" s="200">
        <v>1</v>
      </c>
      <c r="AE20" s="491" t="str" cm="1">
        <f t="array" aca="1" ref="AE20" ca="1">Ver_flag_visit</f>
        <v/>
      </c>
      <c r="AF20" s="201" t="str">
        <f ca="1">A22</f>
        <v>Marruecos</v>
      </c>
      <c r="AG20" s="421">
        <f t="shared" ref="AG20:AG25" si="86">IF(NOT(OR(ISBLANK(AC20),ISBLANK(AD20))),1,0)</f>
        <v>1</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3</v>
      </c>
      <c r="BG20" s="760">
        <f t="shared" ca="1" si="17"/>
        <v>0</v>
      </c>
      <c r="BH20" s="760">
        <f t="shared" ca="1" si="18"/>
        <v>0</v>
      </c>
      <c r="BI20" s="760">
        <f t="shared" ca="1" si="19"/>
        <v>3</v>
      </c>
      <c r="BJ20" s="760">
        <f t="shared" ca="1" si="20"/>
        <v>3</v>
      </c>
      <c r="BK20" s="760">
        <f t="shared" ca="1" si="21"/>
        <v>6</v>
      </c>
      <c r="BL20" s="760">
        <f t="shared" ca="1" si="27"/>
        <v>-3</v>
      </c>
      <c r="BM20" s="760" t="str">
        <f t="shared" ca="1" si="22"/>
        <v>4D</v>
      </c>
      <c r="BN20" s="760" t="str">
        <f t="shared" ca="1" si="23"/>
        <v>4D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4</v>
      </c>
      <c r="BT20" s="769" t="str">
        <f ca="1">IF(COUNTIFS($BS$6:$BS$53,BS20,$BC$6:$BC$53,INDEX(T_Equipos[Grupo],MATCH(BD20,T_Equipos[NombreEquipo],0)))=1,"-","P."&amp;BS20&amp;" ("&amp;COUNTIFS($BS$6:$BS$53,BS20,$BC$6:$BC$53,INDEX(T_Equipos[Grupo],MATCH(BD20,T_Equipos[NombreEquipo],0)))&amp;")")</f>
        <v>-</v>
      </c>
      <c r="BU20" s="770" t="str">
        <f t="shared" ca="1" si="36"/>
        <v>-</v>
      </c>
      <c r="BV20" s="770" t="str">
        <f t="shared" ca="1" si="37"/>
        <v>-</v>
      </c>
      <c r="BW20" s="770" t="str">
        <f t="shared" ca="1" si="38"/>
        <v>-</v>
      </c>
      <c r="BX20" s="770" t="str">
        <f t="shared" ca="1" si="39"/>
        <v>-</v>
      </c>
      <c r="BY20" s="770">
        <f ca="1">BS20+COUNTIFS($BT$6:$BT$53,BT20,$BX$6:BX$53,"&gt;"&amp;BX20,$BC$6:$BC$53,INDEX(T_Equipos[Grupo],MATCH(BD20,T_Equipos[NombreEquipo],0)))</f>
        <v>4</v>
      </c>
      <c r="BZ20" s="769" t="str">
        <f ca="1">IF(COUNTIFS($BY$6:$BY$53,BY20,$BC$6:$BC$53,INDEX(T_Equipos[Grupo],MATCH(BD20,T_Equipos[NombreEquipo],0)))=1,"-","P."&amp;BY20&amp;" ("&amp;COUNTIFS($BY$6:$BY$53,BY20,$BC$6:$BC$53,INDEX(T_Equipos[Grupo],MATCH(BD20,T_Equipos[NombreEquipo],0)))&amp;")")</f>
        <v>-</v>
      </c>
      <c r="CA20" s="770" t="str">
        <f t="shared" ca="1" si="40"/>
        <v>-</v>
      </c>
      <c r="CB20" s="770" t="str">
        <f t="shared" ca="1" si="41"/>
        <v>-</v>
      </c>
      <c r="CC20" s="770" t="str">
        <f t="shared" ca="1" si="42"/>
        <v>-</v>
      </c>
      <c r="CD20" s="770">
        <f ca="1">BY20+COUNTIFS($BZ$6:$BZ$53,BZ20,$CC$6:CC$53,"&gt;"&amp;CC20,$BC$6:$BC$53,INDEX(T_Equipos[Grupo],MATCH(BD20,T_Equipos[NombreEquipo],0)))</f>
        <v>4</v>
      </c>
      <c r="CE20" s="769" t="str">
        <f ca="1">IF(COUNTIFS($CD$6:$CD$53,CD20,$BC$6:$BC$53,INDEX(T_Equipos[Grupo],MATCH(BD20,T_Equipos[NombreEquipo],0)))=1,"-","P."&amp;CD20&amp;" ("&amp;COUNTIFS($CD$6:$CD$53,CD20,$BC$6:$BC$53,INDEX(T_Equipos[Grupo],MATCH(BD20,T_Equipos[NombreEquipo],0)))&amp;")")</f>
        <v>-</v>
      </c>
      <c r="CF20" s="770" t="str">
        <f t="shared" ca="1" si="43"/>
        <v>-</v>
      </c>
      <c r="CG20" s="770">
        <f ca="1">CD20+COUNTIFS($CE$6:$CE$53,CE20,$CF$6:CF$53,"&gt;"&amp;CF20,$BC$6:$BC$53,INDEX(T_Equipos[Grupo],MATCH(BD20,T_Equipos[NombreEquipo],0)))</f>
        <v>4</v>
      </c>
      <c r="CH20" s="769" t="str">
        <f ca="1">IF(COUNTIFS($CG$6:$CG$53,CG20,$BC$6:$BC$53,INDEX(T_Equipos[Grupo],MATCH(BD20,T_Equipos[NombreEquipo],0)))=1,"-","P."&amp;CG20&amp;" ("&amp;COUNTIFS($CG$6:$CG$53,CG20,$BC$6:$BC$53,INDEX(T_Equipos[Grupo],MATCH(BD20,T_Equipos[NombreEquipo],0)))&amp;")")</f>
        <v>-</v>
      </c>
      <c r="CI20" s="770" t="str">
        <f t="shared" ca="1" si="44"/>
        <v>-</v>
      </c>
      <c r="CJ20" s="770" t="str">
        <f t="shared" ca="1" si="45"/>
        <v>-</v>
      </c>
      <c r="CK20" s="770" t="str">
        <f t="shared" ca="1" si="46"/>
        <v>-</v>
      </c>
      <c r="CL20" s="770" t="str">
        <f t="shared" ca="1" si="47"/>
        <v>-</v>
      </c>
      <c r="CM20" s="770">
        <f ca="1">CG20+COUNTIFS($CH$6:$CH$53,CH20,$CL$6:CL$53,"&gt;"&amp;CL20,$BC$6:$BC$53,INDEX(T_Equipos[Grupo],MATCH(BD20,T_Equipos[NombreEquipo],0)))</f>
        <v>4</v>
      </c>
      <c r="CN20" s="769" t="str">
        <f ca="1">IF(COUNTIFS($CM$6:$CM$53,CM20,$BC$6:$BC$53,INDEX(T_Equipos[Grupo],MATCH(BD20,T_Equipos[NombreEquipo],0)))=1,"-","P."&amp;CM20&amp;" ("&amp;COUNTIFS($CM$6:$CM$53,CM20,$BC$6:$BC$53,INDEX(T_Equipos[Grupo],MATCH(BD20,T_Equipos[NombreEquipo],0)))&amp;")")</f>
        <v>-</v>
      </c>
      <c r="CO20" s="770" t="str">
        <f t="shared" ca="1" si="48"/>
        <v>-</v>
      </c>
      <c r="CP20" s="770" t="str">
        <f t="shared" ca="1" si="49"/>
        <v>-</v>
      </c>
      <c r="CQ20" s="770" t="str">
        <f t="shared" ca="1" si="50"/>
        <v>-</v>
      </c>
      <c r="CR20" s="770">
        <f ca="1">CM20+COUNTIFS($CN$6:$CN$53,CN20,$CQ$6:CQ$53,"&gt;"&amp;CQ20,$BC$6:$BC$53,INDEX(T_Equipos[Grupo],MATCH(BD20,T_Equipos[NombreEquipo],0)))</f>
        <v>4</v>
      </c>
      <c r="CS20" s="769" t="str">
        <f ca="1">IF(COUNTIFS($CR$6:$CR$53,CR20,$BC$6:$BC$53,INDEX(T_Equipos[Grupo],MATCH(BD20,T_Equipos[NombreEquipo],0)))=1,"-","P."&amp;CR20&amp;" ("&amp;COUNTIFS($CR$6:$CR$53,CR20,$BC$6:$BC$53,INDEX(T_Equipos[Grupo],MATCH(BD20,T_Equipos[NombreEquipo],0)))&amp;")")</f>
        <v>-</v>
      </c>
      <c r="CT20" s="770" t="str">
        <f t="shared" ca="1" si="51"/>
        <v>-</v>
      </c>
      <c r="CU20" s="770">
        <f ca="1">CR20+COUNTIFS($CS$6:$CS$53,CS20,$CT$6:CT$53,"&gt;"&amp;CT20,$BC$6:$BC$53,INDEX(T_Equipos[Grupo],MATCH(BD20,T_Equipos[NombreEquipo],0)))</f>
        <v>4</v>
      </c>
      <c r="CV20" s="769" t="str">
        <f ca="1">IF(COUNTIFS($CU$6:$CU$53,CU20,$BC$6:$BC$53,INDEX(T_Equipos[Grupo],MATCH(BD20,T_Equipos[NombreEquipo],0)))=1,"-","P."&amp;CU20&amp;" ("&amp;COUNTIFS($CU$6:$CU$53,CU20,$BC$6:$BC$53,INDEX(T_Equipos[Grupo],MATCH(BD20,T_Equipos[NombreEquipo],0)))&amp;")")</f>
        <v>-</v>
      </c>
      <c r="CW20" s="769" t="str">
        <f t="shared" ca="1" si="30"/>
        <v>-</v>
      </c>
      <c r="CX20" s="769">
        <f ca="1">CU20+COUNTIFS($CV$6:$CV$53,CV20,$CW$6:CW$53,"&gt;"&amp;CW20,$BC$6:$BC$53,INDEX(T_Equipos[Grupo],MATCH(BD20,T_Equipos[NombreEquipo],0)))</f>
        <v>4</v>
      </c>
      <c r="CY20" s="769" t="str">
        <f ca="1">IF(COUNTIFS($CX$6:$CX$53,CX20,$BC$6:$BC$53,INDEX(T_Equipos[Grupo],MATCH(BD20,T_Equipos[NombreEquipo],0)))=1,"-","P."&amp;CX20&amp;" ("&amp;COUNTIFS($CX$6:$CX$53,CX20,$BC$6:$BC$53,INDEX(T_Equipos[Grupo],MATCH(BD20,T_Equipos[NombreEquipo],0)))&amp;")")</f>
        <v>-</v>
      </c>
      <c r="CZ20" s="769" t="str">
        <f t="shared" ca="1" si="31"/>
        <v>-</v>
      </c>
      <c r="DA20" s="770">
        <f ca="1">CX20+COUNTIFS($CY$6:$CY$53,CY20,$CZ$6:CZ$53,"&gt;"&amp;CZ20,$BC$6:$BC$53,INDEX(T_Equipos[Grupo],MATCH(BD20,T_Equipos[NombreEquipo],0)))</f>
        <v>4</v>
      </c>
      <c r="DB20" s="769" t="str">
        <f ca="1">IF(COUNTIFS($DA$6:$DA$53,DA20,$BC$6:$BC$53,INDEX(T_Equipos[Grupo],MATCH(BD20,T_Equipos[NombreEquipo],0)))=1,"-","P."&amp;DA20&amp;" ("&amp;COUNTIFS($DA$6:$DA$53,DA20,$BC$6:$BC$53,INDEX(T_Equipos[Grupo],MATCH(BD20,T_Equipos[NombreEquipo],0)))&amp;")")</f>
        <v>-</v>
      </c>
      <c r="DC20" s="768" t="str">
        <f ca="1">IF(DB20="-","-",COUNTIFS(T_Equipos[Rank],"&lt;"&amp;INDEX(T_Equipos[Rank],MATCH(BD20,T_Equipos[NombreEquipo],0)),$BC$6:$BC$53,INDEX(T_Equipos[Grupo],MATCH(BD20,T_Equipos[NombreEquipo],0)))+1)</f>
        <v>-</v>
      </c>
      <c r="DD20" s="768">
        <f ca="1">DA20+COUNTIFS($DB$6:$DB$53,DB20,$DC$6:DC$53,"&lt;"&amp;DC20,$BC$6:$BC$53,INDEX(T_Equipos[Grupo],MATCH(BD20,T_Equipos[NombreEquipo],0)))</f>
        <v>4</v>
      </c>
      <c r="DE20" s="768"/>
      <c r="DF20" s="768">
        <f t="shared" ca="1" si="52"/>
        <v>4</v>
      </c>
      <c r="DG20" s="768" t="str">
        <f ca="1">IF(DB20="-","-",COUNTIFS(DF$6:DF$53,"&lt;"&amp;DF20,$BC$6:$BC$53,INDEX(T_Equipos[Grupo],MATCH(BD20,T_Equipos[NombreEquipo],0))))</f>
        <v>-</v>
      </c>
      <c r="DH20" s="768">
        <f ca="1">DA20+COUNTIFS(DB$6:DB$53,DB20,DG$6:DG$53,"&lt;"&amp;DG20,$BC$6:$BC$53,INDEX(T_Equipos[Grupo],MATCH(BD20,T_Equipos[NombreEquipo],0)))</f>
        <v>4</v>
      </c>
      <c r="DI20" s="756"/>
      <c r="DJ20" s="756">
        <f t="shared" ca="1" si="53"/>
        <v>3</v>
      </c>
      <c r="DK20" s="756">
        <f t="shared" ca="1" si="24"/>
        <v>12</v>
      </c>
      <c r="DL20" s="756">
        <f t="shared" ca="1" si="33"/>
        <v>1</v>
      </c>
      <c r="DM20" s="750" t="str">
        <f t="shared" ca="1" si="34"/>
        <v>3.1</v>
      </c>
      <c r="DN20" s="756" cm="1">
        <f t="array" aca="1" ref="DN20" ca="1">OFFSET(Horarios!$P$3,DJ20-1,0,DL20,1)</f>
        <v>3</v>
      </c>
      <c r="DO20" s="756"/>
      <c r="DP20" s="756" t="s">
        <v>92</v>
      </c>
      <c r="DQ20" s="756" t="str">
        <f t="shared" ca="1" si="35"/>
        <v>Paraguay</v>
      </c>
      <c r="DR20" s="756"/>
      <c r="DS20" s="756"/>
      <c r="DT20" s="756" t="str">
        <f t="shared" ca="1" si="15"/>
        <v>Brasil-Marruecos</v>
      </c>
      <c r="DU20" s="756"/>
      <c r="DV20" s="756"/>
      <c r="DW20" s="8"/>
    </row>
    <row r="21" spans="1:127" ht="16" customHeight="1">
      <c r="A21" s="757" t="str">
        <f ca="1">+Equipos!B10</f>
        <v>Brasil</v>
      </c>
      <c r="B21" s="754"/>
      <c r="C21" s="754"/>
      <c r="D21" s="756" t="str">
        <f t="shared" si="73"/>
        <v>Visitante</v>
      </c>
      <c r="E21" s="756" t="str">
        <f t="shared" ca="1" si="74"/>
        <v>-</v>
      </c>
      <c r="F21" s="756" t="str">
        <f t="shared" ca="1" si="75"/>
        <v>-</v>
      </c>
      <c r="G21" s="756"/>
      <c r="H21" s="756" t="str">
        <f t="shared" ca="1" si="76"/>
        <v>-</v>
      </c>
      <c r="I21" s="756" t="str">
        <f t="shared" ca="1" si="77"/>
        <v>-</v>
      </c>
      <c r="J21" s="756"/>
      <c r="K21" s="756" t="str">
        <f t="shared" ca="1" si="78"/>
        <v>-</v>
      </c>
      <c r="L21" s="756" t="str">
        <f t="shared" ca="1" si="79"/>
        <v>-</v>
      </c>
      <c r="M21" s="756"/>
      <c r="N21" s="756" t="str">
        <f t="shared" ca="1" si="80"/>
        <v>-</v>
      </c>
      <c r="O21" s="756" t="str">
        <f t="shared" ca="1" si="81"/>
        <v>-</v>
      </c>
      <c r="P21" s="756"/>
      <c r="Q21" s="756" t="str">
        <f t="shared" ca="1" si="82"/>
        <v>-</v>
      </c>
      <c r="R21" s="756" t="str">
        <f t="shared" ca="1" si="83"/>
        <v>-</v>
      </c>
      <c r="S21" s="756"/>
      <c r="T21" s="756" t="str">
        <f t="shared" ca="1" si="84"/>
        <v>-</v>
      </c>
      <c r="U21" s="756" t="str">
        <f t="shared" ca="1" si="85"/>
        <v>-</v>
      </c>
      <c r="V21" s="178"/>
      <c r="W21" s="841"/>
      <c r="X21" s="195">
        <f ca="1">Horarios!C21</f>
        <v>46186.791666666664</v>
      </c>
      <c r="Y21" s="196">
        <f ca="1">Horarios!C21</f>
        <v>46186.791666666664</v>
      </c>
      <c r="Z21" s="197" t="str">
        <f>$Z$4</f>
        <v>J1</v>
      </c>
      <c r="AA21" s="198" t="str">
        <f ca="1">A23</f>
        <v>Haití</v>
      </c>
      <c r="AB21" s="486" t="str" cm="1">
        <f t="array" aca="1" ref="AB21" ca="1">Ver_flag_local</f>
        <v/>
      </c>
      <c r="AC21" s="199">
        <v>0</v>
      </c>
      <c r="AD21" s="200">
        <v>1</v>
      </c>
      <c r="AE21" s="491" t="str" cm="1">
        <f t="array" aca="1" ref="AE21" ca="1">Ver_flag_visit</f>
        <v/>
      </c>
      <c r="AF21" s="201" t="str">
        <f ca="1">A24</f>
        <v>Escocia</v>
      </c>
      <c r="AG21" s="421">
        <f t="shared" si="86"/>
        <v>1</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7</v>
      </c>
      <c r="BF21" s="760">
        <f t="shared" ca="1" si="26"/>
        <v>3</v>
      </c>
      <c r="BG21" s="760">
        <f t="shared" ca="1" si="17"/>
        <v>2</v>
      </c>
      <c r="BH21" s="760">
        <f t="shared" ca="1" si="18"/>
        <v>1</v>
      </c>
      <c r="BI21" s="760">
        <f t="shared" ca="1" si="19"/>
        <v>0</v>
      </c>
      <c r="BJ21" s="760">
        <f t="shared" ca="1" si="20"/>
        <v>7</v>
      </c>
      <c r="BK21" s="760">
        <f t="shared" ca="1" si="21"/>
        <v>4</v>
      </c>
      <c r="BL21" s="760">
        <f t="shared" ca="1" si="27"/>
        <v>3</v>
      </c>
      <c r="BM21" s="760" t="str">
        <f t="shared" ca="1" si="22"/>
        <v>1D</v>
      </c>
      <c r="BN21" s="760" t="str">
        <f t="shared" ca="1" si="23"/>
        <v>1D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7</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v>
      </c>
      <c r="BU21" s="770" t="str">
        <f t="shared" ca="1" si="36"/>
        <v>-</v>
      </c>
      <c r="BV21" s="770" t="str">
        <f t="shared" ca="1" si="37"/>
        <v>-</v>
      </c>
      <c r="BW21" s="770" t="str">
        <f t="shared" ca="1" si="38"/>
        <v>-</v>
      </c>
      <c r="BX21" s="770" t="str">
        <f t="shared" ca="1" si="39"/>
        <v>-</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v>
      </c>
      <c r="CA21" s="770" t="str">
        <f t="shared" ca="1" si="40"/>
        <v>-</v>
      </c>
      <c r="CB21" s="770" t="str">
        <f t="shared" ca="1" si="41"/>
        <v>-</v>
      </c>
      <c r="CC21" s="770" t="str">
        <f t="shared" ca="1" si="42"/>
        <v>-</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v>
      </c>
      <c r="CF21" s="770" t="str">
        <f t="shared" ca="1" si="43"/>
        <v>-</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v>
      </c>
      <c r="CI21" s="770" t="str">
        <f t="shared" ca="1" si="44"/>
        <v>-</v>
      </c>
      <c r="CJ21" s="770" t="str">
        <f t="shared" ca="1" si="45"/>
        <v>-</v>
      </c>
      <c r="CK21" s="770" t="str">
        <f t="shared" ca="1" si="46"/>
        <v>-</v>
      </c>
      <c r="CL21" s="770" t="str">
        <f t="shared" ca="1" si="47"/>
        <v>-</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v>
      </c>
      <c r="CO21" s="770" t="str">
        <f t="shared" ca="1" si="48"/>
        <v>-</v>
      </c>
      <c r="CP21" s="770" t="str">
        <f t="shared" ca="1" si="49"/>
        <v>-</v>
      </c>
      <c r="CQ21" s="770" t="str">
        <f t="shared" ca="1" si="50"/>
        <v>-</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v>
      </c>
      <c r="CT21" s="770" t="str">
        <f t="shared" ca="1" si="51"/>
        <v>-</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v>
      </c>
      <c r="CW21" s="769" t="str">
        <f t="shared" ca="1" si="30"/>
        <v>-</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v>
      </c>
      <c r="CZ21" s="769" t="str">
        <f t="shared" ca="1" si="31"/>
        <v>-</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v>
      </c>
      <c r="DC21" s="768" t="str">
        <f ca="1">IF(DB21="-","-",COUNTIFS(T_Equipos[Rank],"&lt;"&amp;INDEX(T_Equipos[Rank],MATCH(BD21,T_Equipos[NombreEquipo],0)),$BC$6:$BC$53,INDEX(T_Equipos[Grupo],MATCH(BD21,T_Equipos[NombreEquipo],0)))+1)</f>
        <v>-</v>
      </c>
      <c r="DD21" s="768">
        <f ca="1">DA21+COUNTIFS($DB$6:$DB$53,DB21,$DC$6:DC$53,"&lt;"&amp;DC21,$BC$6:$BC$53,INDEX(T_Equipos[Grupo],MATCH(BD21,T_Equipos[NombreEquipo],0)))</f>
        <v>1</v>
      </c>
      <c r="DE21" s="768"/>
      <c r="DF21" s="768">
        <f t="shared" ca="1" si="52"/>
        <v>1</v>
      </c>
      <c r="DG21" s="768" t="str">
        <f ca="1">IF(DB21="-","-",COUNTIFS(DF$6:DF$53,"&lt;"&amp;DF21,$BC$6:$BC$53,INDEX(T_Equipos[Grupo],MATCH(BD21,T_Equipos[NombreEquipo],0))))</f>
        <v>-</v>
      </c>
      <c r="DH21" s="768">
        <f ca="1">DA21+COUNTIFS(DB$6:DB$53,DB21,DG$6:DG$53,"&lt;"&amp;DG21,$BC$6:$BC$53,INDEX(T_Equipos[Grupo],MATCH(BD21,T_Equipos[NombreEquipo],0)))</f>
        <v>1</v>
      </c>
      <c r="DI21" s="756"/>
      <c r="DJ21" s="756">
        <f t="shared" ca="1" si="53"/>
        <v>4</v>
      </c>
      <c r="DK21" s="756">
        <f t="shared" ca="1" si="24"/>
        <v>12</v>
      </c>
      <c r="DL21" s="756">
        <f t="shared" ca="1" si="33"/>
        <v>1</v>
      </c>
      <c r="DM21" s="750" t="str">
        <f t="shared" ca="1" si="34"/>
        <v>4.1</v>
      </c>
      <c r="DN21" s="756" cm="1">
        <f t="array" aca="1" ref="DN21" ca="1">OFFSET(Horarios!$P$3,DJ21-1,0,DL21,1)</f>
        <v>4</v>
      </c>
      <c r="DO21" s="756"/>
      <c r="DP21" s="756" t="s">
        <v>660</v>
      </c>
      <c r="DQ21" s="756" t="str">
        <f t="shared" ca="1" si="35"/>
        <v>Australia</v>
      </c>
      <c r="DR21" s="756"/>
      <c r="DS21" s="756"/>
      <c r="DT21" s="756" t="str">
        <f t="shared" ca="1" si="15"/>
        <v>Haití-Escocia</v>
      </c>
      <c r="DU21" s="756"/>
      <c r="DV21" s="756"/>
      <c r="DW21" s="8"/>
    </row>
    <row r="22" spans="1:127" ht="16" customHeight="1">
      <c r="A22" s="757" t="str">
        <f ca="1">+Equipos!B11</f>
        <v>Marruecos</v>
      </c>
      <c r="B22" s="754"/>
      <c r="C22" s="758"/>
      <c r="D22" s="756" t="str">
        <f t="shared" si="73"/>
        <v>Local</v>
      </c>
      <c r="E22" s="756" t="str">
        <f t="shared" ca="1" si="74"/>
        <v>-</v>
      </c>
      <c r="F22" s="756" t="str">
        <f t="shared" ca="1" si="75"/>
        <v>-</v>
      </c>
      <c r="G22" s="756"/>
      <c r="H22" s="756" t="str">
        <f t="shared" ca="1" si="76"/>
        <v>-</v>
      </c>
      <c r="I22" s="756" t="str">
        <f t="shared" ca="1" si="77"/>
        <v>-</v>
      </c>
      <c r="J22" s="756"/>
      <c r="K22" s="756" t="str">
        <f t="shared" ca="1" si="78"/>
        <v>-</v>
      </c>
      <c r="L22" s="756" t="str">
        <f t="shared" ca="1" si="79"/>
        <v>-</v>
      </c>
      <c r="M22" s="756"/>
      <c r="N22" s="756" t="str">
        <f t="shared" ca="1" si="80"/>
        <v>-</v>
      </c>
      <c r="O22" s="756" t="str">
        <f t="shared" ca="1" si="81"/>
        <v>-</v>
      </c>
      <c r="P22" s="756"/>
      <c r="Q22" s="756" t="str">
        <f t="shared" ca="1" si="82"/>
        <v>-</v>
      </c>
      <c r="R22" s="756" t="str">
        <f t="shared" ca="1" si="83"/>
        <v>-</v>
      </c>
      <c r="S22" s="756"/>
      <c r="T22" s="756" t="str">
        <f t="shared" ca="1" si="84"/>
        <v>-</v>
      </c>
      <c r="U22" s="756" t="str">
        <f t="shared" ca="1" si="85"/>
        <v>-</v>
      </c>
      <c r="V22" s="178"/>
      <c r="W22" s="841"/>
      <c r="X22" s="195">
        <f ca="1">Horarios!C22</f>
        <v>46192.666666666664</v>
      </c>
      <c r="Y22" s="196">
        <f ca="1">Horarios!C22</f>
        <v>46192.666666666664</v>
      </c>
      <c r="Z22" s="197" t="str">
        <f>$Z$6</f>
        <v>J2</v>
      </c>
      <c r="AA22" s="198" t="str">
        <f ca="1">A24</f>
        <v>Escocia</v>
      </c>
      <c r="AB22" s="486" t="str" cm="1">
        <f t="array" aca="1" ref="AB22" ca="1">Ver_flag_local</f>
        <v/>
      </c>
      <c r="AC22" s="199">
        <v>2</v>
      </c>
      <c r="AD22" s="200">
        <v>1</v>
      </c>
      <c r="AE22" s="491" t="str" cm="1">
        <f t="array" aca="1" ref="AE22" ca="1">Ver_flag_visit</f>
        <v/>
      </c>
      <c r="AF22" s="201" t="str">
        <f ca="1">A22</f>
        <v>Marruecos</v>
      </c>
      <c r="AG22" s="421">
        <f t="shared" si="86"/>
        <v>1</v>
      </c>
      <c r="AH22" s="202">
        <v>30</v>
      </c>
      <c r="AI22" s="19" t="str">
        <f>AJ22&amp;$B$20</f>
        <v>1C</v>
      </c>
      <c r="AJ22" s="217">
        <v>1</v>
      </c>
      <c r="AK22" s="496" t="str" cm="1">
        <f t="array" aca="1" ref="AK22" ca="1">Ver_flag_visit</f>
        <v/>
      </c>
      <c r="AL22" s="218" t="str">
        <f ca="1">IFERROR(INDEX($BD$6:$BD$53,MATCH(AI22,$BN$6:$BN$53,0)),"")</f>
        <v>Brasil</v>
      </c>
      <c r="AM22" s="219">
        <f t="shared" ref="AM22:AT25" ca="1" si="90">INDEX($BE$6:$BN$53,MATCH($AL22,$BD$6:$BD$53,0),MATCH(AM$5,$BE$5:$BN$5,0))</f>
        <v>9</v>
      </c>
      <c r="AN22" s="220">
        <f t="shared" ca="1" si="90"/>
        <v>3</v>
      </c>
      <c r="AO22" s="220">
        <f t="shared" ca="1" si="90"/>
        <v>3</v>
      </c>
      <c r="AP22" s="220">
        <f t="shared" ca="1" si="90"/>
        <v>0</v>
      </c>
      <c r="AQ22" s="220">
        <f t="shared" ca="1" si="90"/>
        <v>0</v>
      </c>
      <c r="AR22" s="220">
        <f t="shared" ca="1" si="90"/>
        <v>9</v>
      </c>
      <c r="AS22" s="220">
        <f t="shared" ca="1" si="90"/>
        <v>2</v>
      </c>
      <c r="AT22" s="221">
        <f t="shared" ca="1" si="90"/>
        <v>7</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7</v>
      </c>
      <c r="BF22" s="760">
        <f t="shared" ca="1" si="26"/>
        <v>3</v>
      </c>
      <c r="BG22" s="760">
        <f t="shared" ca="1" si="17"/>
        <v>2</v>
      </c>
      <c r="BH22" s="760">
        <f t="shared" ca="1" si="18"/>
        <v>1</v>
      </c>
      <c r="BI22" s="760">
        <f t="shared" ca="1" si="19"/>
        <v>0</v>
      </c>
      <c r="BJ22" s="760">
        <f t="shared" ca="1" si="20"/>
        <v>8</v>
      </c>
      <c r="BK22" s="760">
        <f t="shared" ca="1" si="21"/>
        <v>4</v>
      </c>
      <c r="BL22" s="760">
        <f t="shared" ca="1" si="27"/>
        <v>4</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7</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v>
      </c>
      <c r="BU22" s="770" t="str">
        <f t="shared" ca="1" si="36"/>
        <v>-</v>
      </c>
      <c r="BV22" s="770" t="str">
        <f t="shared" ca="1" si="37"/>
        <v>-</v>
      </c>
      <c r="BW22" s="770" t="str">
        <f t="shared" ca="1" si="38"/>
        <v>-</v>
      </c>
      <c r="BX22" s="770" t="str">
        <f t="shared" ca="1" si="39"/>
        <v>-</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v>
      </c>
      <c r="CA22" s="770" t="str">
        <f t="shared" ca="1" si="40"/>
        <v>-</v>
      </c>
      <c r="CB22" s="770" t="str">
        <f t="shared" ca="1" si="41"/>
        <v>-</v>
      </c>
      <c r="CC22" s="770" t="str">
        <f t="shared" ca="1" si="42"/>
        <v>-</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v>
      </c>
      <c r="CF22" s="770" t="str">
        <f t="shared" ca="1" si="43"/>
        <v>-</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v>
      </c>
      <c r="CI22" s="770" t="str">
        <f t="shared" ca="1" si="44"/>
        <v>-</v>
      </c>
      <c r="CJ22" s="770" t="str">
        <f t="shared" ca="1" si="45"/>
        <v>-</v>
      </c>
      <c r="CK22" s="770" t="str">
        <f t="shared" ca="1" si="46"/>
        <v>-</v>
      </c>
      <c r="CL22" s="770" t="str">
        <f t="shared" ca="1" si="47"/>
        <v>-</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v>
      </c>
      <c r="CO22" s="770" t="str">
        <f t="shared" ca="1" si="48"/>
        <v>-</v>
      </c>
      <c r="CP22" s="770" t="str">
        <f t="shared" ca="1" si="49"/>
        <v>-</v>
      </c>
      <c r="CQ22" s="770" t="str">
        <f t="shared" ca="1" si="50"/>
        <v>-</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v>
      </c>
      <c r="CT22" s="770" t="str">
        <f t="shared" ca="1" si="51"/>
        <v>-</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v>
      </c>
      <c r="CW22" s="769" t="str">
        <f t="shared" ca="1" si="30"/>
        <v>-</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v>
      </c>
      <c r="CZ22" s="769" t="str">
        <f t="shared" ca="1" si="31"/>
        <v>-</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v>
      </c>
      <c r="DC22" s="768" t="str">
        <f ca="1">IF(DB22="-","-",COUNTIFS(T_Equipos[Rank],"&lt;"&amp;INDEX(T_Equipos[Rank],MATCH(BD22,T_Equipos[NombreEquipo],0)),$BC$6:$BC$53,INDEX(T_Equipos[Grupo],MATCH(BD22,T_Equipos[NombreEquipo],0)))+1)</f>
        <v>-</v>
      </c>
      <c r="DD22" s="768">
        <f ca="1">DA22+COUNTIFS($DB$6:$DB$53,DB22,$DC$6:DC$53,"&lt;"&amp;DC22,$BC$6:$BC$53,INDEX(T_Equipos[Grupo],MATCH(BD22,T_Equipos[NombreEquipo],0)))</f>
        <v>1</v>
      </c>
      <c r="DE22" s="768"/>
      <c r="DF22" s="768">
        <f t="shared" ca="1" si="52"/>
        <v>1</v>
      </c>
      <c r="DG22" s="768" t="str">
        <f ca="1">IF(DB22="-","-",COUNTIFS(DF$6:DF$53,"&lt;"&amp;DF22,$BC$6:$BC$53,INDEX(T_Equipos[Grupo],MATCH(BD22,T_Equipos[NombreEquipo],0))))</f>
        <v>-</v>
      </c>
      <c r="DH22" s="768">
        <f ca="1">DA22+COUNTIFS(DB$6:DB$53,DB22,DG$6:DG$53,"&lt;"&amp;DG22,$BC$6:$BC$53,INDEX(T_Equipos[Grupo],MATCH(BD22,T_Equipos[NombreEquipo],0)))</f>
        <v>1</v>
      </c>
      <c r="DI22" s="756"/>
      <c r="DJ22" s="756">
        <f t="shared" ca="1" si="53"/>
        <v>1</v>
      </c>
      <c r="DK22" s="756">
        <f t="shared" ca="1" si="24"/>
        <v>12</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c r="A23" s="757" t="str">
        <f ca="1">+Equipos!B12</f>
        <v>Haití</v>
      </c>
      <c r="B23" s="754"/>
      <c r="C23" s="756"/>
      <c r="D23" s="756" t="str">
        <f t="shared" si="73"/>
        <v>Local</v>
      </c>
      <c r="E23" s="756" t="str">
        <f t="shared" ca="1" si="74"/>
        <v>-</v>
      </c>
      <c r="F23" s="756" t="str">
        <f t="shared" ca="1" si="75"/>
        <v>-</v>
      </c>
      <c r="G23" s="756"/>
      <c r="H23" s="756" t="str">
        <f t="shared" ca="1" si="76"/>
        <v>-</v>
      </c>
      <c r="I23" s="756" t="str">
        <f t="shared" ca="1" si="77"/>
        <v>-</v>
      </c>
      <c r="J23" s="756"/>
      <c r="K23" s="756" t="str">
        <f t="shared" ca="1" si="78"/>
        <v>-</v>
      </c>
      <c r="L23" s="756" t="str">
        <f t="shared" ca="1" si="79"/>
        <v>-</v>
      </c>
      <c r="M23" s="756"/>
      <c r="N23" s="756" t="str">
        <f t="shared" ca="1" si="80"/>
        <v>-</v>
      </c>
      <c r="O23" s="756" t="str">
        <f t="shared" ca="1" si="81"/>
        <v>-</v>
      </c>
      <c r="P23" s="756"/>
      <c r="Q23" s="756" t="str">
        <f t="shared" ca="1" si="82"/>
        <v>-</v>
      </c>
      <c r="R23" s="756" t="str">
        <f t="shared" ca="1" si="83"/>
        <v>-</v>
      </c>
      <c r="S23" s="756"/>
      <c r="T23" s="756" t="str">
        <f t="shared" ca="1" si="84"/>
        <v>-</v>
      </c>
      <c r="U23" s="756" t="str">
        <f t="shared" ca="1" si="85"/>
        <v>-</v>
      </c>
      <c r="V23" s="178"/>
      <c r="W23" s="841"/>
      <c r="X23" s="195">
        <f ca="1">Horarios!C23</f>
        <v>46192.770833333328</v>
      </c>
      <c r="Y23" s="196">
        <f ca="1">Horarios!C23</f>
        <v>46192.770833333328</v>
      </c>
      <c r="Z23" s="197" t="str">
        <f>$Z$6</f>
        <v>J2</v>
      </c>
      <c r="AA23" s="198" t="str">
        <f ca="1">A21</f>
        <v>Brasil</v>
      </c>
      <c r="AB23" s="486" t="str" cm="1">
        <f t="array" aca="1" ref="AB23" ca="1">Ver_flag_local</f>
        <v/>
      </c>
      <c r="AC23" s="199">
        <v>5</v>
      </c>
      <c r="AD23" s="200">
        <v>0</v>
      </c>
      <c r="AE23" s="491" t="str" cm="1">
        <f t="array" aca="1" ref="AE23" ca="1">Ver_flag_visit</f>
        <v/>
      </c>
      <c r="AF23" s="201" t="str">
        <f ca="1">A23</f>
        <v>Haití</v>
      </c>
      <c r="AG23" s="421">
        <f t="shared" si="86"/>
        <v>1</v>
      </c>
      <c r="AH23" s="202">
        <v>29</v>
      </c>
      <c r="AI23" s="19" t="str">
        <f t="shared" ref="AI23:AI25" si="91">AJ23&amp;$B$20</f>
        <v>2C</v>
      </c>
      <c r="AJ23" s="227">
        <v>2</v>
      </c>
      <c r="AK23" s="494" t="str" cm="1">
        <f t="array" aca="1" ref="AK23" ca="1">Ver_flag_visit</f>
        <v/>
      </c>
      <c r="AL23" s="228" t="str">
        <f ca="1">IFERROR(INDEX($BD$6:$BD$53,MATCH(AI23,$BN$6:$BN$53,0)),"")</f>
        <v>Escocia</v>
      </c>
      <c r="AM23" s="229">
        <f t="shared" ca="1" si="90"/>
        <v>6</v>
      </c>
      <c r="AN23" s="230">
        <f t="shared" ca="1" si="90"/>
        <v>3</v>
      </c>
      <c r="AO23" s="230">
        <f t="shared" ca="1" si="90"/>
        <v>2</v>
      </c>
      <c r="AP23" s="230">
        <f t="shared" ca="1" si="90"/>
        <v>0</v>
      </c>
      <c r="AQ23" s="230">
        <f t="shared" ca="1" si="90"/>
        <v>1</v>
      </c>
      <c r="AR23" s="230">
        <f t="shared" ca="1" si="90"/>
        <v>4</v>
      </c>
      <c r="AS23" s="230">
        <f t="shared" ca="1" si="90"/>
        <v>3</v>
      </c>
      <c r="AT23" s="231">
        <f t="shared" ca="1" si="90"/>
        <v>1</v>
      </c>
      <c r="AU23" s="428">
        <f ca="1">INDEX($DL$6:$DL$53,MATCH(AI23,$DP$6:$DP$53,0))</f>
        <v>1</v>
      </c>
      <c r="AV23" s="223" t="str">
        <f ca="1">INDEX($BD$6:$BD$53,MATCH(AI23,$BM$6:$BM$53,0))</f>
        <v>Escocia</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3</v>
      </c>
      <c r="BG23" s="760">
        <f t="shared" ca="1" si="17"/>
        <v>0</v>
      </c>
      <c r="BH23" s="760">
        <f t="shared" ca="1" si="18"/>
        <v>0</v>
      </c>
      <c r="BI23" s="760">
        <f t="shared" ca="1" si="19"/>
        <v>3</v>
      </c>
      <c r="BJ23" s="760">
        <f t="shared" ca="1" si="20"/>
        <v>1</v>
      </c>
      <c r="BK23" s="760">
        <f t="shared" ca="1" si="21"/>
        <v>9</v>
      </c>
      <c r="BL23" s="760">
        <f t="shared" ca="1" si="27"/>
        <v>-8</v>
      </c>
      <c r="BM23" s="760" t="str">
        <f t="shared" ca="1" si="22"/>
        <v>4E</v>
      </c>
      <c r="BN23" s="760" t="str">
        <f t="shared" ca="1" si="23"/>
        <v>4E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4</v>
      </c>
      <c r="BT23" s="769" t="str">
        <f ca="1">IF(COUNTIFS($BS$6:$BS$53,BS23,$BC$6:$BC$53,INDEX(T_Equipos[Grupo],MATCH(BD23,T_Equipos[NombreEquipo],0)))=1,"-","P."&amp;BS23&amp;" ("&amp;COUNTIFS($BS$6:$BS$53,BS23,$BC$6:$BC$53,INDEX(T_Equipos[Grupo],MATCH(BD23,T_Equipos[NombreEquipo],0)))&amp;")")</f>
        <v>-</v>
      </c>
      <c r="BU23" s="770" t="str">
        <f t="shared" ca="1" si="36"/>
        <v>-</v>
      </c>
      <c r="BV23" s="770" t="str">
        <f t="shared" ca="1" si="37"/>
        <v>-</v>
      </c>
      <c r="BW23" s="770" t="str">
        <f t="shared" ca="1" si="38"/>
        <v>-</v>
      </c>
      <c r="BX23" s="770" t="str">
        <f t="shared" ca="1" si="39"/>
        <v>-</v>
      </c>
      <c r="BY23" s="770">
        <f ca="1">BS23+COUNTIFS($BT$6:$BT$53,BT23,$BX$6:BX$53,"&gt;"&amp;BX23,$BC$6:$BC$53,INDEX(T_Equipos[Grupo],MATCH(BD23,T_Equipos[NombreEquipo],0)))</f>
        <v>4</v>
      </c>
      <c r="BZ23" s="769" t="str">
        <f ca="1">IF(COUNTIFS($BY$6:$BY$53,BY23,$BC$6:$BC$53,INDEX(T_Equipos[Grupo],MATCH(BD23,T_Equipos[NombreEquipo],0)))=1,"-","P."&amp;BY23&amp;" ("&amp;COUNTIFS($BY$6:$BY$53,BY23,$BC$6:$BC$53,INDEX(T_Equipos[Grupo],MATCH(BD23,T_Equipos[NombreEquipo],0)))&amp;")")</f>
        <v>-</v>
      </c>
      <c r="CA23" s="770" t="str">
        <f t="shared" ca="1" si="40"/>
        <v>-</v>
      </c>
      <c r="CB23" s="770" t="str">
        <f t="shared" ca="1" si="41"/>
        <v>-</v>
      </c>
      <c r="CC23" s="770" t="str">
        <f t="shared" ca="1" si="42"/>
        <v>-</v>
      </c>
      <c r="CD23" s="770">
        <f ca="1">BY23+COUNTIFS($BZ$6:$BZ$53,BZ23,$CC$6:CC$53,"&gt;"&amp;CC23,$BC$6:$BC$53,INDEX(T_Equipos[Grupo],MATCH(BD23,T_Equipos[NombreEquipo],0)))</f>
        <v>4</v>
      </c>
      <c r="CE23" s="769" t="str">
        <f ca="1">IF(COUNTIFS($CD$6:$CD$53,CD23,$BC$6:$BC$53,INDEX(T_Equipos[Grupo],MATCH(BD23,T_Equipos[NombreEquipo],0)))=1,"-","P."&amp;CD23&amp;" ("&amp;COUNTIFS($CD$6:$CD$53,CD23,$BC$6:$BC$53,INDEX(T_Equipos[Grupo],MATCH(BD23,T_Equipos[NombreEquipo],0)))&amp;")")</f>
        <v>-</v>
      </c>
      <c r="CF23" s="770" t="str">
        <f t="shared" ca="1" si="43"/>
        <v>-</v>
      </c>
      <c r="CG23" s="770">
        <f ca="1">CD23+COUNTIFS($CE$6:$CE$53,CE23,$CF$6:CF$53,"&gt;"&amp;CF23,$BC$6:$BC$53,INDEX(T_Equipos[Grupo],MATCH(BD23,T_Equipos[NombreEquipo],0)))</f>
        <v>4</v>
      </c>
      <c r="CH23" s="769" t="str">
        <f ca="1">IF(COUNTIFS($CG$6:$CG$53,CG23,$BC$6:$BC$53,INDEX(T_Equipos[Grupo],MATCH(BD23,T_Equipos[NombreEquipo],0)))=1,"-","P."&amp;CG23&amp;" ("&amp;COUNTIFS($CG$6:$CG$53,CG23,$BC$6:$BC$53,INDEX(T_Equipos[Grupo],MATCH(BD23,T_Equipos[NombreEquipo],0)))&amp;")")</f>
        <v>-</v>
      </c>
      <c r="CI23" s="770" t="str">
        <f t="shared" ca="1" si="44"/>
        <v>-</v>
      </c>
      <c r="CJ23" s="770" t="str">
        <f t="shared" ca="1" si="45"/>
        <v>-</v>
      </c>
      <c r="CK23" s="770" t="str">
        <f t="shared" ca="1" si="46"/>
        <v>-</v>
      </c>
      <c r="CL23" s="770" t="str">
        <f t="shared" ca="1" si="47"/>
        <v>-</v>
      </c>
      <c r="CM23" s="770">
        <f ca="1">CG23+COUNTIFS($CH$6:$CH$53,CH23,$CL$6:CL$53,"&gt;"&amp;CL23,$BC$6:$BC$53,INDEX(T_Equipos[Grupo],MATCH(BD23,T_Equipos[NombreEquipo],0)))</f>
        <v>4</v>
      </c>
      <c r="CN23" s="769" t="str">
        <f ca="1">IF(COUNTIFS($CM$6:$CM$53,CM23,$BC$6:$BC$53,INDEX(T_Equipos[Grupo],MATCH(BD23,T_Equipos[NombreEquipo],0)))=1,"-","P."&amp;CM23&amp;" ("&amp;COUNTIFS($CM$6:$CM$53,CM23,$BC$6:$BC$53,INDEX(T_Equipos[Grupo],MATCH(BD23,T_Equipos[NombreEquipo],0)))&amp;")")</f>
        <v>-</v>
      </c>
      <c r="CO23" s="770" t="str">
        <f t="shared" ca="1" si="48"/>
        <v>-</v>
      </c>
      <c r="CP23" s="770" t="str">
        <f t="shared" ca="1" si="49"/>
        <v>-</v>
      </c>
      <c r="CQ23" s="770" t="str">
        <f t="shared" ca="1" si="50"/>
        <v>-</v>
      </c>
      <c r="CR23" s="770">
        <f ca="1">CM23+COUNTIFS($CN$6:$CN$53,CN23,$CQ$6:CQ$53,"&gt;"&amp;CQ23,$BC$6:$BC$53,INDEX(T_Equipos[Grupo],MATCH(BD23,T_Equipos[NombreEquipo],0)))</f>
        <v>4</v>
      </c>
      <c r="CS23" s="769" t="str">
        <f ca="1">IF(COUNTIFS($CR$6:$CR$53,CR23,$BC$6:$BC$53,INDEX(T_Equipos[Grupo],MATCH(BD23,T_Equipos[NombreEquipo],0)))=1,"-","P."&amp;CR23&amp;" ("&amp;COUNTIFS($CR$6:$CR$53,CR23,$BC$6:$BC$53,INDEX(T_Equipos[Grupo],MATCH(BD23,T_Equipos[NombreEquipo],0)))&amp;")")</f>
        <v>-</v>
      </c>
      <c r="CT23" s="770" t="str">
        <f t="shared" ca="1" si="51"/>
        <v>-</v>
      </c>
      <c r="CU23" s="770">
        <f ca="1">CR23+COUNTIFS($CS$6:$CS$53,CS23,$CT$6:CT$53,"&gt;"&amp;CT23,$BC$6:$BC$53,INDEX(T_Equipos[Grupo],MATCH(BD23,T_Equipos[NombreEquipo],0)))</f>
        <v>4</v>
      </c>
      <c r="CV23" s="769" t="str">
        <f ca="1">IF(COUNTIFS($CU$6:$CU$53,CU23,$BC$6:$BC$53,INDEX(T_Equipos[Grupo],MATCH(BD23,T_Equipos[NombreEquipo],0)))=1,"-","P."&amp;CU23&amp;" ("&amp;COUNTIFS($CU$6:$CU$53,CU23,$BC$6:$BC$53,INDEX(T_Equipos[Grupo],MATCH(BD23,T_Equipos[NombreEquipo],0)))&amp;")")</f>
        <v>-</v>
      </c>
      <c r="CW23" s="769" t="str">
        <f t="shared" ca="1" si="30"/>
        <v>-</v>
      </c>
      <c r="CX23" s="769">
        <f ca="1">CU23+COUNTIFS($CV$6:$CV$53,CV23,$CW$6:CW$53,"&gt;"&amp;CW23,$BC$6:$BC$53,INDEX(T_Equipos[Grupo],MATCH(BD23,T_Equipos[NombreEquipo],0)))</f>
        <v>4</v>
      </c>
      <c r="CY23" s="769" t="str">
        <f ca="1">IF(COUNTIFS($CX$6:$CX$53,CX23,$BC$6:$BC$53,INDEX(T_Equipos[Grupo],MATCH(BD23,T_Equipos[NombreEquipo],0)))=1,"-","P."&amp;CX23&amp;" ("&amp;COUNTIFS($CX$6:$CX$53,CX23,$BC$6:$BC$53,INDEX(T_Equipos[Grupo],MATCH(BD23,T_Equipos[NombreEquipo],0)))&amp;")")</f>
        <v>-</v>
      </c>
      <c r="CZ23" s="769" t="str">
        <f t="shared" ca="1" si="31"/>
        <v>-</v>
      </c>
      <c r="DA23" s="770">
        <f ca="1">CX23+COUNTIFS($CY$6:$CY$53,CY23,$CZ$6:CZ$53,"&gt;"&amp;CZ23,$BC$6:$BC$53,INDEX(T_Equipos[Grupo],MATCH(BD23,T_Equipos[NombreEquipo],0)))</f>
        <v>4</v>
      </c>
      <c r="DB23" s="769" t="str">
        <f ca="1">IF(COUNTIFS($DA$6:$DA$53,DA23,$BC$6:$BC$53,INDEX(T_Equipos[Grupo],MATCH(BD23,T_Equipos[NombreEquipo],0)))=1,"-","P."&amp;DA23&amp;" ("&amp;COUNTIFS($DA$6:$DA$53,DA23,$BC$6:$BC$53,INDEX(T_Equipos[Grupo],MATCH(BD23,T_Equipos[NombreEquipo],0)))&amp;")")</f>
        <v>-</v>
      </c>
      <c r="DC23" s="768" t="str">
        <f ca="1">IF(DB23="-","-",COUNTIFS(T_Equipos[Rank],"&lt;"&amp;INDEX(T_Equipos[Rank],MATCH(BD23,T_Equipos[NombreEquipo],0)),$BC$6:$BC$53,INDEX(T_Equipos[Grupo],MATCH(BD23,T_Equipos[NombreEquipo],0)))+1)</f>
        <v>-</v>
      </c>
      <c r="DD23" s="768">
        <f ca="1">DA23+COUNTIFS($DB$6:$DB$53,DB23,$DC$6:DC$53,"&lt;"&amp;DC23,$BC$6:$BC$53,INDEX(T_Equipos[Grupo],MATCH(BD23,T_Equipos[NombreEquipo],0)))</f>
        <v>4</v>
      </c>
      <c r="DE23" s="768"/>
      <c r="DF23" s="768">
        <f t="shared" ca="1" si="52"/>
        <v>4</v>
      </c>
      <c r="DG23" s="768" t="str">
        <f ca="1">IF(DB23="-","-",COUNTIFS(DF$6:DF$53,"&lt;"&amp;DF23,$BC$6:$BC$53,INDEX(T_Equipos[Grupo],MATCH(BD23,T_Equipos[NombreEquipo],0))))</f>
        <v>-</v>
      </c>
      <c r="DH23" s="768">
        <f ca="1">DA23+COUNTIFS(DB$6:DB$53,DB23,DG$6:DG$53,"&lt;"&amp;DG23,$BC$6:$BC$53,INDEX(T_Equipos[Grupo],MATCH(BD23,T_Equipos[NombreEquipo],0)))</f>
        <v>4</v>
      </c>
      <c r="DI23" s="756"/>
      <c r="DJ23" s="756">
        <f t="shared" ca="1" si="53"/>
        <v>2</v>
      </c>
      <c r="DK23" s="756">
        <f t="shared" ca="1" si="24"/>
        <v>12</v>
      </c>
      <c r="DL23" s="756">
        <f t="shared" ca="1" si="33"/>
        <v>1</v>
      </c>
      <c r="DM23" s="750" t="str">
        <f t="shared" ca="1" si="34"/>
        <v>2.1</v>
      </c>
      <c r="DN23" s="756" cm="1">
        <f t="array" aca="1" ref="DN23" ca="1">OFFSET(Horarios!$P$3,DJ23-1,0,DL23,1)</f>
        <v>2</v>
      </c>
      <c r="DO23" s="756"/>
      <c r="DP23" s="756" t="s">
        <v>662</v>
      </c>
      <c r="DQ23" s="756" t="str">
        <f t="shared" ca="1" si="35"/>
        <v>Costa de Marfil</v>
      </c>
      <c r="DR23" s="756"/>
      <c r="DS23" s="756"/>
      <c r="DT23" s="756" t="str">
        <f t="shared" ca="1" si="15"/>
        <v>Brasil-Haití</v>
      </c>
      <c r="DU23" s="756"/>
      <c r="DV23" s="756"/>
      <c r="DW23" s="8"/>
    </row>
    <row r="24" spans="1:127" ht="16" customHeight="1">
      <c r="A24" s="757" t="str">
        <f ca="1">+Equipos!B13</f>
        <v>Escocia</v>
      </c>
      <c r="B24" s="754"/>
      <c r="C24" s="756"/>
      <c r="D24" s="756" t="str">
        <f t="shared" si="73"/>
        <v>Visitante</v>
      </c>
      <c r="E24" s="756" t="str">
        <f t="shared" ca="1" si="74"/>
        <v>-</v>
      </c>
      <c r="F24" s="756" t="str">
        <f t="shared" ca="1" si="75"/>
        <v>-</v>
      </c>
      <c r="G24" s="756"/>
      <c r="H24" s="756" t="str">
        <f t="shared" ca="1" si="76"/>
        <v>-</v>
      </c>
      <c r="I24" s="756" t="str">
        <f t="shared" ca="1" si="77"/>
        <v>-</v>
      </c>
      <c r="J24" s="756"/>
      <c r="K24" s="756" t="str">
        <f t="shared" ca="1" si="78"/>
        <v>-</v>
      </c>
      <c r="L24" s="756" t="str">
        <f t="shared" ca="1" si="79"/>
        <v>-</v>
      </c>
      <c r="M24" s="756"/>
      <c r="N24" s="756" t="str">
        <f t="shared" ca="1" si="80"/>
        <v>-</v>
      </c>
      <c r="O24" s="756" t="str">
        <f t="shared" ca="1" si="81"/>
        <v>-</v>
      </c>
      <c r="P24" s="756"/>
      <c r="Q24" s="756" t="str">
        <f t="shared" ca="1" si="82"/>
        <v>-</v>
      </c>
      <c r="R24" s="756" t="str">
        <f t="shared" ca="1" si="83"/>
        <v>-</v>
      </c>
      <c r="S24" s="756"/>
      <c r="T24" s="756" t="str">
        <f t="shared" ca="1" si="84"/>
        <v>-</v>
      </c>
      <c r="U24" s="756" t="str">
        <f t="shared" ca="1" si="85"/>
        <v>-</v>
      </c>
      <c r="V24" s="178"/>
      <c r="W24" s="841"/>
      <c r="X24" s="195">
        <f ca="1">Horarios!C24</f>
        <v>46197.666666666664</v>
      </c>
      <c r="Y24" s="196">
        <f ca="1">Horarios!C24</f>
        <v>46197.666666666664</v>
      </c>
      <c r="Z24" s="197" t="str">
        <f>$Z$8</f>
        <v>J3</v>
      </c>
      <c r="AA24" s="198" t="str">
        <f ca="1">A24</f>
        <v>Escocia</v>
      </c>
      <c r="AB24" s="486" t="str" cm="1">
        <f t="array" aca="1" ref="AB24" ca="1">Ver_flag_local</f>
        <v/>
      </c>
      <c r="AC24" s="199">
        <v>1</v>
      </c>
      <c r="AD24" s="200">
        <v>2</v>
      </c>
      <c r="AE24" s="491" t="str" cm="1">
        <f t="array" aca="1" ref="AE24" ca="1">Ver_flag_visit</f>
        <v/>
      </c>
      <c r="AF24" s="201" t="str">
        <f ca="1">A21</f>
        <v>Brasil</v>
      </c>
      <c r="AG24" s="421">
        <f t="shared" si="86"/>
        <v>1</v>
      </c>
      <c r="AH24" s="202">
        <v>49</v>
      </c>
      <c r="AI24" s="19" t="str">
        <f t="shared" si="91"/>
        <v>3C</v>
      </c>
      <c r="AJ24" s="227">
        <v>3</v>
      </c>
      <c r="AK24" s="494" t="str" cm="1">
        <f t="array" aca="1" ref="AK24" ca="1">Ver_flag_visit</f>
        <v/>
      </c>
      <c r="AL24" s="228" t="str">
        <f ca="1">IFERROR(INDEX($BD$6:$BD$53,MATCH(AI24,$BN$6:$BN$53,0)),"")</f>
        <v>Marruecos</v>
      </c>
      <c r="AM24" s="229">
        <f t="shared" ca="1" si="90"/>
        <v>3</v>
      </c>
      <c r="AN24" s="230">
        <f t="shared" ca="1" si="90"/>
        <v>3</v>
      </c>
      <c r="AO24" s="230">
        <f t="shared" ca="1" si="90"/>
        <v>1</v>
      </c>
      <c r="AP24" s="230">
        <f t="shared" ca="1" si="90"/>
        <v>0</v>
      </c>
      <c r="AQ24" s="230">
        <f t="shared" ca="1" si="90"/>
        <v>2</v>
      </c>
      <c r="AR24" s="230">
        <f t="shared" ca="1" si="90"/>
        <v>3</v>
      </c>
      <c r="AS24" s="230">
        <f t="shared" ca="1" si="90"/>
        <v>4</v>
      </c>
      <c r="AT24" s="231">
        <f t="shared" ca="1" si="90"/>
        <v>-1</v>
      </c>
      <c r="AU24" s="428">
        <f ca="1">INDEX($DL$6:$DL$53,MATCH(AI24,$DP$6:$DP$53,0))</f>
        <v>1</v>
      </c>
      <c r="AV24" s="223" t="str">
        <f ca="1">INDEX($BD$6:$BD$53,MATCH(AI24,$BM$6:$BM$53,0))</f>
        <v>Marruecos</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5</v>
      </c>
      <c r="BF24" s="760">
        <f t="shared" ca="1" si="26"/>
        <v>3</v>
      </c>
      <c r="BG24" s="760">
        <f t="shared" ca="1" si="17"/>
        <v>1</v>
      </c>
      <c r="BH24" s="760">
        <f t="shared" ca="1" si="18"/>
        <v>2</v>
      </c>
      <c r="BI24" s="760">
        <f t="shared" ca="1" si="19"/>
        <v>0</v>
      </c>
      <c r="BJ24" s="760">
        <f t="shared" ca="1" si="20"/>
        <v>9</v>
      </c>
      <c r="BK24" s="760">
        <f t="shared" ca="1" si="21"/>
        <v>6</v>
      </c>
      <c r="BL24" s="760">
        <f t="shared" ca="1" si="27"/>
        <v>3</v>
      </c>
      <c r="BM24" s="760" t="str">
        <f t="shared" ca="1" si="22"/>
        <v>2E</v>
      </c>
      <c r="BN24" s="760" t="str">
        <f t="shared" ca="1" si="23"/>
        <v>2E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5</v>
      </c>
      <c r="BS24" s="769">
        <f ca="1">BP24+COUNTIFS($BQ$6:$BQ$53,BQ24,$BR$6:BR$53,"&gt;"&amp;BR24,$BC$6:$BC$53,INDEX(T_Equipos[Grupo],MATCH(BD24,T_Equipos[NombreEquipo],0)))</f>
        <v>2</v>
      </c>
      <c r="BT24" s="769" t="str">
        <f ca="1">IF(COUNTIFS($BS$6:$BS$53,BS24,$BC$6:$BC$53,INDEX(T_Equipos[Grupo],MATCH(BD24,T_Equipos[NombreEquipo],0)))=1,"-","P."&amp;BS24&amp;" ("&amp;COUNTIFS($BS$6:$BS$53,BS24,$BC$6:$BC$53,INDEX(T_Equipos[Grupo],MATCH(BD24,T_Equipos[NombreEquipo],0)))&amp;")")</f>
        <v>-</v>
      </c>
      <c r="BU24" s="770" t="str">
        <f t="shared" ca="1" si="36"/>
        <v>-</v>
      </c>
      <c r="BV24" s="770" t="str">
        <f t="shared" ca="1" si="37"/>
        <v>-</v>
      </c>
      <c r="BW24" s="770" t="str">
        <f t="shared" ca="1" si="38"/>
        <v>-</v>
      </c>
      <c r="BX24" s="770" t="str">
        <f t="shared" ca="1" si="39"/>
        <v>-</v>
      </c>
      <c r="BY24" s="770">
        <f ca="1">BS24+COUNTIFS($BT$6:$BT$53,BT24,$BX$6:BX$53,"&gt;"&amp;BX24,$BC$6:$BC$53,INDEX(T_Equipos[Grupo],MATCH(BD24,T_Equipos[NombreEquipo],0)))</f>
        <v>2</v>
      </c>
      <c r="BZ24" s="769" t="str">
        <f ca="1">IF(COUNTIFS($BY$6:$BY$53,BY24,$BC$6:$BC$53,INDEX(T_Equipos[Grupo],MATCH(BD24,T_Equipos[NombreEquipo],0)))=1,"-","P."&amp;BY24&amp;" ("&amp;COUNTIFS($BY$6:$BY$53,BY24,$BC$6:$BC$53,INDEX(T_Equipos[Grupo],MATCH(BD24,T_Equipos[NombreEquipo],0)))&amp;")")</f>
        <v>-</v>
      </c>
      <c r="CA24" s="770" t="str">
        <f t="shared" ca="1" si="40"/>
        <v>-</v>
      </c>
      <c r="CB24" s="770" t="str">
        <f t="shared" ca="1" si="41"/>
        <v>-</v>
      </c>
      <c r="CC24" s="770" t="str">
        <f t="shared" ca="1" si="42"/>
        <v>-</v>
      </c>
      <c r="CD24" s="770">
        <f ca="1">BY24+COUNTIFS($BZ$6:$BZ$53,BZ24,$CC$6:CC$53,"&gt;"&amp;CC24,$BC$6:$BC$53,INDEX(T_Equipos[Grupo],MATCH(BD24,T_Equipos[NombreEquipo],0)))</f>
        <v>2</v>
      </c>
      <c r="CE24" s="769" t="str">
        <f ca="1">IF(COUNTIFS($CD$6:$CD$53,CD24,$BC$6:$BC$53,INDEX(T_Equipos[Grupo],MATCH(BD24,T_Equipos[NombreEquipo],0)))=1,"-","P."&amp;CD24&amp;" ("&amp;COUNTIFS($CD$6:$CD$53,CD24,$BC$6:$BC$53,INDEX(T_Equipos[Grupo],MATCH(BD24,T_Equipos[NombreEquipo],0)))&amp;")")</f>
        <v>-</v>
      </c>
      <c r="CF24" s="770" t="str">
        <f t="shared" ca="1" si="43"/>
        <v>-</v>
      </c>
      <c r="CG24" s="770">
        <f ca="1">CD24+COUNTIFS($CE$6:$CE$53,CE24,$CF$6:CF$53,"&gt;"&amp;CF24,$BC$6:$BC$53,INDEX(T_Equipos[Grupo],MATCH(BD24,T_Equipos[NombreEquipo],0)))</f>
        <v>2</v>
      </c>
      <c r="CH24" s="769" t="str">
        <f ca="1">IF(COUNTIFS($CG$6:$CG$53,CG24,$BC$6:$BC$53,INDEX(T_Equipos[Grupo],MATCH(BD24,T_Equipos[NombreEquipo],0)))=1,"-","P."&amp;CG24&amp;" ("&amp;COUNTIFS($CG$6:$CG$53,CG24,$BC$6:$BC$53,INDEX(T_Equipos[Grupo],MATCH(BD24,T_Equipos[NombreEquipo],0)))&amp;")")</f>
        <v>-</v>
      </c>
      <c r="CI24" s="770" t="str">
        <f t="shared" ca="1" si="44"/>
        <v>-</v>
      </c>
      <c r="CJ24" s="770" t="str">
        <f t="shared" ca="1" si="45"/>
        <v>-</v>
      </c>
      <c r="CK24" s="770" t="str">
        <f t="shared" ca="1" si="46"/>
        <v>-</v>
      </c>
      <c r="CL24" s="770" t="str">
        <f t="shared" ca="1" si="47"/>
        <v>-</v>
      </c>
      <c r="CM24" s="770">
        <f ca="1">CG24+COUNTIFS($CH$6:$CH$53,CH24,$CL$6:CL$53,"&gt;"&amp;CL24,$BC$6:$BC$53,INDEX(T_Equipos[Grupo],MATCH(BD24,T_Equipos[NombreEquipo],0)))</f>
        <v>2</v>
      </c>
      <c r="CN24" s="769" t="str">
        <f ca="1">IF(COUNTIFS($CM$6:$CM$53,CM24,$BC$6:$BC$53,INDEX(T_Equipos[Grupo],MATCH(BD24,T_Equipos[NombreEquipo],0)))=1,"-","P."&amp;CM24&amp;" ("&amp;COUNTIFS($CM$6:$CM$53,CM24,$BC$6:$BC$53,INDEX(T_Equipos[Grupo],MATCH(BD24,T_Equipos[NombreEquipo],0)))&amp;")")</f>
        <v>-</v>
      </c>
      <c r="CO24" s="770" t="str">
        <f t="shared" ca="1" si="48"/>
        <v>-</v>
      </c>
      <c r="CP24" s="770" t="str">
        <f t="shared" ca="1" si="49"/>
        <v>-</v>
      </c>
      <c r="CQ24" s="770" t="str">
        <f t="shared" ca="1" si="50"/>
        <v>-</v>
      </c>
      <c r="CR24" s="770">
        <f ca="1">CM24+COUNTIFS($CN$6:$CN$53,CN24,$CQ$6:CQ$53,"&gt;"&amp;CQ24,$BC$6:$BC$53,INDEX(T_Equipos[Grupo],MATCH(BD24,T_Equipos[NombreEquipo],0)))</f>
        <v>2</v>
      </c>
      <c r="CS24" s="769" t="str">
        <f ca="1">IF(COUNTIFS($CR$6:$CR$53,CR24,$BC$6:$BC$53,INDEX(T_Equipos[Grupo],MATCH(BD24,T_Equipos[NombreEquipo],0)))=1,"-","P."&amp;CR24&amp;" ("&amp;COUNTIFS($CR$6:$CR$53,CR24,$BC$6:$BC$53,INDEX(T_Equipos[Grupo],MATCH(BD24,T_Equipos[NombreEquipo],0)))&amp;")")</f>
        <v>-</v>
      </c>
      <c r="CT24" s="770" t="str">
        <f t="shared" ca="1" si="51"/>
        <v>-</v>
      </c>
      <c r="CU24" s="770">
        <f ca="1">CR24+COUNTIFS($CS$6:$CS$53,CS24,$CT$6:CT$53,"&gt;"&amp;CT24,$BC$6:$BC$53,INDEX(T_Equipos[Grupo],MATCH(BD24,T_Equipos[NombreEquipo],0)))</f>
        <v>2</v>
      </c>
      <c r="CV24" s="769" t="str">
        <f ca="1">IF(COUNTIFS($CU$6:$CU$53,CU24,$BC$6:$BC$53,INDEX(T_Equipos[Grupo],MATCH(BD24,T_Equipos[NombreEquipo],0)))=1,"-","P."&amp;CU24&amp;" ("&amp;COUNTIFS($CU$6:$CU$53,CU24,$BC$6:$BC$53,INDEX(T_Equipos[Grupo],MATCH(BD24,T_Equipos[NombreEquipo],0)))&amp;")")</f>
        <v>-</v>
      </c>
      <c r="CW24" s="769" t="str">
        <f t="shared" ca="1" si="30"/>
        <v>-</v>
      </c>
      <c r="CX24" s="769">
        <f ca="1">CU24+COUNTIFS($CV$6:$CV$53,CV24,$CW$6:CW$53,"&gt;"&amp;CW24,$BC$6:$BC$53,INDEX(T_Equipos[Grupo],MATCH(BD24,T_Equipos[NombreEquipo],0)))</f>
        <v>2</v>
      </c>
      <c r="CY24" s="769" t="str">
        <f ca="1">IF(COUNTIFS($CX$6:$CX$53,CX24,$BC$6:$BC$53,INDEX(T_Equipos[Grupo],MATCH(BD24,T_Equipos[NombreEquipo],0)))=1,"-","P."&amp;CX24&amp;" ("&amp;COUNTIFS($CX$6:$CX$53,CX24,$BC$6:$BC$53,INDEX(T_Equipos[Grupo],MATCH(BD24,T_Equipos[NombreEquipo],0)))&amp;")")</f>
        <v>-</v>
      </c>
      <c r="CZ24" s="769" t="str">
        <f t="shared" ca="1" si="31"/>
        <v>-</v>
      </c>
      <c r="DA24" s="770">
        <f ca="1">CX24+COUNTIFS($CY$6:$CY$53,CY24,$CZ$6:CZ$53,"&gt;"&amp;CZ24,$BC$6:$BC$53,INDEX(T_Equipos[Grupo],MATCH(BD24,T_Equipos[NombreEquipo],0)))</f>
        <v>2</v>
      </c>
      <c r="DB24" s="769" t="str">
        <f ca="1">IF(COUNTIFS($DA$6:$DA$53,DA24,$BC$6:$BC$53,INDEX(T_Equipos[Grupo],MATCH(BD24,T_Equipos[NombreEquipo],0)))=1,"-","P."&amp;DA24&amp;" ("&amp;COUNTIFS($DA$6:$DA$53,DA24,$BC$6:$BC$53,INDEX(T_Equipos[Grupo],MATCH(BD24,T_Equipos[NombreEquipo],0)))&amp;")")</f>
        <v>-</v>
      </c>
      <c r="DC24" s="768" t="str">
        <f ca="1">IF(DB24="-","-",COUNTIFS(T_Equipos[Rank],"&lt;"&amp;INDEX(T_Equipos[Rank],MATCH(BD24,T_Equipos[NombreEquipo],0)),$BC$6:$BC$53,INDEX(T_Equipos[Grupo],MATCH(BD24,T_Equipos[NombreEquipo],0)))+1)</f>
        <v>-</v>
      </c>
      <c r="DD24" s="768">
        <f ca="1">DA24+COUNTIFS($DB$6:$DB$53,DB24,$DC$6:DC$53,"&lt;"&amp;DC24,$BC$6:$BC$53,INDEX(T_Equipos[Grupo],MATCH(BD24,T_Equipos[NombreEquipo],0)))</f>
        <v>2</v>
      </c>
      <c r="DE24" s="768"/>
      <c r="DF24" s="768">
        <f t="shared" ca="1" si="52"/>
        <v>2</v>
      </c>
      <c r="DG24" s="768" t="str">
        <f ca="1">IF(DB24="-","-",COUNTIFS(DF$6:DF$53,"&lt;"&amp;DF24,$BC$6:$BC$53,INDEX(T_Equipos[Grupo],MATCH(BD24,T_Equipos[NombreEquipo],0))))</f>
        <v>-</v>
      </c>
      <c r="DH24" s="768">
        <f ca="1">DA24+COUNTIFS(DB$6:DB$53,DB24,DG$6:DG$53,"&lt;"&amp;DG24,$BC$6:$BC$53,INDEX(T_Equipos[Grupo],MATCH(BD24,T_Equipos[NombreEquipo],0)))</f>
        <v>2</v>
      </c>
      <c r="DI24" s="756"/>
      <c r="DJ24" s="756">
        <f t="shared" ca="1" si="53"/>
        <v>3</v>
      </c>
      <c r="DK24" s="756">
        <f t="shared" ca="1" si="24"/>
        <v>12</v>
      </c>
      <c r="DL24" s="756">
        <f t="shared" ca="1" si="33"/>
        <v>1</v>
      </c>
      <c r="DM24" s="750" t="str">
        <f t="shared" ca="1" si="34"/>
        <v>3.1</v>
      </c>
      <c r="DN24" s="756" cm="1">
        <f t="array" aca="1" ref="DN24" ca="1">OFFSET(Horarios!$P$3,DJ24-1,0,DL24,1)</f>
        <v>3</v>
      </c>
      <c r="DO24" s="756"/>
      <c r="DP24" s="756" t="s">
        <v>93</v>
      </c>
      <c r="DQ24" s="756" t="str">
        <f t="shared" ca="1" si="35"/>
        <v>Ecuador</v>
      </c>
      <c r="DR24" s="756"/>
      <c r="DS24" s="756"/>
      <c r="DT24" s="756" t="str">
        <f t="shared" ca="1" si="15"/>
        <v>Escocia-Brasil</v>
      </c>
      <c r="DU24" s="756"/>
      <c r="DV24" s="756"/>
      <c r="DW24" s="8"/>
    </row>
    <row r="25" spans="1:127" ht="17.149999999999999" customHeight="1" thickBot="1">
      <c r="A25" s="751"/>
      <c r="B25" s="751"/>
      <c r="C25" s="751"/>
      <c r="D25" s="756" t="str">
        <f t="shared" si="73"/>
        <v>Local</v>
      </c>
      <c r="E25" s="756" t="str">
        <f t="shared" ca="1" si="74"/>
        <v>-</v>
      </c>
      <c r="F25" s="756" t="str">
        <f t="shared" ca="1" si="75"/>
        <v>-</v>
      </c>
      <c r="G25" s="756"/>
      <c r="H25" s="756" t="str">
        <f t="shared" ca="1" si="76"/>
        <v>-</v>
      </c>
      <c r="I25" s="756" t="str">
        <f t="shared" ca="1" si="77"/>
        <v>-</v>
      </c>
      <c r="J25" s="756"/>
      <c r="K25" s="756" t="str">
        <f t="shared" ca="1" si="78"/>
        <v>-</v>
      </c>
      <c r="L25" s="756" t="str">
        <f t="shared" ca="1" si="79"/>
        <v>-</v>
      </c>
      <c r="M25" s="756"/>
      <c r="N25" s="756" t="str">
        <f t="shared" ca="1" si="80"/>
        <v>-</v>
      </c>
      <c r="O25" s="756" t="str">
        <f t="shared" ca="1" si="81"/>
        <v>-</v>
      </c>
      <c r="P25" s="756"/>
      <c r="Q25" s="756" t="str">
        <f t="shared" ca="1" si="82"/>
        <v>-</v>
      </c>
      <c r="R25" s="756" t="str">
        <f t="shared" ca="1" si="83"/>
        <v>-</v>
      </c>
      <c r="S25" s="756"/>
      <c r="T25" s="756" t="str">
        <f t="shared" ca="1" si="84"/>
        <v>-</v>
      </c>
      <c r="U25" s="756" t="str">
        <f t="shared" ca="1" si="85"/>
        <v>-</v>
      </c>
      <c r="V25" s="178"/>
      <c r="W25" s="842"/>
      <c r="X25" s="234">
        <f ca="1">Horarios!C25</f>
        <v>46197.666666666664</v>
      </c>
      <c r="Y25" s="235">
        <f ca="1">Horarios!C25</f>
        <v>46197.666666666664</v>
      </c>
      <c r="Z25" s="236" t="str">
        <f>$Z$8</f>
        <v>J3</v>
      </c>
      <c r="AA25" s="237" t="str">
        <f ca="1">A22</f>
        <v>Marruecos</v>
      </c>
      <c r="AB25" s="487" t="str" cm="1">
        <f t="array" aca="1" ref="AB25" ca="1">Ver_flag_local</f>
        <v/>
      </c>
      <c r="AC25" s="238">
        <v>1</v>
      </c>
      <c r="AD25" s="239">
        <v>0</v>
      </c>
      <c r="AE25" s="492" t="str" cm="1">
        <f t="array" aca="1" ref="AE25" ca="1">Ver_flag_visit</f>
        <v/>
      </c>
      <c r="AF25" s="240" t="str">
        <f ca="1">A23</f>
        <v>Haití</v>
      </c>
      <c r="AG25" s="421">
        <f t="shared" si="86"/>
        <v>1</v>
      </c>
      <c r="AH25" s="202">
        <v>50</v>
      </c>
      <c r="AI25" s="19" t="str">
        <f t="shared" si="91"/>
        <v>4C</v>
      </c>
      <c r="AJ25" s="241">
        <v>4</v>
      </c>
      <c r="AK25" s="495" t="str" cm="1">
        <f t="array" aca="1" ref="AK25" ca="1">Ver_flag_visit</f>
        <v/>
      </c>
      <c r="AL25" s="242" t="str">
        <f ca="1">IFERROR(INDEX($BD$6:$BD$53,MATCH(AI25,$BN$6:$BN$53,0)),"")</f>
        <v>Haití</v>
      </c>
      <c r="AM25" s="243">
        <f t="shared" ca="1" si="90"/>
        <v>0</v>
      </c>
      <c r="AN25" s="244">
        <f t="shared" ca="1" si="90"/>
        <v>3</v>
      </c>
      <c r="AO25" s="244">
        <f t="shared" ca="1" si="90"/>
        <v>0</v>
      </c>
      <c r="AP25" s="244">
        <f t="shared" ca="1" si="90"/>
        <v>0</v>
      </c>
      <c r="AQ25" s="244">
        <f t="shared" ca="1" si="90"/>
        <v>3</v>
      </c>
      <c r="AR25" s="244">
        <f t="shared" ca="1" si="90"/>
        <v>0</v>
      </c>
      <c r="AS25" s="244">
        <f t="shared" ca="1" si="90"/>
        <v>7</v>
      </c>
      <c r="AT25" s="245">
        <f t="shared" ca="1" si="90"/>
        <v>-7</v>
      </c>
      <c r="AU25" s="428">
        <f ca="1">INDEX($DL$6:$DL$53,MATCH(AI25,$DP$6:$DP$53,0))</f>
        <v>1</v>
      </c>
      <c r="AV25" s="223" t="str">
        <f ca="1">INDEX($BD$6:$BD$53,MATCH(AI25,$BM$6:$BM$53,0))</f>
        <v>Haití</v>
      </c>
      <c r="AW25" s="435"/>
      <c r="AX25" s="224"/>
      <c r="AY25" s="246" t="str">
        <f ca="1">+A24</f>
        <v>Escocia</v>
      </c>
      <c r="AZ25" s="247"/>
      <c r="BA25" s="181"/>
      <c r="BB25" s="756"/>
      <c r="BC25" s="768" t="str">
        <f ca="1">+INDEX(T_Equipos[Grupo],MATCH(WORLDCUP!BD25,T_Equipos[NombreEquipo],0))</f>
        <v>E</v>
      </c>
      <c r="BD25" s="756" t="str">
        <f ca="1">+Equipos!B21</f>
        <v>Ecuador</v>
      </c>
      <c r="BE25" s="760">
        <f t="shared" ca="1" si="25"/>
        <v>4</v>
      </c>
      <c r="BF25" s="760">
        <f t="shared" ca="1" si="26"/>
        <v>3</v>
      </c>
      <c r="BG25" s="760">
        <f t="shared" ca="1" si="17"/>
        <v>1</v>
      </c>
      <c r="BH25" s="760">
        <f t="shared" ca="1" si="18"/>
        <v>1</v>
      </c>
      <c r="BI25" s="760">
        <f t="shared" ca="1" si="19"/>
        <v>1</v>
      </c>
      <c r="BJ25" s="760">
        <f t="shared" ca="1" si="20"/>
        <v>7</v>
      </c>
      <c r="BK25" s="760">
        <f t="shared" ca="1" si="21"/>
        <v>6</v>
      </c>
      <c r="BL25" s="760">
        <f t="shared" ca="1" si="27"/>
        <v>1</v>
      </c>
      <c r="BM25" s="760" t="str">
        <f t="shared" ca="1" si="22"/>
        <v>3E</v>
      </c>
      <c r="BN25" s="760" t="str">
        <f t="shared" ca="1" si="23"/>
        <v>3E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4</v>
      </c>
      <c r="BS25" s="769">
        <f ca="1">BP25+COUNTIFS($BQ$6:$BQ$53,BQ25,$BR$6:BR$53,"&gt;"&amp;BR25,$BC$6:$BC$53,INDEX(T_Equipos[Grupo],MATCH(BD25,T_Equipos[NombreEquipo],0)))</f>
        <v>3</v>
      </c>
      <c r="BT25" s="769" t="str">
        <f ca="1">IF(COUNTIFS($BS$6:$BS$53,BS25,$BC$6:$BC$53,INDEX(T_Equipos[Grupo],MATCH(BD25,T_Equipos[NombreEquipo],0)))=1,"-","P."&amp;BS25&amp;" ("&amp;COUNTIFS($BS$6:$BS$53,BS25,$BC$6:$BC$53,INDEX(T_Equipos[Grupo],MATCH(BD25,T_Equipos[NombreEquipo],0)))&amp;")")</f>
        <v>-</v>
      </c>
      <c r="BU25" s="770" t="str">
        <f t="shared" ca="1" si="36"/>
        <v>-</v>
      </c>
      <c r="BV25" s="770" t="str">
        <f t="shared" ca="1" si="37"/>
        <v>-</v>
      </c>
      <c r="BW25" s="770" t="str">
        <f t="shared" ca="1" si="38"/>
        <v>-</v>
      </c>
      <c r="BX25" s="770" t="str">
        <f t="shared" ca="1" si="39"/>
        <v>-</v>
      </c>
      <c r="BY25" s="770">
        <f ca="1">BS25+COUNTIFS($BT$6:$BT$53,BT25,$BX$6:BX$53,"&gt;"&amp;BX25,$BC$6:$BC$53,INDEX(T_Equipos[Grupo],MATCH(BD25,T_Equipos[NombreEquipo],0)))</f>
        <v>3</v>
      </c>
      <c r="BZ25" s="769" t="str">
        <f ca="1">IF(COUNTIFS($BY$6:$BY$53,BY25,$BC$6:$BC$53,INDEX(T_Equipos[Grupo],MATCH(BD25,T_Equipos[NombreEquipo],0)))=1,"-","P."&amp;BY25&amp;" ("&amp;COUNTIFS($BY$6:$BY$53,BY25,$BC$6:$BC$53,INDEX(T_Equipos[Grupo],MATCH(BD25,T_Equipos[NombreEquipo],0)))&amp;")")</f>
        <v>-</v>
      </c>
      <c r="CA25" s="770" t="str">
        <f t="shared" ca="1" si="40"/>
        <v>-</v>
      </c>
      <c r="CB25" s="770" t="str">
        <f t="shared" ca="1" si="41"/>
        <v>-</v>
      </c>
      <c r="CC25" s="770" t="str">
        <f t="shared" ca="1" si="42"/>
        <v>-</v>
      </c>
      <c r="CD25" s="770">
        <f ca="1">BY25+COUNTIFS($BZ$6:$BZ$53,BZ25,$CC$6:CC$53,"&gt;"&amp;CC25,$BC$6:$BC$53,INDEX(T_Equipos[Grupo],MATCH(BD25,T_Equipos[NombreEquipo],0)))</f>
        <v>3</v>
      </c>
      <c r="CE25" s="769" t="str">
        <f ca="1">IF(COUNTIFS($CD$6:$CD$53,CD25,$BC$6:$BC$53,INDEX(T_Equipos[Grupo],MATCH(BD25,T_Equipos[NombreEquipo],0)))=1,"-","P."&amp;CD25&amp;" ("&amp;COUNTIFS($CD$6:$CD$53,CD25,$BC$6:$BC$53,INDEX(T_Equipos[Grupo],MATCH(BD25,T_Equipos[NombreEquipo],0)))&amp;")")</f>
        <v>-</v>
      </c>
      <c r="CF25" s="770" t="str">
        <f t="shared" ca="1" si="43"/>
        <v>-</v>
      </c>
      <c r="CG25" s="770">
        <f ca="1">CD25+COUNTIFS($CE$6:$CE$53,CE25,$CF$6:CF$53,"&gt;"&amp;CF25,$BC$6:$BC$53,INDEX(T_Equipos[Grupo],MATCH(BD25,T_Equipos[NombreEquipo],0)))</f>
        <v>3</v>
      </c>
      <c r="CH25" s="769" t="str">
        <f ca="1">IF(COUNTIFS($CG$6:$CG$53,CG25,$BC$6:$BC$53,INDEX(T_Equipos[Grupo],MATCH(BD25,T_Equipos[NombreEquipo],0)))=1,"-","P."&amp;CG25&amp;" ("&amp;COUNTIFS($CG$6:$CG$53,CG25,$BC$6:$BC$53,INDEX(T_Equipos[Grupo],MATCH(BD25,T_Equipos[NombreEquipo],0)))&amp;")")</f>
        <v>-</v>
      </c>
      <c r="CI25" s="770" t="str">
        <f t="shared" ca="1" si="44"/>
        <v>-</v>
      </c>
      <c r="CJ25" s="770" t="str">
        <f t="shared" ca="1" si="45"/>
        <v>-</v>
      </c>
      <c r="CK25" s="770" t="str">
        <f t="shared" ca="1" si="46"/>
        <v>-</v>
      </c>
      <c r="CL25" s="770" t="str">
        <f t="shared" ca="1" si="47"/>
        <v>-</v>
      </c>
      <c r="CM25" s="770">
        <f ca="1">CG25+COUNTIFS($CH$6:$CH$53,CH25,$CL$6:CL$53,"&gt;"&amp;CL25,$BC$6:$BC$53,INDEX(T_Equipos[Grupo],MATCH(BD25,T_Equipos[NombreEquipo],0)))</f>
        <v>3</v>
      </c>
      <c r="CN25" s="769" t="str">
        <f ca="1">IF(COUNTIFS($CM$6:$CM$53,CM25,$BC$6:$BC$53,INDEX(T_Equipos[Grupo],MATCH(BD25,T_Equipos[NombreEquipo],0)))=1,"-","P."&amp;CM25&amp;" ("&amp;COUNTIFS($CM$6:$CM$53,CM25,$BC$6:$BC$53,INDEX(T_Equipos[Grupo],MATCH(BD25,T_Equipos[NombreEquipo],0)))&amp;")")</f>
        <v>-</v>
      </c>
      <c r="CO25" s="770" t="str">
        <f t="shared" ca="1" si="48"/>
        <v>-</v>
      </c>
      <c r="CP25" s="770" t="str">
        <f t="shared" ca="1" si="49"/>
        <v>-</v>
      </c>
      <c r="CQ25" s="770" t="str">
        <f t="shared" ca="1" si="50"/>
        <v>-</v>
      </c>
      <c r="CR25" s="770">
        <f ca="1">CM25+COUNTIFS($CN$6:$CN$53,CN25,$CQ$6:CQ$53,"&gt;"&amp;CQ25,$BC$6:$BC$53,INDEX(T_Equipos[Grupo],MATCH(BD25,T_Equipos[NombreEquipo],0)))</f>
        <v>3</v>
      </c>
      <c r="CS25" s="769" t="str">
        <f ca="1">IF(COUNTIFS($CR$6:$CR$53,CR25,$BC$6:$BC$53,INDEX(T_Equipos[Grupo],MATCH(BD25,T_Equipos[NombreEquipo],0)))=1,"-","P."&amp;CR25&amp;" ("&amp;COUNTIFS($CR$6:$CR$53,CR25,$BC$6:$BC$53,INDEX(T_Equipos[Grupo],MATCH(BD25,T_Equipos[NombreEquipo],0)))&amp;")")</f>
        <v>-</v>
      </c>
      <c r="CT25" s="770" t="str">
        <f t="shared" ca="1" si="51"/>
        <v>-</v>
      </c>
      <c r="CU25" s="770">
        <f ca="1">CR25+COUNTIFS($CS$6:$CS$53,CS25,$CT$6:CT$53,"&gt;"&amp;CT25,$BC$6:$BC$53,INDEX(T_Equipos[Grupo],MATCH(BD25,T_Equipos[NombreEquipo],0)))</f>
        <v>3</v>
      </c>
      <c r="CV25" s="769" t="str">
        <f ca="1">IF(COUNTIFS($CU$6:$CU$53,CU25,$BC$6:$BC$53,INDEX(T_Equipos[Grupo],MATCH(BD25,T_Equipos[NombreEquipo],0)))=1,"-","P."&amp;CU25&amp;" ("&amp;COUNTIFS($CU$6:$CU$53,CU25,$BC$6:$BC$53,INDEX(T_Equipos[Grupo],MATCH(BD25,T_Equipos[NombreEquipo],0)))&amp;")")</f>
        <v>-</v>
      </c>
      <c r="CW25" s="769" t="str">
        <f t="shared" ca="1" si="30"/>
        <v>-</v>
      </c>
      <c r="CX25" s="769">
        <f ca="1">CU25+COUNTIFS($CV$6:$CV$53,CV25,$CW$6:CW$53,"&gt;"&amp;CW25,$BC$6:$BC$53,INDEX(T_Equipos[Grupo],MATCH(BD25,T_Equipos[NombreEquipo],0)))</f>
        <v>3</v>
      </c>
      <c r="CY25" s="769" t="str">
        <f ca="1">IF(COUNTIFS($CX$6:$CX$53,CX25,$BC$6:$BC$53,INDEX(T_Equipos[Grupo],MATCH(BD25,T_Equipos[NombreEquipo],0)))=1,"-","P."&amp;CX25&amp;" ("&amp;COUNTIFS($CX$6:$CX$53,CX25,$BC$6:$BC$53,INDEX(T_Equipos[Grupo],MATCH(BD25,T_Equipos[NombreEquipo],0)))&amp;")")</f>
        <v>-</v>
      </c>
      <c r="CZ25" s="769" t="str">
        <f t="shared" ca="1" si="31"/>
        <v>-</v>
      </c>
      <c r="DA25" s="770">
        <f ca="1">CX25+COUNTIFS($CY$6:$CY$53,CY25,$CZ$6:CZ$53,"&gt;"&amp;CZ25,$BC$6:$BC$53,INDEX(T_Equipos[Grupo],MATCH(BD25,T_Equipos[NombreEquipo],0)))</f>
        <v>3</v>
      </c>
      <c r="DB25" s="769" t="str">
        <f ca="1">IF(COUNTIFS($DA$6:$DA$53,DA25,$BC$6:$BC$53,INDEX(T_Equipos[Grupo],MATCH(BD25,T_Equipos[NombreEquipo],0)))=1,"-","P."&amp;DA25&amp;" ("&amp;COUNTIFS($DA$6:$DA$53,DA25,$BC$6:$BC$53,INDEX(T_Equipos[Grupo],MATCH(BD25,T_Equipos[NombreEquipo],0)))&amp;")")</f>
        <v>-</v>
      </c>
      <c r="DC25" s="768" t="str">
        <f ca="1">IF(DB25="-","-",COUNTIFS(T_Equipos[Rank],"&lt;"&amp;INDEX(T_Equipos[Rank],MATCH(BD25,T_Equipos[NombreEquipo],0)),$BC$6:$BC$53,INDEX(T_Equipos[Grupo],MATCH(BD25,T_Equipos[NombreEquipo],0)))+1)</f>
        <v>-</v>
      </c>
      <c r="DD25" s="768">
        <f ca="1">DA25+COUNTIFS($DB$6:$DB$53,DB25,$DC$6:DC$53,"&lt;"&amp;DC25,$BC$6:$BC$53,INDEX(T_Equipos[Grupo],MATCH(BD25,T_Equipos[NombreEquipo],0)))</f>
        <v>3</v>
      </c>
      <c r="DE25" s="768"/>
      <c r="DF25" s="768">
        <f t="shared" ca="1" si="52"/>
        <v>3</v>
      </c>
      <c r="DG25" s="768" t="str">
        <f ca="1">IF(DB25="-","-",COUNTIFS(DF$6:DF$53,"&lt;"&amp;DF25,$BC$6:$BC$53,INDEX(T_Equipos[Grupo],MATCH(BD25,T_Equipos[NombreEquipo],0))))</f>
        <v>-</v>
      </c>
      <c r="DH25" s="768">
        <f ca="1">DA25+COUNTIFS(DB$6:DB$53,DB25,DG$6:DG$53,"&lt;"&amp;DG25,$BC$6:$BC$53,INDEX(T_Equipos[Grupo],MATCH(BD25,T_Equipos[NombreEquipo],0)))</f>
        <v>3</v>
      </c>
      <c r="DI25" s="756"/>
      <c r="DJ25" s="756">
        <f t="shared" ca="1" si="53"/>
        <v>4</v>
      </c>
      <c r="DK25" s="756">
        <f t="shared" ca="1" si="24"/>
        <v>12</v>
      </c>
      <c r="DL25" s="756">
        <f t="shared" ca="1" si="33"/>
        <v>1</v>
      </c>
      <c r="DM25" s="750" t="str">
        <f t="shared" ca="1" si="34"/>
        <v>4.1</v>
      </c>
      <c r="DN25" s="756" cm="1">
        <f t="array" aca="1" ref="DN25" ca="1">OFFSET(Horarios!$P$3,DJ25-1,0,DL25,1)</f>
        <v>4</v>
      </c>
      <c r="DO25" s="756"/>
      <c r="DP25" s="756" t="s">
        <v>663</v>
      </c>
      <c r="DQ25" s="756" t="str">
        <f t="shared" ca="1" si="35"/>
        <v>Curazao</v>
      </c>
      <c r="DR25" s="756"/>
      <c r="DS25" s="756"/>
      <c r="DT25" s="756" t="str">
        <f t="shared" ca="1" si="15"/>
        <v>Marruecos-Haití</v>
      </c>
      <c r="DU25" s="756"/>
      <c r="DV25" s="756"/>
      <c r="DW25" s="8"/>
    </row>
    <row r="26" spans="1:127" ht="15" thickBot="1">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7</v>
      </c>
      <c r="BF26" s="760">
        <f t="shared" ca="1" si="26"/>
        <v>3</v>
      </c>
      <c r="BG26" s="760">
        <f t="shared" ca="1" si="17"/>
        <v>2</v>
      </c>
      <c r="BH26" s="760">
        <f t="shared" ca="1" si="18"/>
        <v>1</v>
      </c>
      <c r="BI26" s="760">
        <f t="shared" ca="1" si="19"/>
        <v>0</v>
      </c>
      <c r="BJ26" s="760">
        <f t="shared" ca="1" si="20"/>
        <v>7</v>
      </c>
      <c r="BK26" s="760">
        <f t="shared" ca="1" si="21"/>
        <v>3</v>
      </c>
      <c r="BL26" s="760">
        <f t="shared" ca="1" si="27"/>
        <v>4</v>
      </c>
      <c r="BM26" s="760" t="str">
        <f t="shared" ca="1" si="22"/>
        <v>2F</v>
      </c>
      <c r="BN26" s="760" t="str">
        <f t="shared" ca="1" si="23"/>
        <v>2F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7</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(2)</v>
      </c>
      <c r="BU26" s="770">
        <f t="shared" ca="1" si="36"/>
        <v>0</v>
      </c>
      <c r="BV26" s="770">
        <f t="shared" ca="1" si="37"/>
        <v>1</v>
      </c>
      <c r="BW26" s="770">
        <f t="shared" ca="1" si="38"/>
        <v>0</v>
      </c>
      <c r="BX26" s="770">
        <f t="shared" ca="1" si="39"/>
        <v>1</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P.1 (2)</v>
      </c>
      <c r="CA26" s="770">
        <f t="shared" ca="1" si="40"/>
        <v>2</v>
      </c>
      <c r="CB26" s="770">
        <f t="shared" ca="1" si="41"/>
        <v>2</v>
      </c>
      <c r="CC26" s="770">
        <f t="shared" ca="1" si="42"/>
        <v>0</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P.1 (2)</v>
      </c>
      <c r="CF26" s="770">
        <f t="shared" ca="1" si="43"/>
        <v>2</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P.1 (2)</v>
      </c>
      <c r="CI26" s="770">
        <f t="shared" ca="1" si="44"/>
        <v>0</v>
      </c>
      <c r="CJ26" s="770">
        <f t="shared" ca="1" si="45"/>
        <v>1</v>
      </c>
      <c r="CK26" s="770">
        <f t="shared" ca="1" si="46"/>
        <v>0</v>
      </c>
      <c r="CL26" s="770">
        <f t="shared" ca="1" si="47"/>
        <v>1</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P.1 (2)</v>
      </c>
      <c r="CO26" s="770">
        <f t="shared" ca="1" si="48"/>
        <v>2</v>
      </c>
      <c r="CP26" s="770">
        <f t="shared" ca="1" si="49"/>
        <v>2</v>
      </c>
      <c r="CQ26" s="770">
        <f t="shared" ca="1" si="50"/>
        <v>0</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P.1 (2)</v>
      </c>
      <c r="CT26" s="770">
        <f t="shared" ca="1" si="51"/>
        <v>2</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P.1 (2)</v>
      </c>
      <c r="CW26" s="769">
        <f t="shared" ca="1" si="30"/>
        <v>4</v>
      </c>
      <c r="CX26" s="769">
        <f ca="1">CU26+COUNTIFS($CV$6:$CV$53,CV26,$CW$6:CW$53,"&gt;"&amp;CW26,$BC$6:$BC$53,INDEX(T_Equipos[Grupo],MATCH(BD26,T_Equipos[NombreEquipo],0)))</f>
        <v>2</v>
      </c>
      <c r="CY26" s="769" t="str">
        <f ca="1">IF(COUNTIFS($CX$6:$CX$53,CX26,$BC$6:$BC$53,INDEX(T_Equipos[Grupo],MATCH(BD26,T_Equipos[NombreEquipo],0)))=1,"-","P."&amp;CX26&amp;" ("&amp;COUNTIFS($CX$6:$CX$53,CX26,$BC$6:$BC$53,INDEX(T_Equipos[Grupo],MATCH(BD26,T_Equipos[NombreEquipo],0)))&amp;")")</f>
        <v>-</v>
      </c>
      <c r="CZ26" s="769" t="str">
        <f t="shared" ca="1" si="31"/>
        <v>-</v>
      </c>
      <c r="DA26" s="770">
        <f ca="1">CX26+COUNTIFS($CY$6:$CY$53,CY26,$CZ$6:CZ$53,"&gt;"&amp;CZ26,$BC$6:$BC$53,INDEX(T_Equipos[Grupo],MATCH(BD26,T_Equipos[NombreEquipo],0)))</f>
        <v>2</v>
      </c>
      <c r="DB26" s="769" t="str">
        <f ca="1">IF(COUNTIFS($DA$6:$DA$53,DA26,$BC$6:$BC$53,INDEX(T_Equipos[Grupo],MATCH(BD26,T_Equipos[NombreEquipo],0)))=1,"-","P."&amp;DA26&amp;" ("&amp;COUNTIFS($DA$6:$DA$53,DA26,$BC$6:$BC$53,INDEX(T_Equipos[Grupo],MATCH(BD26,T_Equipos[NombreEquipo],0)))&amp;")")</f>
        <v>-</v>
      </c>
      <c r="DC26" s="768" t="str">
        <f ca="1">IF(DB26="-","-",COUNTIFS(T_Equipos[Rank],"&lt;"&amp;INDEX(T_Equipos[Rank],MATCH(BD26,T_Equipos[NombreEquipo],0)),$BC$6:$BC$53,INDEX(T_Equipos[Grupo],MATCH(BD26,T_Equipos[NombreEquipo],0)))+1)</f>
        <v>-</v>
      </c>
      <c r="DD26" s="768">
        <f ca="1">DA26+COUNTIFS($DB$6:$DB$53,DB26,$DC$6:DC$53,"&lt;"&amp;DC26,$BC$6:$BC$53,INDEX(T_Equipos[Grupo],MATCH(BD26,T_Equipos[NombreEquipo],0)))</f>
        <v>2</v>
      </c>
      <c r="DE26" s="768"/>
      <c r="DF26" s="768">
        <f t="shared" ca="1" si="52"/>
        <v>2</v>
      </c>
      <c r="DG26" s="768" t="str">
        <f ca="1">IF(DB26="-","-",COUNTIFS(DF$6:DF$53,"&lt;"&amp;DF26,$BC$6:$BC$53,INDEX(T_Equipos[Grupo],MATCH(BD26,T_Equipos[NombreEquipo],0))))</f>
        <v>-</v>
      </c>
      <c r="DH26" s="768">
        <f ca="1">DA26+COUNTIFS(DB$6:DB$53,DB26,DG$6:DG$53,"&lt;"&amp;DG26,$BC$6:$BC$53,INDEX(T_Equipos[Grupo],MATCH(BD26,T_Equipos[NombreEquipo],0)))</f>
        <v>2</v>
      </c>
      <c r="DI26" s="756"/>
      <c r="DJ26" s="756">
        <f t="shared" ca="1" si="53"/>
        <v>1</v>
      </c>
      <c r="DK26" s="756">
        <f t="shared" ca="1" si="24"/>
        <v>12</v>
      </c>
      <c r="DL26" s="756">
        <f t="shared" ca="1" si="33"/>
        <v>1</v>
      </c>
      <c r="DM26" s="750" t="str">
        <f t="shared" ca="1" si="34"/>
        <v>1.1</v>
      </c>
      <c r="DN26" s="756" cm="1">
        <f t="array" aca="1" ref="DN26" ca="1">OFFSET(Horarios!$P$3,DJ26-1,0,DL26,1)</f>
        <v>1</v>
      </c>
      <c r="DO26" s="756"/>
      <c r="DP26" s="756" t="s">
        <v>664</v>
      </c>
      <c r="DQ26" s="756" t="str">
        <f t="shared" ca="1" si="35"/>
        <v>Japón</v>
      </c>
      <c r="DR26" s="756"/>
      <c r="DS26" s="756"/>
      <c r="DT26" s="756" t="str">
        <f t="shared" si="15"/>
        <v>-</v>
      </c>
      <c r="DU26" s="756"/>
      <c r="DV26" s="756"/>
      <c r="DW26" s="8"/>
    </row>
    <row r="27" spans="1:127" ht="15" thickBot="1">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7</v>
      </c>
      <c r="BF27" s="760">
        <f t="shared" ca="1" si="26"/>
        <v>3</v>
      </c>
      <c r="BG27" s="760">
        <f t="shared" ca="1" si="17"/>
        <v>2</v>
      </c>
      <c r="BH27" s="760">
        <f t="shared" ca="1" si="18"/>
        <v>1</v>
      </c>
      <c r="BI27" s="760">
        <f t="shared" ca="1" si="19"/>
        <v>0</v>
      </c>
      <c r="BJ27" s="760">
        <f t="shared" ca="1" si="20"/>
        <v>8</v>
      </c>
      <c r="BK27" s="760">
        <f t="shared" ca="1" si="21"/>
        <v>3</v>
      </c>
      <c r="BL27" s="760">
        <f t="shared" ca="1" si="27"/>
        <v>5</v>
      </c>
      <c r="BM27" s="760" t="str">
        <f t="shared" ca="1" si="22"/>
        <v>1F</v>
      </c>
      <c r="BN27" s="760" t="str">
        <f t="shared" ca="1" si="23"/>
        <v>1F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7</v>
      </c>
      <c r="BS27" s="769">
        <f ca="1">BP27+COUNTIFS($BQ$6:$BQ$53,BQ27,$BR$6:BR$53,"&gt;"&amp;BR27,$BC$6:$BC$53,INDEX(T_Equipos[Grupo],MATCH(BD27,T_Equipos[NombreEquipo],0)))</f>
        <v>1</v>
      </c>
      <c r="BT27" s="769" t="str">
        <f ca="1">IF(COUNTIFS($BS$6:$BS$53,BS27,$BC$6:$BC$53,INDEX(T_Equipos[Grupo],MATCH(BD27,T_Equipos[NombreEquipo],0)))=1,"-","P."&amp;BS27&amp;" ("&amp;COUNTIFS($BS$6:$BS$53,BS27,$BC$6:$BC$53,INDEX(T_Equipos[Grupo],MATCH(BD27,T_Equipos[NombreEquipo],0)))&amp;")")</f>
        <v>P.1 (2)</v>
      </c>
      <c r="BU27" s="770">
        <f t="shared" ca="1" si="36"/>
        <v>0</v>
      </c>
      <c r="BV27" s="770">
        <f t="shared" ca="1" si="37"/>
        <v>1</v>
      </c>
      <c r="BW27" s="770">
        <f t="shared" ca="1" si="38"/>
        <v>0</v>
      </c>
      <c r="BX27" s="770">
        <f t="shared" ca="1" si="39"/>
        <v>1</v>
      </c>
      <c r="BY27" s="770">
        <f ca="1">BS27+COUNTIFS($BT$6:$BT$53,BT27,$BX$6:BX$53,"&gt;"&amp;BX27,$BC$6:$BC$53,INDEX(T_Equipos[Grupo],MATCH(BD27,T_Equipos[NombreEquipo],0)))</f>
        <v>1</v>
      </c>
      <c r="BZ27" s="769" t="str">
        <f ca="1">IF(COUNTIFS($BY$6:$BY$53,BY27,$BC$6:$BC$53,INDEX(T_Equipos[Grupo],MATCH(BD27,T_Equipos[NombreEquipo],0)))=1,"-","P."&amp;BY27&amp;" ("&amp;COUNTIFS($BY$6:$BY$53,BY27,$BC$6:$BC$53,INDEX(T_Equipos[Grupo],MATCH(BD27,T_Equipos[NombreEquipo],0)))&amp;")")</f>
        <v>P.1 (2)</v>
      </c>
      <c r="CA27" s="770">
        <f t="shared" ca="1" si="40"/>
        <v>2</v>
      </c>
      <c r="CB27" s="770">
        <f t="shared" ca="1" si="41"/>
        <v>2</v>
      </c>
      <c r="CC27" s="770">
        <f t="shared" ca="1" si="42"/>
        <v>0</v>
      </c>
      <c r="CD27" s="770">
        <f ca="1">BY27+COUNTIFS($BZ$6:$BZ$53,BZ27,$CC$6:CC$53,"&gt;"&amp;CC27,$BC$6:$BC$53,INDEX(T_Equipos[Grupo],MATCH(BD27,T_Equipos[NombreEquipo],0)))</f>
        <v>1</v>
      </c>
      <c r="CE27" s="769" t="str">
        <f ca="1">IF(COUNTIFS($CD$6:$CD$53,CD27,$BC$6:$BC$53,INDEX(T_Equipos[Grupo],MATCH(BD27,T_Equipos[NombreEquipo],0)))=1,"-","P."&amp;CD27&amp;" ("&amp;COUNTIFS($CD$6:$CD$53,CD27,$BC$6:$BC$53,INDEX(T_Equipos[Grupo],MATCH(BD27,T_Equipos[NombreEquipo],0)))&amp;")")</f>
        <v>P.1 (2)</v>
      </c>
      <c r="CF27" s="770">
        <f t="shared" ca="1" si="43"/>
        <v>2</v>
      </c>
      <c r="CG27" s="770">
        <f ca="1">CD27+COUNTIFS($CE$6:$CE$53,CE27,$CF$6:CF$53,"&gt;"&amp;CF27,$BC$6:$BC$53,INDEX(T_Equipos[Grupo],MATCH(BD27,T_Equipos[NombreEquipo],0)))</f>
        <v>1</v>
      </c>
      <c r="CH27" s="769" t="str">
        <f ca="1">IF(COUNTIFS($CG$6:$CG$53,CG27,$BC$6:$BC$53,INDEX(T_Equipos[Grupo],MATCH(BD27,T_Equipos[NombreEquipo],0)))=1,"-","P."&amp;CG27&amp;" ("&amp;COUNTIFS($CG$6:$CG$53,CG27,$BC$6:$BC$53,INDEX(T_Equipos[Grupo],MATCH(BD27,T_Equipos[NombreEquipo],0)))&amp;")")</f>
        <v>P.1 (2)</v>
      </c>
      <c r="CI27" s="770">
        <f t="shared" ca="1" si="44"/>
        <v>0</v>
      </c>
      <c r="CJ27" s="770">
        <f t="shared" ca="1" si="45"/>
        <v>1</v>
      </c>
      <c r="CK27" s="770">
        <f t="shared" ca="1" si="46"/>
        <v>0</v>
      </c>
      <c r="CL27" s="770">
        <f t="shared" ca="1" si="47"/>
        <v>1</v>
      </c>
      <c r="CM27" s="770">
        <f ca="1">CG27+COUNTIFS($CH$6:$CH$53,CH27,$CL$6:CL$53,"&gt;"&amp;CL27,$BC$6:$BC$53,INDEX(T_Equipos[Grupo],MATCH(BD27,T_Equipos[NombreEquipo],0)))</f>
        <v>1</v>
      </c>
      <c r="CN27" s="769" t="str">
        <f ca="1">IF(COUNTIFS($CM$6:$CM$53,CM27,$BC$6:$BC$53,INDEX(T_Equipos[Grupo],MATCH(BD27,T_Equipos[NombreEquipo],0)))=1,"-","P."&amp;CM27&amp;" ("&amp;COUNTIFS($CM$6:$CM$53,CM27,$BC$6:$BC$53,INDEX(T_Equipos[Grupo],MATCH(BD27,T_Equipos[NombreEquipo],0)))&amp;")")</f>
        <v>P.1 (2)</v>
      </c>
      <c r="CO27" s="770">
        <f t="shared" ca="1" si="48"/>
        <v>2</v>
      </c>
      <c r="CP27" s="770">
        <f t="shared" ca="1" si="49"/>
        <v>2</v>
      </c>
      <c r="CQ27" s="770">
        <f t="shared" ca="1" si="50"/>
        <v>0</v>
      </c>
      <c r="CR27" s="770">
        <f ca="1">CM27+COUNTIFS($CN$6:$CN$53,CN27,$CQ$6:CQ$53,"&gt;"&amp;CQ27,$BC$6:$BC$53,INDEX(T_Equipos[Grupo],MATCH(BD27,T_Equipos[NombreEquipo],0)))</f>
        <v>1</v>
      </c>
      <c r="CS27" s="769" t="str">
        <f ca="1">IF(COUNTIFS($CR$6:$CR$53,CR27,$BC$6:$BC$53,INDEX(T_Equipos[Grupo],MATCH(BD27,T_Equipos[NombreEquipo],0)))=1,"-","P."&amp;CR27&amp;" ("&amp;COUNTIFS($CR$6:$CR$53,CR27,$BC$6:$BC$53,INDEX(T_Equipos[Grupo],MATCH(BD27,T_Equipos[NombreEquipo],0)))&amp;")")</f>
        <v>P.1 (2)</v>
      </c>
      <c r="CT27" s="770">
        <f t="shared" ca="1" si="51"/>
        <v>2</v>
      </c>
      <c r="CU27" s="770">
        <f ca="1">CR27+COUNTIFS($CS$6:$CS$53,CS27,$CT$6:CT$53,"&gt;"&amp;CT27,$BC$6:$BC$53,INDEX(T_Equipos[Grupo],MATCH(BD27,T_Equipos[NombreEquipo],0)))</f>
        <v>1</v>
      </c>
      <c r="CV27" s="769" t="str">
        <f ca="1">IF(COUNTIFS($CU$6:$CU$53,CU27,$BC$6:$BC$53,INDEX(T_Equipos[Grupo],MATCH(BD27,T_Equipos[NombreEquipo],0)))=1,"-","P."&amp;CU27&amp;" ("&amp;COUNTIFS($CU$6:$CU$53,CU27,$BC$6:$BC$53,INDEX(T_Equipos[Grupo],MATCH(BD27,T_Equipos[NombreEquipo],0)))&amp;")")</f>
        <v>P.1 (2)</v>
      </c>
      <c r="CW27" s="769">
        <f t="shared" ca="1" si="30"/>
        <v>5</v>
      </c>
      <c r="CX27" s="769">
        <f ca="1">CU27+COUNTIFS($CV$6:$CV$53,CV27,$CW$6:CW$53,"&gt;"&amp;CW27,$BC$6:$BC$53,INDEX(T_Equipos[Grupo],MATCH(BD27,T_Equipos[NombreEquipo],0)))</f>
        <v>1</v>
      </c>
      <c r="CY27" s="769" t="str">
        <f ca="1">IF(COUNTIFS($CX$6:$CX$53,CX27,$BC$6:$BC$53,INDEX(T_Equipos[Grupo],MATCH(BD27,T_Equipos[NombreEquipo],0)))=1,"-","P."&amp;CX27&amp;" ("&amp;COUNTIFS($CX$6:$CX$53,CX27,$BC$6:$BC$53,INDEX(T_Equipos[Grupo],MATCH(BD27,T_Equipos[NombreEquipo],0)))&amp;")")</f>
        <v>-</v>
      </c>
      <c r="CZ27" s="769" t="str">
        <f t="shared" ca="1" si="31"/>
        <v>-</v>
      </c>
      <c r="DA27" s="770">
        <f ca="1">CX27+COUNTIFS($CY$6:$CY$53,CY27,$CZ$6:CZ$53,"&gt;"&amp;CZ27,$BC$6:$BC$53,INDEX(T_Equipos[Grupo],MATCH(BD27,T_Equipos[NombreEquipo],0)))</f>
        <v>1</v>
      </c>
      <c r="DB27" s="769" t="str">
        <f ca="1">IF(COUNTIFS($DA$6:$DA$53,DA27,$BC$6:$BC$53,INDEX(T_Equipos[Grupo],MATCH(BD27,T_Equipos[NombreEquipo],0)))=1,"-","P."&amp;DA27&amp;" ("&amp;COUNTIFS($DA$6:$DA$53,DA27,$BC$6:$BC$53,INDEX(T_Equipos[Grupo],MATCH(BD27,T_Equipos[NombreEquipo],0)))&amp;")")</f>
        <v>-</v>
      </c>
      <c r="DC27" s="768" t="str">
        <f ca="1">IF(DB27="-","-",COUNTIFS(T_Equipos[Rank],"&lt;"&amp;INDEX(T_Equipos[Rank],MATCH(BD27,T_Equipos[NombreEquipo],0)),$BC$6:$BC$53,INDEX(T_Equipos[Grupo],MATCH(BD27,T_Equipos[NombreEquipo],0)))+1)</f>
        <v>-</v>
      </c>
      <c r="DD27" s="768">
        <f ca="1">DA27+COUNTIFS($DB$6:$DB$53,DB27,$DC$6:DC$53,"&lt;"&amp;DC27,$BC$6:$BC$53,INDEX(T_Equipos[Grupo],MATCH(BD27,T_Equipos[NombreEquipo],0)))</f>
        <v>1</v>
      </c>
      <c r="DE27" s="768"/>
      <c r="DF27" s="768">
        <f t="shared" ca="1" si="52"/>
        <v>1</v>
      </c>
      <c r="DG27" s="768" t="str">
        <f ca="1">IF(DB27="-","-",COUNTIFS(DF$6:DF$53,"&lt;"&amp;DF27,$BC$6:$BC$53,INDEX(T_Equipos[Grupo],MATCH(BD27,T_Equipos[NombreEquipo],0))))</f>
        <v>-</v>
      </c>
      <c r="DH27" s="768">
        <f ca="1">DA27+COUNTIFS(DB$6:DB$53,DB27,DG$6:DG$53,"&lt;"&amp;DG27,$BC$6:$BC$53,INDEX(T_Equipos[Grupo],MATCH(BD27,T_Equipos[NombreEquipo],0)))</f>
        <v>1</v>
      </c>
      <c r="DI27" s="756"/>
      <c r="DJ27" s="756">
        <f t="shared" ca="1" si="53"/>
        <v>2</v>
      </c>
      <c r="DK27" s="756">
        <f t="shared" ca="1" si="24"/>
        <v>12</v>
      </c>
      <c r="DL27" s="756">
        <f t="shared" ca="1" si="33"/>
        <v>1</v>
      </c>
      <c r="DM27" s="750" t="str">
        <f t="shared" ca="1" si="34"/>
        <v>2.1</v>
      </c>
      <c r="DN27" s="756" cm="1">
        <f t="array" aca="1" ref="DN27" ca="1">OFFSET(Horarios!$P$3,DJ27-1,0,DL27,1)</f>
        <v>2</v>
      </c>
      <c r="DO27" s="756"/>
      <c r="DP27" s="756" t="s">
        <v>665</v>
      </c>
      <c r="DQ27" s="756" t="str">
        <f t="shared" ca="1" si="35"/>
        <v>Países Bajos</v>
      </c>
      <c r="DR27" s="756"/>
      <c r="DS27" s="756"/>
      <c r="DT27" s="756" t="str">
        <f t="shared" si="15"/>
        <v>Casa-Fuera</v>
      </c>
      <c r="DU27" s="756"/>
      <c r="DV27" s="756"/>
      <c r="DW27" s="8"/>
    </row>
    <row r="28" spans="1:127" ht="15" customHeight="1" thickBot="1">
      <c r="A28" s="753" t="s">
        <v>30</v>
      </c>
      <c r="B28" s="754" t="s">
        <v>73</v>
      </c>
      <c r="C28" s="755">
        <f>COUNTIF(Equipos!$C$2:$C$49,WORLDCUP!B28)</f>
        <v>4</v>
      </c>
      <c r="D28" s="756" t="str">
        <f t="shared" ref="D28:D33" si="94">IF(OR(AC28="",AD28=""),"Pendiente",IF(AC28&gt;AD28,"Local",IF(AC28&lt;AD28,"Visitante","Empate")))</f>
        <v>Empate</v>
      </c>
      <c r="E28" s="756" t="str">
        <f t="shared" ref="E28:E33" ca="1" si="95">IF(D28="Pendiente","-",INDEX($BT$6:$BT$53,MATCH($AA28,$BD$6:$BD$53,0)))</f>
        <v>-</v>
      </c>
      <c r="F28" s="756" t="str">
        <f t="shared" ref="F28:F33" ca="1" si="96">IF(D28="Pendiente","-",INDEX($BT$6:$BT$53,MATCH($AF28,$BD$6:$BD$53,0)))</f>
        <v>-</v>
      </c>
      <c r="G28" s="756"/>
      <c r="H28" s="756" t="str">
        <f t="shared" ref="H28:H33" ca="1" si="97">IF(D28="Pendiente","-",INDEX($BZ$6:$BZ$53,MATCH($AA28,$BD$6:$BD$53,0)))</f>
        <v>-</v>
      </c>
      <c r="I28" s="756" t="str">
        <f t="shared" ref="I28:I33" ca="1" si="98">IF(D28="Pendiente","-",INDEX($BZ$6:$BZ$53,MATCH($AF28,$BD$6:$BD$53,0)))</f>
        <v>-</v>
      </c>
      <c r="J28" s="756"/>
      <c r="K28" s="756" t="str">
        <f t="shared" ref="K28:K33" ca="1" si="99">IF(D28="Pendiente","-",INDEX($CE$6:$CE$53,MATCH($AA28,$BD$6:$BD$53,0)))</f>
        <v>-</v>
      </c>
      <c r="L28" s="756" t="str">
        <f t="shared" ref="L28:L33" ca="1" si="100">IF(D28="Pendiente","-",INDEX($CE$6:$CE$53,MATCH($AF28,$BD$6:$BD$53,0)))</f>
        <v>-</v>
      </c>
      <c r="M28" s="756"/>
      <c r="N28" s="756" t="str">
        <f t="shared" ref="N28:N33" ca="1" si="101">IF(D28="Pendiente","-",INDEX($CH$6:$CH$53,MATCH($AA28,$BD$6:$BD$53,0)))</f>
        <v>-</v>
      </c>
      <c r="O28" s="756" t="str">
        <f t="shared" ref="O28:O33" ca="1" si="102">IF(D28="Pendiente","-",INDEX($CH$6:$CH$53,MATCH($AF28,$BD$6:$BD$53,0)))</f>
        <v>-</v>
      </c>
      <c r="P28" s="756"/>
      <c r="Q28" s="756" t="str">
        <f t="shared" ref="Q28:Q33" ca="1" si="103">IF(D28="Pendiente","-",INDEX($CN$6:$CN$53,MATCH($AA28,$BD$6:$BD$53,0)))</f>
        <v>-</v>
      </c>
      <c r="R28" s="756" t="str">
        <f t="shared" ref="R28:R33" ca="1" si="104">IF(D28="Pendiente","-",INDEX($CN$6:$CN$53,MATCH($AF28,$BD$6:$BD$53,0)))</f>
        <v>-</v>
      </c>
      <c r="S28" s="756"/>
      <c r="T28" s="756" t="str">
        <f t="shared" ref="T28:T33" ca="1" si="105">IF(D28="Pendiente","-",INDEX($CS$6:$CS$53,MATCH($AA28,$BD$6:$BD$53,0)))</f>
        <v>-</v>
      </c>
      <c r="U28" s="756" t="str">
        <f t="shared" ref="U28:U33" ca="1" si="106">IF(D28="Pendiente","-",INDEX($CS$6:$CS$53,MATCH($AF28,$BD$6:$BD$53,0)))</f>
        <v>-</v>
      </c>
      <c r="V28" s="178"/>
      <c r="W28" s="843" t="s">
        <v>73</v>
      </c>
      <c r="X28" s="195">
        <f ca="1">Horarios!C28</f>
        <v>46185.791666666664</v>
      </c>
      <c r="Y28" s="196">
        <f ca="1">Horarios!C28</f>
        <v>46185.791666666664</v>
      </c>
      <c r="Z28" s="197" t="str">
        <f>$Z$4</f>
        <v>J1</v>
      </c>
      <c r="AA28" s="198" t="str">
        <f ca="1">A29</f>
        <v>Estados Unidos</v>
      </c>
      <c r="AB28" s="486" t="str" cm="1">
        <f t="array" aca="1" ref="AB28" ca="1">Ver_flag_local</f>
        <v/>
      </c>
      <c r="AC28" s="199">
        <v>1</v>
      </c>
      <c r="AD28" s="200">
        <v>1</v>
      </c>
      <c r="AE28" s="491" t="str" cm="1">
        <f t="array" aca="1" ref="AE28" ca="1">Ver_flag_visit</f>
        <v/>
      </c>
      <c r="AF28" s="201" t="str">
        <f ca="1">A30</f>
        <v>Paraguay</v>
      </c>
      <c r="AG28" s="421">
        <f t="shared" ref="AG28:AG33" si="107">IF(NOT(OR(ISBLANK(AC28),ISBLANK(AD28))),1,0)</f>
        <v>1</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3</v>
      </c>
      <c r="BF28" s="760">
        <f t="shared" ca="1" si="26"/>
        <v>3</v>
      </c>
      <c r="BG28" s="760">
        <f t="shared" ca="1" si="17"/>
        <v>1</v>
      </c>
      <c r="BH28" s="760">
        <f t="shared" ca="1" si="18"/>
        <v>0</v>
      </c>
      <c r="BI28" s="760">
        <f t="shared" ca="1" si="19"/>
        <v>2</v>
      </c>
      <c r="BJ28" s="760">
        <f t="shared" ca="1" si="20"/>
        <v>4</v>
      </c>
      <c r="BK28" s="760">
        <f t="shared" ca="1" si="21"/>
        <v>4</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3</v>
      </c>
      <c r="BS28" s="769">
        <f ca="1">BP28+COUNTIFS($BQ$6:$BQ$53,BQ28,$BR$6:BR$53,"&gt;"&amp;BR28,$BC$6:$BC$53,INDEX(T_Equipos[Grupo],MATCH(BD28,T_Equipos[NombreEquipo],0)))</f>
        <v>3</v>
      </c>
      <c r="BT28" s="769" t="str">
        <f ca="1">IF(COUNTIFS($BS$6:$BS$53,BS28,$BC$6:$BC$53,INDEX(T_Equipos[Grupo],MATCH(BD28,T_Equipos[NombreEquipo],0)))=1,"-","P."&amp;BS28&amp;" ("&amp;COUNTIFS($BS$6:$BS$53,BS28,$BC$6:$BC$53,INDEX(T_Equipos[Grupo],MATCH(BD28,T_Equipos[NombreEquipo],0)))&amp;")")</f>
        <v>-</v>
      </c>
      <c r="BU28" s="770" t="str">
        <f t="shared" ca="1" si="36"/>
        <v>-</v>
      </c>
      <c r="BV28" s="770" t="str">
        <f t="shared" ca="1" si="37"/>
        <v>-</v>
      </c>
      <c r="BW28" s="770" t="str">
        <f t="shared" ca="1" si="38"/>
        <v>-</v>
      </c>
      <c r="BX28" s="770" t="str">
        <f t="shared" ca="1" si="39"/>
        <v>-</v>
      </c>
      <c r="BY28" s="770">
        <f ca="1">BS28+COUNTIFS($BT$6:$BT$53,BT28,$BX$6:BX$53,"&gt;"&amp;BX28,$BC$6:$BC$53,INDEX(T_Equipos[Grupo],MATCH(BD28,T_Equipos[NombreEquipo],0)))</f>
        <v>3</v>
      </c>
      <c r="BZ28" s="769" t="str">
        <f ca="1">IF(COUNTIFS($BY$6:$BY$53,BY28,$BC$6:$BC$53,INDEX(T_Equipos[Grupo],MATCH(BD28,T_Equipos[NombreEquipo],0)))=1,"-","P."&amp;BY28&amp;" ("&amp;COUNTIFS($BY$6:$BY$53,BY28,$BC$6:$BC$53,INDEX(T_Equipos[Grupo],MATCH(BD28,T_Equipos[NombreEquipo],0)))&amp;")")</f>
        <v>-</v>
      </c>
      <c r="CA28" s="770" t="str">
        <f t="shared" ca="1" si="40"/>
        <v>-</v>
      </c>
      <c r="CB28" s="770" t="str">
        <f t="shared" ca="1" si="41"/>
        <v>-</v>
      </c>
      <c r="CC28" s="770" t="str">
        <f t="shared" ca="1" si="42"/>
        <v>-</v>
      </c>
      <c r="CD28" s="770">
        <f ca="1">BY28+COUNTIFS($BZ$6:$BZ$53,BZ28,$CC$6:CC$53,"&gt;"&amp;CC28,$BC$6:$BC$53,INDEX(T_Equipos[Grupo],MATCH(BD28,T_Equipos[NombreEquipo],0)))</f>
        <v>3</v>
      </c>
      <c r="CE28" s="769" t="str">
        <f ca="1">IF(COUNTIFS($CD$6:$CD$53,CD28,$BC$6:$BC$53,INDEX(T_Equipos[Grupo],MATCH(BD28,T_Equipos[NombreEquipo],0)))=1,"-","P."&amp;CD28&amp;" ("&amp;COUNTIFS($CD$6:$CD$53,CD28,$BC$6:$BC$53,INDEX(T_Equipos[Grupo],MATCH(BD28,T_Equipos[NombreEquipo],0)))&amp;")")</f>
        <v>-</v>
      </c>
      <c r="CF28" s="770" t="str">
        <f t="shared" ca="1" si="43"/>
        <v>-</v>
      </c>
      <c r="CG28" s="770">
        <f ca="1">CD28+COUNTIFS($CE$6:$CE$53,CE28,$CF$6:CF$53,"&gt;"&amp;CF28,$BC$6:$BC$53,INDEX(T_Equipos[Grupo],MATCH(BD28,T_Equipos[NombreEquipo],0)))</f>
        <v>3</v>
      </c>
      <c r="CH28" s="769" t="str">
        <f ca="1">IF(COUNTIFS($CG$6:$CG$53,CG28,$BC$6:$BC$53,INDEX(T_Equipos[Grupo],MATCH(BD28,T_Equipos[NombreEquipo],0)))=1,"-","P."&amp;CG28&amp;" ("&amp;COUNTIFS($CG$6:$CG$53,CG28,$BC$6:$BC$53,INDEX(T_Equipos[Grupo],MATCH(BD28,T_Equipos[NombreEquipo],0)))&amp;")")</f>
        <v>-</v>
      </c>
      <c r="CI28" s="770" t="str">
        <f t="shared" ca="1" si="44"/>
        <v>-</v>
      </c>
      <c r="CJ28" s="770" t="str">
        <f t="shared" ca="1" si="45"/>
        <v>-</v>
      </c>
      <c r="CK28" s="770" t="str">
        <f t="shared" ca="1" si="46"/>
        <v>-</v>
      </c>
      <c r="CL28" s="770" t="str">
        <f t="shared" ca="1" si="47"/>
        <v>-</v>
      </c>
      <c r="CM28" s="770">
        <f ca="1">CG28+COUNTIFS($CH$6:$CH$53,CH28,$CL$6:CL$53,"&gt;"&amp;CL28,$BC$6:$BC$53,INDEX(T_Equipos[Grupo],MATCH(BD28,T_Equipos[NombreEquipo],0)))</f>
        <v>3</v>
      </c>
      <c r="CN28" s="769" t="str">
        <f ca="1">IF(COUNTIFS($CM$6:$CM$53,CM28,$BC$6:$BC$53,INDEX(T_Equipos[Grupo],MATCH(BD28,T_Equipos[NombreEquipo],0)))=1,"-","P."&amp;CM28&amp;" ("&amp;COUNTIFS($CM$6:$CM$53,CM28,$BC$6:$BC$53,INDEX(T_Equipos[Grupo],MATCH(BD28,T_Equipos[NombreEquipo],0)))&amp;")")</f>
        <v>-</v>
      </c>
      <c r="CO28" s="770" t="str">
        <f t="shared" ca="1" si="48"/>
        <v>-</v>
      </c>
      <c r="CP28" s="770" t="str">
        <f t="shared" ca="1" si="49"/>
        <v>-</v>
      </c>
      <c r="CQ28" s="770" t="str">
        <f t="shared" ca="1" si="50"/>
        <v>-</v>
      </c>
      <c r="CR28" s="770">
        <f ca="1">CM28+COUNTIFS($CN$6:$CN$53,CN28,$CQ$6:CQ$53,"&gt;"&amp;CQ28,$BC$6:$BC$53,INDEX(T_Equipos[Grupo],MATCH(BD28,T_Equipos[NombreEquipo],0)))</f>
        <v>3</v>
      </c>
      <c r="CS28" s="769" t="str">
        <f ca="1">IF(COUNTIFS($CR$6:$CR$53,CR28,$BC$6:$BC$53,INDEX(T_Equipos[Grupo],MATCH(BD28,T_Equipos[NombreEquipo],0)))=1,"-","P."&amp;CR28&amp;" ("&amp;COUNTIFS($CR$6:$CR$53,CR28,$BC$6:$BC$53,INDEX(T_Equipos[Grupo],MATCH(BD28,T_Equipos[NombreEquipo],0)))&amp;")")</f>
        <v>-</v>
      </c>
      <c r="CT28" s="770" t="str">
        <f t="shared" ca="1" si="51"/>
        <v>-</v>
      </c>
      <c r="CU28" s="770">
        <f ca="1">CR28+COUNTIFS($CS$6:$CS$53,CS28,$CT$6:CT$53,"&gt;"&amp;CT28,$BC$6:$BC$53,INDEX(T_Equipos[Grupo],MATCH(BD28,T_Equipos[NombreEquipo],0)))</f>
        <v>3</v>
      </c>
      <c r="CV28" s="769" t="str">
        <f ca="1">IF(COUNTIFS($CU$6:$CU$53,CU28,$BC$6:$BC$53,INDEX(T_Equipos[Grupo],MATCH(BD28,T_Equipos[NombreEquipo],0)))=1,"-","P."&amp;CU28&amp;" ("&amp;COUNTIFS($CU$6:$CU$53,CU28,$BC$6:$BC$53,INDEX(T_Equipos[Grupo],MATCH(BD28,T_Equipos[NombreEquipo],0)))&amp;")")</f>
        <v>-</v>
      </c>
      <c r="CW28" s="769" t="str">
        <f t="shared" ca="1" si="30"/>
        <v>-</v>
      </c>
      <c r="CX28" s="769">
        <f ca="1">CU28+COUNTIFS($CV$6:$CV$53,CV28,$CW$6:CW$53,"&gt;"&amp;CW28,$BC$6:$BC$53,INDEX(T_Equipos[Grupo],MATCH(BD28,T_Equipos[NombreEquipo],0)))</f>
        <v>3</v>
      </c>
      <c r="CY28" s="769" t="str">
        <f ca="1">IF(COUNTIFS($CX$6:$CX$53,CX28,$BC$6:$BC$53,INDEX(T_Equipos[Grupo],MATCH(BD28,T_Equipos[NombreEquipo],0)))=1,"-","P."&amp;CX28&amp;" ("&amp;COUNTIFS($CX$6:$CX$53,CX28,$BC$6:$BC$53,INDEX(T_Equipos[Grupo],MATCH(BD28,T_Equipos[NombreEquipo],0)))&amp;")")</f>
        <v>-</v>
      </c>
      <c r="CZ28" s="769" t="str">
        <f t="shared" ca="1" si="31"/>
        <v>-</v>
      </c>
      <c r="DA28" s="770">
        <f ca="1">CX28+COUNTIFS($CY$6:$CY$53,CY28,$CZ$6:CZ$53,"&gt;"&amp;CZ28,$BC$6:$BC$53,INDEX(T_Equipos[Grupo],MATCH(BD28,T_Equipos[NombreEquipo],0)))</f>
        <v>3</v>
      </c>
      <c r="DB28" s="769" t="str">
        <f ca="1">IF(COUNTIFS($DA$6:$DA$53,DA28,$BC$6:$BC$53,INDEX(T_Equipos[Grupo],MATCH(BD28,T_Equipos[NombreEquipo],0)))=1,"-","P."&amp;DA28&amp;" ("&amp;COUNTIFS($DA$6:$DA$53,DA28,$BC$6:$BC$53,INDEX(T_Equipos[Grupo],MATCH(BD28,T_Equipos[NombreEquipo],0)))&amp;")")</f>
        <v>-</v>
      </c>
      <c r="DC28" s="768" t="str">
        <f ca="1">IF(DB28="-","-",COUNTIFS(T_Equipos[Rank],"&lt;"&amp;INDEX(T_Equipos[Rank],MATCH(BD28,T_Equipos[NombreEquipo],0)),$BC$6:$BC$53,INDEX(T_Equipos[Grupo],MATCH(BD28,T_Equipos[NombreEquipo],0)))+1)</f>
        <v>-</v>
      </c>
      <c r="DD28" s="768">
        <f ca="1">DA28+COUNTIFS($DB$6:$DB$53,DB28,$DC$6:DC$53,"&lt;"&amp;DC28,$BC$6:$BC$53,INDEX(T_Equipos[Grupo],MATCH(BD28,T_Equipos[NombreEquipo],0)))</f>
        <v>3</v>
      </c>
      <c r="DE28" s="768"/>
      <c r="DF28" s="768">
        <f t="shared" ca="1" si="52"/>
        <v>3</v>
      </c>
      <c r="DG28" s="768" t="str">
        <f ca="1">IF(DB28="-","-",COUNTIFS(DF$6:DF$53,"&lt;"&amp;DF28,$BC$6:$BC$53,INDEX(T_Equipos[Grupo],MATCH(BD28,T_Equipos[NombreEquipo],0))))</f>
        <v>-</v>
      </c>
      <c r="DH28" s="768">
        <f ca="1">DA28+COUNTIFS(DB$6:DB$53,DB28,DG$6:DG$53,"&lt;"&amp;DG28,$BC$6:$BC$53,INDEX(T_Equipos[Grupo],MATCH(BD28,T_Equipos[NombreEquipo],0)))</f>
        <v>3</v>
      </c>
      <c r="DI28" s="756"/>
      <c r="DJ28" s="756">
        <f t="shared" ca="1" si="53"/>
        <v>3</v>
      </c>
      <c r="DK28" s="756">
        <f t="shared" ca="1" si="24"/>
        <v>12</v>
      </c>
      <c r="DL28" s="756">
        <f t="shared" ca="1" si="33"/>
        <v>1</v>
      </c>
      <c r="DM28" s="750" t="str">
        <f t="shared" ca="1" si="34"/>
        <v>3.1</v>
      </c>
      <c r="DN28" s="756" cm="1">
        <f t="array" aca="1" ref="DN28" ca="1">OFFSET(Horarios!$P$3,DJ28-1,0,DL28,1)</f>
        <v>3</v>
      </c>
      <c r="DO28" s="756"/>
      <c r="DP28" s="756" t="s">
        <v>94</v>
      </c>
      <c r="DQ28" s="756" t="str">
        <f t="shared" ca="1" si="35"/>
        <v>Suecia</v>
      </c>
      <c r="DR28" s="756"/>
      <c r="DS28" s="756"/>
      <c r="DT28" s="756" t="str">
        <f t="shared" ca="1" si="15"/>
        <v>Estados Unidos-Paraguay</v>
      </c>
      <c r="DU28" s="756"/>
      <c r="DV28" s="756"/>
      <c r="DW28" s="8"/>
    </row>
    <row r="29" spans="1:127" ht="16" customHeight="1">
      <c r="A29" s="757" t="str">
        <f ca="1">+Equipos!B14</f>
        <v>Estados Unidos</v>
      </c>
      <c r="B29" s="754"/>
      <c r="C29" s="754"/>
      <c r="D29" s="756" t="str">
        <f t="shared" si="94"/>
        <v>Visitante</v>
      </c>
      <c r="E29" s="756" t="str">
        <f t="shared" ca="1" si="95"/>
        <v>-</v>
      </c>
      <c r="F29" s="756" t="str">
        <f t="shared" ca="1" si="96"/>
        <v>-</v>
      </c>
      <c r="G29" s="756"/>
      <c r="H29" s="756" t="str">
        <f t="shared" ca="1" si="97"/>
        <v>-</v>
      </c>
      <c r="I29" s="756" t="str">
        <f t="shared" ca="1" si="98"/>
        <v>-</v>
      </c>
      <c r="J29" s="756"/>
      <c r="K29" s="756" t="str">
        <f t="shared" ca="1" si="99"/>
        <v>-</v>
      </c>
      <c r="L29" s="756" t="str">
        <f t="shared" ca="1" si="100"/>
        <v>-</v>
      </c>
      <c r="M29" s="756"/>
      <c r="N29" s="756" t="str">
        <f t="shared" ca="1" si="101"/>
        <v>-</v>
      </c>
      <c r="O29" s="756" t="str">
        <f t="shared" ca="1" si="102"/>
        <v>-</v>
      </c>
      <c r="P29" s="756"/>
      <c r="Q29" s="756" t="str">
        <f t="shared" ca="1" si="103"/>
        <v>-</v>
      </c>
      <c r="R29" s="756" t="str">
        <f t="shared" ca="1" si="104"/>
        <v>-</v>
      </c>
      <c r="S29" s="756"/>
      <c r="T29" s="756" t="str">
        <f t="shared" ca="1" si="105"/>
        <v>-</v>
      </c>
      <c r="U29" s="756" t="str">
        <f t="shared" ca="1" si="106"/>
        <v>-</v>
      </c>
      <c r="V29" s="178"/>
      <c r="W29" s="843"/>
      <c r="X29" s="195">
        <f ca="1">Horarios!C29</f>
        <v>46186.916666666664</v>
      </c>
      <c r="Y29" s="196">
        <f ca="1">Horarios!C29</f>
        <v>46186.916666666664</v>
      </c>
      <c r="Z29" s="197" t="str">
        <f>$Z$4</f>
        <v>J1</v>
      </c>
      <c r="AA29" s="198" t="str">
        <f ca="1">A31</f>
        <v>Australia</v>
      </c>
      <c r="AB29" s="486" t="str" cm="1">
        <f t="array" aca="1" ref="AB29" ca="1">Ver_flag_local</f>
        <v/>
      </c>
      <c r="AC29" s="199">
        <v>2</v>
      </c>
      <c r="AD29" s="200">
        <v>3</v>
      </c>
      <c r="AE29" s="491" t="str" cm="1">
        <f t="array" aca="1" ref="AE29" ca="1">Ver_flag_visit</f>
        <v/>
      </c>
      <c r="AF29" s="201" t="str">
        <f ca="1">A32</f>
        <v>Turquía</v>
      </c>
      <c r="AG29" s="421">
        <f t="shared" si="107"/>
        <v>1</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3</v>
      </c>
      <c r="BG29" s="760">
        <f t="shared" ca="1" si="17"/>
        <v>0</v>
      </c>
      <c r="BH29" s="760">
        <f t="shared" ca="1" si="18"/>
        <v>0</v>
      </c>
      <c r="BI29" s="760">
        <f t="shared" ca="1" si="19"/>
        <v>3</v>
      </c>
      <c r="BJ29" s="760">
        <f t="shared" ca="1" si="20"/>
        <v>1</v>
      </c>
      <c r="BK29" s="760">
        <f t="shared" ca="1" si="21"/>
        <v>10</v>
      </c>
      <c r="BL29" s="760">
        <f t="shared" ca="1" si="27"/>
        <v>-9</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4</v>
      </c>
      <c r="BT29" s="769" t="str">
        <f ca="1">IF(COUNTIFS($BS$6:$BS$53,BS29,$BC$6:$BC$53,INDEX(T_Equipos[Grupo],MATCH(BD29,T_Equipos[NombreEquipo],0)))=1,"-","P."&amp;BS29&amp;" ("&amp;COUNTIFS($BS$6:$BS$53,BS29,$BC$6:$BC$53,INDEX(T_Equipos[Grupo],MATCH(BD29,T_Equipos[NombreEquipo],0)))&amp;")")</f>
        <v>-</v>
      </c>
      <c r="BU29" s="770" t="str">
        <f t="shared" ca="1" si="36"/>
        <v>-</v>
      </c>
      <c r="BV29" s="770" t="str">
        <f t="shared" ca="1" si="37"/>
        <v>-</v>
      </c>
      <c r="BW29" s="770" t="str">
        <f t="shared" ca="1" si="38"/>
        <v>-</v>
      </c>
      <c r="BX29" s="770" t="str">
        <f t="shared" ca="1" si="39"/>
        <v>-</v>
      </c>
      <c r="BY29" s="770">
        <f ca="1">BS29+COUNTIFS($BT$6:$BT$53,BT29,$BX$6:BX$53,"&gt;"&amp;BX29,$BC$6:$BC$53,INDEX(T_Equipos[Grupo],MATCH(BD29,T_Equipos[NombreEquipo],0)))</f>
        <v>4</v>
      </c>
      <c r="BZ29" s="769" t="str">
        <f ca="1">IF(COUNTIFS($BY$6:$BY$53,BY29,$BC$6:$BC$53,INDEX(T_Equipos[Grupo],MATCH(BD29,T_Equipos[NombreEquipo],0)))=1,"-","P."&amp;BY29&amp;" ("&amp;COUNTIFS($BY$6:$BY$53,BY29,$BC$6:$BC$53,INDEX(T_Equipos[Grupo],MATCH(BD29,T_Equipos[NombreEquipo],0)))&amp;")")</f>
        <v>-</v>
      </c>
      <c r="CA29" s="770" t="str">
        <f t="shared" ca="1" si="40"/>
        <v>-</v>
      </c>
      <c r="CB29" s="770" t="str">
        <f t="shared" ca="1" si="41"/>
        <v>-</v>
      </c>
      <c r="CC29" s="770" t="str">
        <f t="shared" ca="1" si="42"/>
        <v>-</v>
      </c>
      <c r="CD29" s="770">
        <f ca="1">BY29+COUNTIFS($BZ$6:$BZ$53,BZ29,$CC$6:CC$53,"&gt;"&amp;CC29,$BC$6:$BC$53,INDEX(T_Equipos[Grupo],MATCH(BD29,T_Equipos[NombreEquipo],0)))</f>
        <v>4</v>
      </c>
      <c r="CE29" s="769" t="str">
        <f ca="1">IF(COUNTIFS($CD$6:$CD$53,CD29,$BC$6:$BC$53,INDEX(T_Equipos[Grupo],MATCH(BD29,T_Equipos[NombreEquipo],0)))=1,"-","P."&amp;CD29&amp;" ("&amp;COUNTIFS($CD$6:$CD$53,CD29,$BC$6:$BC$53,INDEX(T_Equipos[Grupo],MATCH(BD29,T_Equipos[NombreEquipo],0)))&amp;")")</f>
        <v>-</v>
      </c>
      <c r="CF29" s="770" t="str">
        <f t="shared" ca="1" si="43"/>
        <v>-</v>
      </c>
      <c r="CG29" s="770">
        <f ca="1">CD29+COUNTIFS($CE$6:$CE$53,CE29,$CF$6:CF$53,"&gt;"&amp;CF29,$BC$6:$BC$53,INDEX(T_Equipos[Grupo],MATCH(BD29,T_Equipos[NombreEquipo],0)))</f>
        <v>4</v>
      </c>
      <c r="CH29" s="769" t="str">
        <f ca="1">IF(COUNTIFS($CG$6:$CG$53,CG29,$BC$6:$BC$53,INDEX(T_Equipos[Grupo],MATCH(BD29,T_Equipos[NombreEquipo],0)))=1,"-","P."&amp;CG29&amp;" ("&amp;COUNTIFS($CG$6:$CG$53,CG29,$BC$6:$BC$53,INDEX(T_Equipos[Grupo],MATCH(BD29,T_Equipos[NombreEquipo],0)))&amp;")")</f>
        <v>-</v>
      </c>
      <c r="CI29" s="770" t="str">
        <f t="shared" ca="1" si="44"/>
        <v>-</v>
      </c>
      <c r="CJ29" s="770" t="str">
        <f t="shared" ca="1" si="45"/>
        <v>-</v>
      </c>
      <c r="CK29" s="770" t="str">
        <f t="shared" ca="1" si="46"/>
        <v>-</v>
      </c>
      <c r="CL29" s="770" t="str">
        <f t="shared" ca="1" si="47"/>
        <v>-</v>
      </c>
      <c r="CM29" s="770">
        <f ca="1">CG29+COUNTIFS($CH$6:$CH$53,CH29,$CL$6:CL$53,"&gt;"&amp;CL29,$BC$6:$BC$53,INDEX(T_Equipos[Grupo],MATCH(BD29,T_Equipos[NombreEquipo],0)))</f>
        <v>4</v>
      </c>
      <c r="CN29" s="769" t="str">
        <f ca="1">IF(COUNTIFS($CM$6:$CM$53,CM29,$BC$6:$BC$53,INDEX(T_Equipos[Grupo],MATCH(BD29,T_Equipos[NombreEquipo],0)))=1,"-","P."&amp;CM29&amp;" ("&amp;COUNTIFS($CM$6:$CM$53,CM29,$BC$6:$BC$53,INDEX(T_Equipos[Grupo],MATCH(BD29,T_Equipos[NombreEquipo],0)))&amp;")")</f>
        <v>-</v>
      </c>
      <c r="CO29" s="770" t="str">
        <f t="shared" ca="1" si="48"/>
        <v>-</v>
      </c>
      <c r="CP29" s="770" t="str">
        <f t="shared" ca="1" si="49"/>
        <v>-</v>
      </c>
      <c r="CQ29" s="770" t="str">
        <f t="shared" ca="1" si="50"/>
        <v>-</v>
      </c>
      <c r="CR29" s="770">
        <f ca="1">CM29+COUNTIFS($CN$6:$CN$53,CN29,$CQ$6:CQ$53,"&gt;"&amp;CQ29,$BC$6:$BC$53,INDEX(T_Equipos[Grupo],MATCH(BD29,T_Equipos[NombreEquipo],0)))</f>
        <v>4</v>
      </c>
      <c r="CS29" s="769" t="str">
        <f ca="1">IF(COUNTIFS($CR$6:$CR$53,CR29,$BC$6:$BC$53,INDEX(T_Equipos[Grupo],MATCH(BD29,T_Equipos[NombreEquipo],0)))=1,"-","P."&amp;CR29&amp;" ("&amp;COUNTIFS($CR$6:$CR$53,CR29,$BC$6:$BC$53,INDEX(T_Equipos[Grupo],MATCH(BD29,T_Equipos[NombreEquipo],0)))&amp;")")</f>
        <v>-</v>
      </c>
      <c r="CT29" s="770" t="str">
        <f t="shared" ca="1" si="51"/>
        <v>-</v>
      </c>
      <c r="CU29" s="770">
        <f ca="1">CR29+COUNTIFS($CS$6:$CS$53,CS29,$CT$6:CT$53,"&gt;"&amp;CT29,$BC$6:$BC$53,INDEX(T_Equipos[Grupo],MATCH(BD29,T_Equipos[NombreEquipo],0)))</f>
        <v>4</v>
      </c>
      <c r="CV29" s="769" t="str">
        <f ca="1">IF(COUNTIFS($CU$6:$CU$53,CU29,$BC$6:$BC$53,INDEX(T_Equipos[Grupo],MATCH(BD29,T_Equipos[NombreEquipo],0)))=1,"-","P."&amp;CU29&amp;" ("&amp;COUNTIFS($CU$6:$CU$53,CU29,$BC$6:$BC$53,INDEX(T_Equipos[Grupo],MATCH(BD29,T_Equipos[NombreEquipo],0)))&amp;")")</f>
        <v>-</v>
      </c>
      <c r="CW29" s="769" t="str">
        <f t="shared" ca="1" si="30"/>
        <v>-</v>
      </c>
      <c r="CX29" s="769">
        <f ca="1">CU29+COUNTIFS($CV$6:$CV$53,CV29,$CW$6:CW$53,"&gt;"&amp;CW29,$BC$6:$BC$53,INDEX(T_Equipos[Grupo],MATCH(BD29,T_Equipos[NombreEquipo],0)))</f>
        <v>4</v>
      </c>
      <c r="CY29" s="769" t="str">
        <f ca="1">IF(COUNTIFS($CX$6:$CX$53,CX29,$BC$6:$BC$53,INDEX(T_Equipos[Grupo],MATCH(BD29,T_Equipos[NombreEquipo],0)))=1,"-","P."&amp;CX29&amp;" ("&amp;COUNTIFS($CX$6:$CX$53,CX29,$BC$6:$BC$53,INDEX(T_Equipos[Grupo],MATCH(BD29,T_Equipos[NombreEquipo],0)))&amp;")")</f>
        <v>-</v>
      </c>
      <c r="CZ29" s="769" t="str">
        <f t="shared" ca="1" si="31"/>
        <v>-</v>
      </c>
      <c r="DA29" s="770">
        <f ca="1">CX29+COUNTIFS($CY$6:$CY$53,CY29,$CZ$6:CZ$53,"&gt;"&amp;CZ29,$BC$6:$BC$53,INDEX(T_Equipos[Grupo],MATCH(BD29,T_Equipos[NombreEquipo],0)))</f>
        <v>4</v>
      </c>
      <c r="DB29" s="769" t="str">
        <f ca="1">IF(COUNTIFS($DA$6:$DA$53,DA29,$BC$6:$BC$53,INDEX(T_Equipos[Grupo],MATCH(BD29,T_Equipos[NombreEquipo],0)))=1,"-","P."&amp;DA29&amp;" ("&amp;COUNTIFS($DA$6:$DA$53,DA29,$BC$6:$BC$53,INDEX(T_Equipos[Grupo],MATCH(BD29,T_Equipos[NombreEquipo],0)))&amp;")")</f>
        <v>-</v>
      </c>
      <c r="DC29" s="768" t="str">
        <f ca="1">IF(DB29="-","-",COUNTIFS(T_Equipos[Rank],"&lt;"&amp;INDEX(T_Equipos[Rank],MATCH(BD29,T_Equipos[NombreEquipo],0)),$BC$6:$BC$53,INDEX(T_Equipos[Grupo],MATCH(BD29,T_Equipos[NombreEquipo],0)))+1)</f>
        <v>-</v>
      </c>
      <c r="DD29" s="768">
        <f ca="1">DA29+COUNTIFS($DB$6:$DB$53,DB29,$DC$6:DC$53,"&lt;"&amp;DC29,$BC$6:$BC$53,INDEX(T_Equipos[Grupo],MATCH(BD29,T_Equipos[NombreEquipo],0)))</f>
        <v>4</v>
      </c>
      <c r="DE29" s="768"/>
      <c r="DF29" s="768">
        <f t="shared" ca="1" si="52"/>
        <v>4</v>
      </c>
      <c r="DG29" s="768" t="str">
        <f ca="1">IF(DB29="-","-",COUNTIFS(DF$6:DF$53,"&lt;"&amp;DF29,$BC$6:$BC$53,INDEX(T_Equipos[Grupo],MATCH(BD29,T_Equipos[NombreEquipo],0))))</f>
        <v>-</v>
      </c>
      <c r="DH29" s="768">
        <f ca="1">DA29+COUNTIFS(DB$6:DB$53,DB29,DG$6:DG$53,"&lt;"&amp;DG29,$BC$6:$BC$53,INDEX(T_Equipos[Grupo],MATCH(BD29,T_Equipos[NombreEquipo],0)))</f>
        <v>4</v>
      </c>
      <c r="DI29" s="756"/>
      <c r="DJ29" s="756">
        <f t="shared" ca="1" si="53"/>
        <v>4</v>
      </c>
      <c r="DK29" s="756">
        <f t="shared" ca="1" si="24"/>
        <v>12</v>
      </c>
      <c r="DL29" s="756">
        <f t="shared" ca="1" si="33"/>
        <v>1</v>
      </c>
      <c r="DM29" s="750" t="str">
        <f t="shared" ca="1" si="34"/>
        <v>4.1</v>
      </c>
      <c r="DN29" s="756" cm="1">
        <f t="array" aca="1" ref="DN29" ca="1">OFFSET(Horarios!$P$3,DJ29-1,0,DL29,1)</f>
        <v>4</v>
      </c>
      <c r="DO29" s="756"/>
      <c r="DP29" s="756" t="s">
        <v>666</v>
      </c>
      <c r="DQ29" s="756" t="str">
        <f t="shared" ca="1" si="35"/>
        <v>Túnez</v>
      </c>
      <c r="DR29" s="756"/>
      <c r="DS29" s="756"/>
      <c r="DT29" s="756" t="str">
        <f t="shared" ca="1" si="15"/>
        <v>Australia-Turquía</v>
      </c>
      <c r="DU29" s="756"/>
      <c r="DV29" s="756"/>
      <c r="DW29" s="8"/>
    </row>
    <row r="30" spans="1:127" ht="16" customHeight="1">
      <c r="A30" s="757" t="str">
        <f ca="1">+Equipos!B15</f>
        <v>Paraguay</v>
      </c>
      <c r="B30" s="754"/>
      <c r="C30" s="758"/>
      <c r="D30" s="756" t="str">
        <f t="shared" si="94"/>
        <v>Local</v>
      </c>
      <c r="E30" s="756" t="str">
        <f t="shared" ca="1" si="95"/>
        <v>-</v>
      </c>
      <c r="F30" s="756" t="str">
        <f t="shared" ca="1" si="96"/>
        <v>-</v>
      </c>
      <c r="G30" s="756"/>
      <c r="H30" s="756" t="str">
        <f t="shared" ca="1" si="97"/>
        <v>-</v>
      </c>
      <c r="I30" s="756" t="str">
        <f t="shared" ca="1" si="98"/>
        <v>-</v>
      </c>
      <c r="J30" s="756"/>
      <c r="K30" s="756" t="str">
        <f t="shared" ca="1" si="99"/>
        <v>-</v>
      </c>
      <c r="L30" s="756" t="str">
        <f t="shared" ca="1" si="100"/>
        <v>-</v>
      </c>
      <c r="M30" s="756"/>
      <c r="N30" s="756" t="str">
        <f t="shared" ca="1" si="101"/>
        <v>-</v>
      </c>
      <c r="O30" s="756" t="str">
        <f t="shared" ca="1" si="102"/>
        <v>-</v>
      </c>
      <c r="P30" s="756"/>
      <c r="Q30" s="756" t="str">
        <f t="shared" ca="1" si="103"/>
        <v>-</v>
      </c>
      <c r="R30" s="756" t="str">
        <f t="shared" ca="1" si="104"/>
        <v>-</v>
      </c>
      <c r="S30" s="756"/>
      <c r="T30" s="756" t="str">
        <f t="shared" ca="1" si="105"/>
        <v>-</v>
      </c>
      <c r="U30" s="756" t="str">
        <f t="shared" ca="1" si="106"/>
        <v>-</v>
      </c>
      <c r="V30" s="178"/>
      <c r="W30" s="843"/>
      <c r="X30" s="195">
        <f ca="1">Horarios!C30</f>
        <v>46192.541666666664</v>
      </c>
      <c r="Y30" s="196">
        <f ca="1">Horarios!C30</f>
        <v>46192.541666666664</v>
      </c>
      <c r="Z30" s="197" t="str">
        <f>$Z$6</f>
        <v>J2</v>
      </c>
      <c r="AA30" s="198" t="str">
        <f ca="1">A29</f>
        <v>Estados Unidos</v>
      </c>
      <c r="AB30" s="486" t="str" cm="1">
        <f t="array" aca="1" ref="AB30" ca="1">Ver_flag_local</f>
        <v/>
      </c>
      <c r="AC30" s="199">
        <v>1</v>
      </c>
      <c r="AD30" s="200">
        <v>0</v>
      </c>
      <c r="AE30" s="491" t="str" cm="1">
        <f t="array" aca="1" ref="AE30" ca="1">Ver_flag_visit</f>
        <v/>
      </c>
      <c r="AF30" s="201" t="str">
        <f ca="1">A31</f>
        <v>Australia</v>
      </c>
      <c r="AG30" s="421">
        <f t="shared" si="107"/>
        <v>1</v>
      </c>
      <c r="AH30" s="202">
        <v>32</v>
      </c>
      <c r="AI30" s="19" t="str">
        <f>AJ30&amp;$B$28</f>
        <v>1D</v>
      </c>
      <c r="AJ30" s="217">
        <v>1</v>
      </c>
      <c r="AK30" s="496" t="str" cm="1">
        <f t="array" aca="1" ref="AK30" ca="1">Ver_flag_visit</f>
        <v/>
      </c>
      <c r="AL30" s="218" t="str">
        <f ca="1">IFERROR(INDEX($BD$6:$BD$53,MATCH(AI30,$BN$6:$BN$53,0)),"")</f>
        <v>Turquía</v>
      </c>
      <c r="AM30" s="219">
        <f t="shared" ref="AM30:AT33" ca="1" si="111">INDEX($BE$6:$BN$53,MATCH($AL30,$BD$6:$BD$53,0),MATCH(AM$5,$BE$5:$BN$5,0))</f>
        <v>7</v>
      </c>
      <c r="AN30" s="220">
        <f t="shared" ca="1" si="111"/>
        <v>3</v>
      </c>
      <c r="AO30" s="220">
        <f t="shared" ca="1" si="111"/>
        <v>2</v>
      </c>
      <c r="AP30" s="220">
        <f t="shared" ca="1" si="111"/>
        <v>1</v>
      </c>
      <c r="AQ30" s="220">
        <f t="shared" ca="1" si="111"/>
        <v>0</v>
      </c>
      <c r="AR30" s="220">
        <f t="shared" ca="1" si="111"/>
        <v>7</v>
      </c>
      <c r="AS30" s="220">
        <f t="shared" ca="1" si="111"/>
        <v>4</v>
      </c>
      <c r="AT30" s="221">
        <f t="shared" ca="1" si="111"/>
        <v>3</v>
      </c>
      <c r="AU30" s="428">
        <f ca="1">INDEX($DL$6:$DL$53,MATCH(AI30,$DP$6:$DP$53,0))</f>
        <v>1</v>
      </c>
      <c r="AV30" s="223" t="str">
        <f ca="1">INDEX($BD$6:$BD$53,MATCH(AI30,$BM$6:$BM$53,0))</f>
        <v>Turquía</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9</v>
      </c>
      <c r="BF30" s="760">
        <f t="shared" ca="1" si="26"/>
        <v>3</v>
      </c>
      <c r="BG30" s="760">
        <f t="shared" ca="1" si="17"/>
        <v>3</v>
      </c>
      <c r="BH30" s="760">
        <f t="shared" ca="1" si="18"/>
        <v>0</v>
      </c>
      <c r="BI30" s="760">
        <f t="shared" ca="1" si="19"/>
        <v>0</v>
      </c>
      <c r="BJ30" s="760">
        <f t="shared" ca="1" si="20"/>
        <v>8</v>
      </c>
      <c r="BK30" s="760">
        <f t="shared" ca="1" si="21"/>
        <v>1</v>
      </c>
      <c r="BL30" s="760">
        <f t="shared" ca="1" si="27"/>
        <v>7</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9</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v>
      </c>
      <c r="BU30" s="770" t="str">
        <f t="shared" ca="1" si="36"/>
        <v>-</v>
      </c>
      <c r="BV30" s="770" t="str">
        <f t="shared" ca="1" si="37"/>
        <v>-</v>
      </c>
      <c r="BW30" s="770" t="str">
        <f t="shared" ca="1" si="38"/>
        <v>-</v>
      </c>
      <c r="BX30" s="770" t="str">
        <f t="shared" ca="1" si="39"/>
        <v>-</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v>
      </c>
      <c r="CA30" s="770" t="str">
        <f t="shared" ca="1" si="40"/>
        <v>-</v>
      </c>
      <c r="CB30" s="770" t="str">
        <f t="shared" ca="1" si="41"/>
        <v>-</v>
      </c>
      <c r="CC30" s="770" t="str">
        <f t="shared" ca="1" si="42"/>
        <v>-</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v>
      </c>
      <c r="CF30" s="770" t="str">
        <f t="shared" ca="1" si="43"/>
        <v>-</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v>
      </c>
      <c r="CI30" s="770" t="str">
        <f t="shared" ca="1" si="44"/>
        <v>-</v>
      </c>
      <c r="CJ30" s="770" t="str">
        <f t="shared" ca="1" si="45"/>
        <v>-</v>
      </c>
      <c r="CK30" s="770" t="str">
        <f t="shared" ca="1" si="46"/>
        <v>-</v>
      </c>
      <c r="CL30" s="770" t="str">
        <f t="shared" ca="1" si="47"/>
        <v>-</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v>
      </c>
      <c r="CO30" s="770" t="str">
        <f t="shared" ca="1" si="48"/>
        <v>-</v>
      </c>
      <c r="CP30" s="770" t="str">
        <f t="shared" ca="1" si="49"/>
        <v>-</v>
      </c>
      <c r="CQ30" s="770" t="str">
        <f t="shared" ca="1" si="50"/>
        <v>-</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v>
      </c>
      <c r="CT30" s="770" t="str">
        <f t="shared" ca="1" si="51"/>
        <v>-</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v>
      </c>
      <c r="CW30" s="769" t="str">
        <f t="shared" ca="1" si="30"/>
        <v>-</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v>
      </c>
      <c r="CZ30" s="769" t="str">
        <f t="shared" ca="1" si="31"/>
        <v>-</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v>
      </c>
      <c r="DC30" s="768" t="str">
        <f ca="1">IF(DB30="-","-",COUNTIFS(T_Equipos[Rank],"&lt;"&amp;INDEX(T_Equipos[Rank],MATCH(BD30,T_Equipos[NombreEquipo],0)),$BC$6:$BC$53,INDEX(T_Equipos[Grupo],MATCH(BD30,T_Equipos[NombreEquipo],0)))+1)</f>
        <v>-</v>
      </c>
      <c r="DD30" s="768">
        <f ca="1">DA30+COUNTIFS($DB$6:$DB$53,DB30,$DC$6:DC$53,"&lt;"&amp;DC30,$BC$6:$BC$53,INDEX(T_Equipos[Grupo],MATCH(BD30,T_Equipos[NombreEquipo],0)))</f>
        <v>1</v>
      </c>
      <c r="DE30" s="768"/>
      <c r="DF30" s="768">
        <f t="shared" ca="1" si="52"/>
        <v>1</v>
      </c>
      <c r="DG30" s="768" t="str">
        <f ca="1">IF(DB30="-","-",COUNTIFS(DF$6:DF$53,"&lt;"&amp;DF30,$BC$6:$BC$53,INDEX(T_Equipos[Grupo],MATCH(BD30,T_Equipos[NombreEquipo],0))))</f>
        <v>-</v>
      </c>
      <c r="DH30" s="768">
        <f ca="1">DA30+COUNTIFS(DB$6:DB$53,DB30,DG$6:DG$53,"&lt;"&amp;DG30,$BC$6:$BC$53,INDEX(T_Equipos[Grupo],MATCH(BD30,T_Equipos[NombreEquipo],0)))</f>
        <v>1</v>
      </c>
      <c r="DI30" s="756"/>
      <c r="DJ30" s="756">
        <f t="shared" ca="1" si="53"/>
        <v>1</v>
      </c>
      <c r="DK30" s="756">
        <f t="shared" ca="1" si="24"/>
        <v>12</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c r="A31" s="757" t="str">
        <f ca="1">+Equipos!B16</f>
        <v>Australia</v>
      </c>
      <c r="B31" s="754"/>
      <c r="C31" s="756"/>
      <c r="D31" s="756" t="str">
        <f t="shared" si="94"/>
        <v>Local</v>
      </c>
      <c r="E31" s="756" t="str">
        <f t="shared" ca="1" si="95"/>
        <v>-</v>
      </c>
      <c r="F31" s="756" t="str">
        <f t="shared" ca="1" si="96"/>
        <v>-</v>
      </c>
      <c r="G31" s="756"/>
      <c r="H31" s="756" t="str">
        <f t="shared" ca="1" si="97"/>
        <v>-</v>
      </c>
      <c r="I31" s="756" t="str">
        <f t="shared" ca="1" si="98"/>
        <v>-</v>
      </c>
      <c r="J31" s="756"/>
      <c r="K31" s="756" t="str">
        <f t="shared" ca="1" si="99"/>
        <v>-</v>
      </c>
      <c r="L31" s="756" t="str">
        <f t="shared" ca="1" si="100"/>
        <v>-</v>
      </c>
      <c r="M31" s="756"/>
      <c r="N31" s="756" t="str">
        <f t="shared" ca="1" si="101"/>
        <v>-</v>
      </c>
      <c r="O31" s="756" t="str">
        <f t="shared" ca="1" si="102"/>
        <v>-</v>
      </c>
      <c r="P31" s="756"/>
      <c r="Q31" s="756" t="str">
        <f t="shared" ca="1" si="103"/>
        <v>-</v>
      </c>
      <c r="R31" s="756" t="str">
        <f t="shared" ca="1" si="104"/>
        <v>-</v>
      </c>
      <c r="S31" s="756"/>
      <c r="T31" s="756" t="str">
        <f t="shared" ca="1" si="105"/>
        <v>-</v>
      </c>
      <c r="U31" s="756" t="str">
        <f t="shared" ca="1" si="106"/>
        <v>-</v>
      </c>
      <c r="V31" s="178"/>
      <c r="W31" s="843"/>
      <c r="X31" s="195">
        <f ca="1">Horarios!C31</f>
        <v>46192.875</v>
      </c>
      <c r="Y31" s="196">
        <f ca="1">Horarios!C31</f>
        <v>46192.875</v>
      </c>
      <c r="Z31" s="197" t="str">
        <f>$Z$6</f>
        <v>J2</v>
      </c>
      <c r="AA31" s="198" t="str">
        <f ca="1">A32</f>
        <v>Turquía</v>
      </c>
      <c r="AB31" s="486" t="str" cm="1">
        <f t="array" aca="1" ref="AB31" ca="1">Ver_flag_local</f>
        <v/>
      </c>
      <c r="AC31" s="199">
        <v>3</v>
      </c>
      <c r="AD31" s="200">
        <v>1</v>
      </c>
      <c r="AE31" s="491" t="str" cm="1">
        <f t="array" aca="1" ref="AE31" ca="1">Ver_flag_visit</f>
        <v/>
      </c>
      <c r="AF31" s="201" t="str">
        <f ca="1">A30</f>
        <v>Paraguay</v>
      </c>
      <c r="AG31" s="421">
        <f t="shared" si="107"/>
        <v>1</v>
      </c>
      <c r="AH31" s="202">
        <v>31</v>
      </c>
      <c r="AI31" s="19" t="str">
        <f t="shared" ref="AI31:AI33" si="112">AJ31&amp;$B$28</f>
        <v>2D</v>
      </c>
      <c r="AJ31" s="227">
        <v>2</v>
      </c>
      <c r="AK31" s="494" t="str" cm="1">
        <f t="array" aca="1" ref="AK31" ca="1">Ver_flag_visit</f>
        <v/>
      </c>
      <c r="AL31" s="228" t="str">
        <f ca="1">IFERROR(INDEX($BD$6:$BD$53,MATCH(AI31,$BN$6:$BN$53,0)),"")</f>
        <v>Estados Unidos</v>
      </c>
      <c r="AM31" s="229">
        <f t="shared" ca="1" si="111"/>
        <v>5</v>
      </c>
      <c r="AN31" s="230">
        <f t="shared" ca="1" si="111"/>
        <v>3</v>
      </c>
      <c r="AO31" s="230">
        <f t="shared" ca="1" si="111"/>
        <v>1</v>
      </c>
      <c r="AP31" s="230">
        <f t="shared" ca="1" si="111"/>
        <v>2</v>
      </c>
      <c r="AQ31" s="230">
        <f t="shared" ca="1" si="111"/>
        <v>0</v>
      </c>
      <c r="AR31" s="230">
        <f t="shared" ca="1" si="111"/>
        <v>3</v>
      </c>
      <c r="AS31" s="230">
        <f t="shared" ca="1" si="111"/>
        <v>2</v>
      </c>
      <c r="AT31" s="231">
        <f t="shared" ca="1" si="111"/>
        <v>1</v>
      </c>
      <c r="AU31" s="428">
        <f ca="1">INDEX($DL$6:$DL$53,MATCH(AI31,$DP$6:$DP$53,0))</f>
        <v>1</v>
      </c>
      <c r="AV31" s="223" t="str">
        <f ca="1">INDEX($BD$6:$BD$53,MATCH(AI31,$BM$6:$BM$53,0))</f>
        <v>Estados Unidos</v>
      </c>
      <c r="AW31" s="435"/>
      <c r="AX31" s="224"/>
      <c r="AY31" s="232" t="str">
        <f ca="1">+A30</f>
        <v>Paraguay</v>
      </c>
      <c r="AZ31" s="233"/>
      <c r="BA31" s="181"/>
      <c r="BB31" s="756"/>
      <c r="BC31" s="768" t="str">
        <f ca="1">+INDEX(T_Equipos[Grupo],MATCH(WORLDCUP!BD31,T_Equipos[NombreEquipo],0))</f>
        <v>G</v>
      </c>
      <c r="BD31" s="756" t="str">
        <f ca="1">+Equipos!B27</f>
        <v>Egipto</v>
      </c>
      <c r="BE31" s="760">
        <f t="shared" ca="1" si="25"/>
        <v>2</v>
      </c>
      <c r="BF31" s="760">
        <f t="shared" ca="1" si="26"/>
        <v>3</v>
      </c>
      <c r="BG31" s="760">
        <f t="shared" ca="1" si="17"/>
        <v>0</v>
      </c>
      <c r="BH31" s="760">
        <f t="shared" ca="1" si="18"/>
        <v>2</v>
      </c>
      <c r="BI31" s="760">
        <f t="shared" ca="1" si="19"/>
        <v>1</v>
      </c>
      <c r="BJ31" s="760">
        <f t="shared" ca="1" si="20"/>
        <v>3</v>
      </c>
      <c r="BK31" s="760">
        <f t="shared" ca="1" si="21"/>
        <v>5</v>
      </c>
      <c r="BL31" s="760">
        <f t="shared" ca="1" si="27"/>
        <v>-2</v>
      </c>
      <c r="BM31" s="760" t="str">
        <f t="shared" ca="1" si="22"/>
        <v>3G</v>
      </c>
      <c r="BN31" s="760" t="str">
        <f t="shared" ca="1" si="23"/>
        <v>3G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2</v>
      </c>
      <c r="BS31" s="769">
        <f ca="1">BP31+COUNTIFS($BQ$6:$BQ$53,BQ31,$BR$6:BR$53,"&gt;"&amp;BR31,$BC$6:$BC$53,INDEX(T_Equipos[Grupo],MATCH(BD31,T_Equipos[NombreEquipo],0)))</f>
        <v>3</v>
      </c>
      <c r="BT31" s="769" t="str">
        <f ca="1">IF(COUNTIFS($BS$6:$BS$53,BS31,$BC$6:$BC$53,INDEX(T_Equipos[Grupo],MATCH(BD31,T_Equipos[NombreEquipo],0)))=1,"-","P."&amp;BS31&amp;" ("&amp;COUNTIFS($BS$6:$BS$53,BS31,$BC$6:$BC$53,INDEX(T_Equipos[Grupo],MATCH(BD31,T_Equipos[NombreEquipo],0)))&amp;")")</f>
        <v>-</v>
      </c>
      <c r="BU31" s="770" t="str">
        <f t="shared" ca="1" si="36"/>
        <v>-</v>
      </c>
      <c r="BV31" s="770" t="str">
        <f t="shared" ca="1" si="37"/>
        <v>-</v>
      </c>
      <c r="BW31" s="770" t="str">
        <f t="shared" ca="1" si="38"/>
        <v>-</v>
      </c>
      <c r="BX31" s="770" t="str">
        <f t="shared" ca="1" si="39"/>
        <v>-</v>
      </c>
      <c r="BY31" s="770">
        <f ca="1">BS31+COUNTIFS($BT$6:$BT$53,BT31,$BX$6:BX$53,"&gt;"&amp;BX31,$BC$6:$BC$53,INDEX(T_Equipos[Grupo],MATCH(BD31,T_Equipos[NombreEquipo],0)))</f>
        <v>3</v>
      </c>
      <c r="BZ31" s="769" t="str">
        <f ca="1">IF(COUNTIFS($BY$6:$BY$53,BY31,$BC$6:$BC$53,INDEX(T_Equipos[Grupo],MATCH(BD31,T_Equipos[NombreEquipo],0)))=1,"-","P."&amp;BY31&amp;" ("&amp;COUNTIFS($BY$6:$BY$53,BY31,$BC$6:$BC$53,INDEX(T_Equipos[Grupo],MATCH(BD31,T_Equipos[NombreEquipo],0)))&amp;")")</f>
        <v>-</v>
      </c>
      <c r="CA31" s="770" t="str">
        <f t="shared" ca="1" si="40"/>
        <v>-</v>
      </c>
      <c r="CB31" s="770" t="str">
        <f t="shared" ca="1" si="41"/>
        <v>-</v>
      </c>
      <c r="CC31" s="770" t="str">
        <f t="shared" ca="1" si="42"/>
        <v>-</v>
      </c>
      <c r="CD31" s="770">
        <f ca="1">BY31+COUNTIFS($BZ$6:$BZ$53,BZ31,$CC$6:CC$53,"&gt;"&amp;CC31,$BC$6:$BC$53,INDEX(T_Equipos[Grupo],MATCH(BD31,T_Equipos[NombreEquipo],0)))</f>
        <v>3</v>
      </c>
      <c r="CE31" s="769" t="str">
        <f ca="1">IF(COUNTIFS($CD$6:$CD$53,CD31,$BC$6:$BC$53,INDEX(T_Equipos[Grupo],MATCH(BD31,T_Equipos[NombreEquipo],0)))=1,"-","P."&amp;CD31&amp;" ("&amp;COUNTIFS($CD$6:$CD$53,CD31,$BC$6:$BC$53,INDEX(T_Equipos[Grupo],MATCH(BD31,T_Equipos[NombreEquipo],0)))&amp;")")</f>
        <v>-</v>
      </c>
      <c r="CF31" s="770" t="str">
        <f t="shared" ca="1" si="43"/>
        <v>-</v>
      </c>
      <c r="CG31" s="770">
        <f ca="1">CD31+COUNTIFS($CE$6:$CE$53,CE31,$CF$6:CF$53,"&gt;"&amp;CF31,$BC$6:$BC$53,INDEX(T_Equipos[Grupo],MATCH(BD31,T_Equipos[NombreEquipo],0)))</f>
        <v>3</v>
      </c>
      <c r="CH31" s="769" t="str">
        <f ca="1">IF(COUNTIFS($CG$6:$CG$53,CG31,$BC$6:$BC$53,INDEX(T_Equipos[Grupo],MATCH(BD31,T_Equipos[NombreEquipo],0)))=1,"-","P."&amp;CG31&amp;" ("&amp;COUNTIFS($CG$6:$CG$53,CG31,$BC$6:$BC$53,INDEX(T_Equipos[Grupo],MATCH(BD31,T_Equipos[NombreEquipo],0)))&amp;")")</f>
        <v>-</v>
      </c>
      <c r="CI31" s="770" t="str">
        <f t="shared" ca="1" si="44"/>
        <v>-</v>
      </c>
      <c r="CJ31" s="770" t="str">
        <f t="shared" ca="1" si="45"/>
        <v>-</v>
      </c>
      <c r="CK31" s="770" t="str">
        <f t="shared" ca="1" si="46"/>
        <v>-</v>
      </c>
      <c r="CL31" s="770" t="str">
        <f t="shared" ca="1" si="47"/>
        <v>-</v>
      </c>
      <c r="CM31" s="770">
        <f ca="1">CG31+COUNTIFS($CH$6:$CH$53,CH31,$CL$6:CL$53,"&gt;"&amp;CL31,$BC$6:$BC$53,INDEX(T_Equipos[Grupo],MATCH(BD31,T_Equipos[NombreEquipo],0)))</f>
        <v>3</v>
      </c>
      <c r="CN31" s="769" t="str">
        <f ca="1">IF(COUNTIFS($CM$6:$CM$53,CM31,$BC$6:$BC$53,INDEX(T_Equipos[Grupo],MATCH(BD31,T_Equipos[NombreEquipo],0)))=1,"-","P."&amp;CM31&amp;" ("&amp;COUNTIFS($CM$6:$CM$53,CM31,$BC$6:$BC$53,INDEX(T_Equipos[Grupo],MATCH(BD31,T_Equipos[NombreEquipo],0)))&amp;")")</f>
        <v>-</v>
      </c>
      <c r="CO31" s="770" t="str">
        <f t="shared" ca="1" si="48"/>
        <v>-</v>
      </c>
      <c r="CP31" s="770" t="str">
        <f t="shared" ca="1" si="49"/>
        <v>-</v>
      </c>
      <c r="CQ31" s="770" t="str">
        <f t="shared" ca="1" si="50"/>
        <v>-</v>
      </c>
      <c r="CR31" s="770">
        <f ca="1">CM31+COUNTIFS($CN$6:$CN$53,CN31,$CQ$6:CQ$53,"&gt;"&amp;CQ31,$BC$6:$BC$53,INDEX(T_Equipos[Grupo],MATCH(BD31,T_Equipos[NombreEquipo],0)))</f>
        <v>3</v>
      </c>
      <c r="CS31" s="769" t="str">
        <f ca="1">IF(COUNTIFS($CR$6:$CR$53,CR31,$BC$6:$BC$53,INDEX(T_Equipos[Grupo],MATCH(BD31,T_Equipos[NombreEquipo],0)))=1,"-","P."&amp;CR31&amp;" ("&amp;COUNTIFS($CR$6:$CR$53,CR31,$BC$6:$BC$53,INDEX(T_Equipos[Grupo],MATCH(BD31,T_Equipos[NombreEquipo],0)))&amp;")")</f>
        <v>-</v>
      </c>
      <c r="CT31" s="770" t="str">
        <f t="shared" ca="1" si="51"/>
        <v>-</v>
      </c>
      <c r="CU31" s="770">
        <f ca="1">CR31+COUNTIFS($CS$6:$CS$53,CS31,$CT$6:CT$53,"&gt;"&amp;CT31,$BC$6:$BC$53,INDEX(T_Equipos[Grupo],MATCH(BD31,T_Equipos[NombreEquipo],0)))</f>
        <v>3</v>
      </c>
      <c r="CV31" s="769" t="str">
        <f ca="1">IF(COUNTIFS($CU$6:$CU$53,CU31,$BC$6:$BC$53,INDEX(T_Equipos[Grupo],MATCH(BD31,T_Equipos[NombreEquipo],0)))=1,"-","P."&amp;CU31&amp;" ("&amp;COUNTIFS($CU$6:$CU$53,CU31,$BC$6:$BC$53,INDEX(T_Equipos[Grupo],MATCH(BD31,T_Equipos[NombreEquipo],0)))&amp;")")</f>
        <v>-</v>
      </c>
      <c r="CW31" s="769" t="str">
        <f t="shared" ca="1" si="30"/>
        <v>-</v>
      </c>
      <c r="CX31" s="769">
        <f ca="1">CU31+COUNTIFS($CV$6:$CV$53,CV31,$CW$6:CW$53,"&gt;"&amp;CW31,$BC$6:$BC$53,INDEX(T_Equipos[Grupo],MATCH(BD31,T_Equipos[NombreEquipo],0)))</f>
        <v>3</v>
      </c>
      <c r="CY31" s="769" t="str">
        <f ca="1">IF(COUNTIFS($CX$6:$CX$53,CX31,$BC$6:$BC$53,INDEX(T_Equipos[Grupo],MATCH(BD31,T_Equipos[NombreEquipo],0)))=1,"-","P."&amp;CX31&amp;" ("&amp;COUNTIFS($CX$6:$CX$53,CX31,$BC$6:$BC$53,INDEX(T_Equipos[Grupo],MATCH(BD31,T_Equipos[NombreEquipo],0)))&amp;")")</f>
        <v>-</v>
      </c>
      <c r="CZ31" s="769" t="str">
        <f t="shared" ca="1" si="31"/>
        <v>-</v>
      </c>
      <c r="DA31" s="770">
        <f ca="1">CX31+COUNTIFS($CY$6:$CY$53,CY31,$CZ$6:CZ$53,"&gt;"&amp;CZ31,$BC$6:$BC$53,INDEX(T_Equipos[Grupo],MATCH(BD31,T_Equipos[NombreEquipo],0)))</f>
        <v>3</v>
      </c>
      <c r="DB31" s="769" t="str">
        <f ca="1">IF(COUNTIFS($DA$6:$DA$53,DA31,$BC$6:$BC$53,INDEX(T_Equipos[Grupo],MATCH(BD31,T_Equipos[NombreEquipo],0)))=1,"-","P."&amp;DA31&amp;" ("&amp;COUNTIFS($DA$6:$DA$53,DA31,$BC$6:$BC$53,INDEX(T_Equipos[Grupo],MATCH(BD31,T_Equipos[NombreEquipo],0)))&amp;")")</f>
        <v>-</v>
      </c>
      <c r="DC31" s="768" t="str">
        <f ca="1">IF(DB31="-","-",COUNTIFS(T_Equipos[Rank],"&lt;"&amp;INDEX(T_Equipos[Rank],MATCH(BD31,T_Equipos[NombreEquipo],0)),$BC$6:$BC$53,INDEX(T_Equipos[Grupo],MATCH(BD31,T_Equipos[NombreEquipo],0)))+1)</f>
        <v>-</v>
      </c>
      <c r="DD31" s="768">
        <f ca="1">DA31+COUNTIFS($DB$6:$DB$53,DB31,$DC$6:DC$53,"&lt;"&amp;DC31,$BC$6:$BC$53,INDEX(T_Equipos[Grupo],MATCH(BD31,T_Equipos[NombreEquipo],0)))</f>
        <v>3</v>
      </c>
      <c r="DE31" s="768"/>
      <c r="DF31" s="768">
        <f t="shared" ca="1" si="52"/>
        <v>3</v>
      </c>
      <c r="DG31" s="768" t="str">
        <f ca="1">IF(DB31="-","-",COUNTIFS(DF$6:DF$53,"&lt;"&amp;DF31,$BC$6:$BC$53,INDEX(T_Equipos[Grupo],MATCH(BD31,T_Equipos[NombreEquipo],0))))</f>
        <v>-</v>
      </c>
      <c r="DH31" s="768">
        <f ca="1">DA31+COUNTIFS(DB$6:DB$53,DB31,DG$6:DG$53,"&lt;"&amp;DG31,$BC$6:$BC$53,INDEX(T_Equipos[Grupo],MATCH(BD31,T_Equipos[NombreEquipo],0)))</f>
        <v>3</v>
      </c>
      <c r="DI31" s="756"/>
      <c r="DJ31" s="756">
        <f t="shared" ca="1" si="53"/>
        <v>2</v>
      </c>
      <c r="DK31" s="756">
        <f t="shared" ca="1" si="24"/>
        <v>12</v>
      </c>
      <c r="DL31" s="756">
        <f t="shared" ca="1" si="33"/>
        <v>1</v>
      </c>
      <c r="DM31" s="750" t="str">
        <f t="shared" ca="1" si="34"/>
        <v>2.1</v>
      </c>
      <c r="DN31" s="756" cm="1">
        <f t="array" aca="1" ref="DN31" ca="1">OFFSET(Horarios!$P$3,DJ31-1,0,DL31,1)</f>
        <v>2</v>
      </c>
      <c r="DO31" s="756"/>
      <c r="DP31" s="756" t="s">
        <v>668</v>
      </c>
      <c r="DQ31" s="756" t="str">
        <f t="shared" ca="1" si="35"/>
        <v>Irán</v>
      </c>
      <c r="DR31" s="756"/>
      <c r="DS31" s="756"/>
      <c r="DT31" s="756" t="str">
        <f t="shared" ca="1" si="15"/>
        <v>Turquía-Paraguay</v>
      </c>
      <c r="DU31" s="756"/>
      <c r="DV31" s="756"/>
      <c r="DW31" s="8"/>
    </row>
    <row r="32" spans="1:127" ht="16" customHeight="1">
      <c r="A32" s="757" t="str">
        <f ca="1">+Equipos!B17</f>
        <v>Turquía</v>
      </c>
      <c r="B32" s="754"/>
      <c r="C32" s="756"/>
      <c r="D32" s="756" t="str">
        <f t="shared" si="94"/>
        <v>Empate</v>
      </c>
      <c r="E32" s="756" t="str">
        <f t="shared" ca="1" si="95"/>
        <v>-</v>
      </c>
      <c r="F32" s="756" t="str">
        <f t="shared" ca="1" si="96"/>
        <v>-</v>
      </c>
      <c r="G32" s="756"/>
      <c r="H32" s="756" t="str">
        <f t="shared" ca="1" si="97"/>
        <v>-</v>
      </c>
      <c r="I32" s="756" t="str">
        <f t="shared" ca="1" si="98"/>
        <v>-</v>
      </c>
      <c r="J32" s="756"/>
      <c r="K32" s="756" t="str">
        <f t="shared" ca="1" si="99"/>
        <v>-</v>
      </c>
      <c r="L32" s="756" t="str">
        <f t="shared" ca="1" si="100"/>
        <v>-</v>
      </c>
      <c r="M32" s="756"/>
      <c r="N32" s="756" t="str">
        <f t="shared" ca="1" si="101"/>
        <v>-</v>
      </c>
      <c r="O32" s="756" t="str">
        <f t="shared" ca="1" si="102"/>
        <v>-</v>
      </c>
      <c r="P32" s="756"/>
      <c r="Q32" s="756" t="str">
        <f t="shared" ca="1" si="103"/>
        <v>-</v>
      </c>
      <c r="R32" s="756" t="str">
        <f t="shared" ca="1" si="104"/>
        <v>-</v>
      </c>
      <c r="S32" s="756"/>
      <c r="T32" s="756" t="str">
        <f t="shared" ca="1" si="105"/>
        <v>-</v>
      </c>
      <c r="U32" s="756" t="str">
        <f t="shared" ca="1" si="106"/>
        <v>-</v>
      </c>
      <c r="V32" s="178"/>
      <c r="W32" s="843"/>
      <c r="X32" s="195">
        <f ca="1">Horarios!C32</f>
        <v>46198.833333333328</v>
      </c>
      <c r="Y32" s="196">
        <f ca="1">Horarios!C32</f>
        <v>46198.833333333328</v>
      </c>
      <c r="Z32" s="197" t="str">
        <f>$Z$8</f>
        <v>J3</v>
      </c>
      <c r="AA32" s="198" t="str">
        <f ca="1">A32</f>
        <v>Turquía</v>
      </c>
      <c r="AB32" s="486" t="str" cm="1">
        <f t="array" aca="1" ref="AB32" ca="1">Ver_flag_local</f>
        <v/>
      </c>
      <c r="AC32" s="199">
        <v>1</v>
      </c>
      <c r="AD32" s="200">
        <v>1</v>
      </c>
      <c r="AE32" s="491" t="str" cm="1">
        <f t="array" aca="1" ref="AE32" ca="1">Ver_flag_visit</f>
        <v/>
      </c>
      <c r="AF32" s="201" t="str">
        <f ca="1">A29</f>
        <v>Estados Unidos</v>
      </c>
      <c r="AG32" s="421">
        <f t="shared" si="107"/>
        <v>1</v>
      </c>
      <c r="AH32" s="202">
        <v>59</v>
      </c>
      <c r="AI32" s="19" t="str">
        <f t="shared" si="112"/>
        <v>3D</v>
      </c>
      <c r="AJ32" s="227">
        <v>3</v>
      </c>
      <c r="AK32" s="494" t="str" cm="1">
        <f t="array" aca="1" ref="AK32" ca="1">Ver_flag_visit</f>
        <v/>
      </c>
      <c r="AL32" s="228" t="str">
        <f ca="1">IFERROR(INDEX($BD$6:$BD$53,MATCH(AI32,$BN$6:$BN$53,0)),"")</f>
        <v>Paraguay</v>
      </c>
      <c r="AM32" s="229">
        <f t="shared" ca="1" si="111"/>
        <v>4</v>
      </c>
      <c r="AN32" s="230">
        <f t="shared" ca="1" si="111"/>
        <v>3</v>
      </c>
      <c r="AO32" s="230">
        <f t="shared" ca="1" si="111"/>
        <v>1</v>
      </c>
      <c r="AP32" s="230">
        <f t="shared" ca="1" si="111"/>
        <v>1</v>
      </c>
      <c r="AQ32" s="230">
        <f t="shared" ca="1" si="111"/>
        <v>1</v>
      </c>
      <c r="AR32" s="230">
        <f t="shared" ca="1" si="111"/>
        <v>4</v>
      </c>
      <c r="AS32" s="230">
        <f t="shared" ca="1" si="111"/>
        <v>5</v>
      </c>
      <c r="AT32" s="231">
        <f t="shared" ca="1" si="111"/>
        <v>-1</v>
      </c>
      <c r="AU32" s="428">
        <f ca="1">INDEX($DL$6:$DL$53,MATCH(AI32,$DP$6:$DP$53,0))</f>
        <v>1</v>
      </c>
      <c r="AV32" s="223" t="str">
        <f ca="1">INDEX($BD$6:$BD$53,MATCH(AI32,$BM$6:$BM$53,0))</f>
        <v>Paraguay</v>
      </c>
      <c r="AW32" s="435"/>
      <c r="AX32" s="224"/>
      <c r="AY32" s="225" t="str">
        <f ca="1">+A31</f>
        <v>Australia</v>
      </c>
      <c r="AZ32" s="226"/>
      <c r="BA32" s="181"/>
      <c r="BB32" s="756"/>
      <c r="BC32" s="768" t="str">
        <f ca="1">+INDEX(T_Equipos[Grupo],MATCH(WORLDCUP!BD32,T_Equipos[NombreEquipo],0))</f>
        <v>G</v>
      </c>
      <c r="BD32" s="756" t="str">
        <f ca="1">+Equipos!B28</f>
        <v>Irán</v>
      </c>
      <c r="BE32" s="760">
        <f t="shared" ca="1" si="25"/>
        <v>4</v>
      </c>
      <c r="BF32" s="760">
        <f t="shared" ca="1" si="26"/>
        <v>3</v>
      </c>
      <c r="BG32" s="760">
        <f t="shared" ca="1" si="17"/>
        <v>1</v>
      </c>
      <c r="BH32" s="760">
        <f t="shared" ca="1" si="18"/>
        <v>1</v>
      </c>
      <c r="BI32" s="760">
        <f t="shared" ca="1" si="19"/>
        <v>1</v>
      </c>
      <c r="BJ32" s="760">
        <f t="shared" ca="1" si="20"/>
        <v>3</v>
      </c>
      <c r="BK32" s="760">
        <f t="shared" ca="1" si="21"/>
        <v>4</v>
      </c>
      <c r="BL32" s="760">
        <f t="shared" ca="1" si="27"/>
        <v>-1</v>
      </c>
      <c r="BM32" s="760" t="str">
        <f t="shared" ca="1" si="22"/>
        <v>2G</v>
      </c>
      <c r="BN32" s="760" t="str">
        <f t="shared" ca="1" si="23"/>
        <v>2G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4</v>
      </c>
      <c r="BS32" s="769">
        <f ca="1">BP32+COUNTIFS($BQ$6:$BQ$53,BQ32,$BR$6:BR$53,"&gt;"&amp;BR32,$BC$6:$BC$53,INDEX(T_Equipos[Grupo],MATCH(BD32,T_Equipos[NombreEquipo],0)))</f>
        <v>2</v>
      </c>
      <c r="BT32" s="769" t="str">
        <f ca="1">IF(COUNTIFS($BS$6:$BS$53,BS32,$BC$6:$BC$53,INDEX(T_Equipos[Grupo],MATCH(BD32,T_Equipos[NombreEquipo],0)))=1,"-","P."&amp;BS32&amp;" ("&amp;COUNTIFS($BS$6:$BS$53,BS32,$BC$6:$BC$53,INDEX(T_Equipos[Grupo],MATCH(BD32,T_Equipos[NombreEquipo],0)))&amp;")")</f>
        <v>-</v>
      </c>
      <c r="BU32" s="770" t="str">
        <f t="shared" ca="1" si="36"/>
        <v>-</v>
      </c>
      <c r="BV32" s="770" t="str">
        <f t="shared" ca="1" si="37"/>
        <v>-</v>
      </c>
      <c r="BW32" s="770" t="str">
        <f t="shared" ca="1" si="38"/>
        <v>-</v>
      </c>
      <c r="BX32" s="770" t="str">
        <f t="shared" ca="1" si="39"/>
        <v>-</v>
      </c>
      <c r="BY32" s="770">
        <f ca="1">BS32+COUNTIFS($BT$6:$BT$53,BT32,$BX$6:BX$53,"&gt;"&amp;BX32,$BC$6:$BC$53,INDEX(T_Equipos[Grupo],MATCH(BD32,T_Equipos[NombreEquipo],0)))</f>
        <v>2</v>
      </c>
      <c r="BZ32" s="769" t="str">
        <f ca="1">IF(COUNTIFS($BY$6:$BY$53,BY32,$BC$6:$BC$53,INDEX(T_Equipos[Grupo],MATCH(BD32,T_Equipos[NombreEquipo],0)))=1,"-","P."&amp;BY32&amp;" ("&amp;COUNTIFS($BY$6:$BY$53,BY32,$BC$6:$BC$53,INDEX(T_Equipos[Grupo],MATCH(BD32,T_Equipos[NombreEquipo],0)))&amp;")")</f>
        <v>-</v>
      </c>
      <c r="CA32" s="770" t="str">
        <f t="shared" ca="1" si="40"/>
        <v>-</v>
      </c>
      <c r="CB32" s="770" t="str">
        <f t="shared" ca="1" si="41"/>
        <v>-</v>
      </c>
      <c r="CC32" s="770" t="str">
        <f t="shared" ca="1" si="42"/>
        <v>-</v>
      </c>
      <c r="CD32" s="770">
        <f ca="1">BY32+COUNTIFS($BZ$6:$BZ$53,BZ32,$CC$6:CC$53,"&gt;"&amp;CC32,$BC$6:$BC$53,INDEX(T_Equipos[Grupo],MATCH(BD32,T_Equipos[NombreEquipo],0)))</f>
        <v>2</v>
      </c>
      <c r="CE32" s="769" t="str">
        <f ca="1">IF(COUNTIFS($CD$6:$CD$53,CD32,$BC$6:$BC$53,INDEX(T_Equipos[Grupo],MATCH(BD32,T_Equipos[NombreEquipo],0)))=1,"-","P."&amp;CD32&amp;" ("&amp;COUNTIFS($CD$6:$CD$53,CD32,$BC$6:$BC$53,INDEX(T_Equipos[Grupo],MATCH(BD32,T_Equipos[NombreEquipo],0)))&amp;")")</f>
        <v>-</v>
      </c>
      <c r="CF32" s="770" t="str">
        <f t="shared" ca="1" si="43"/>
        <v>-</v>
      </c>
      <c r="CG32" s="770">
        <f ca="1">CD32+COUNTIFS($CE$6:$CE$53,CE32,$CF$6:CF$53,"&gt;"&amp;CF32,$BC$6:$BC$53,INDEX(T_Equipos[Grupo],MATCH(BD32,T_Equipos[NombreEquipo],0)))</f>
        <v>2</v>
      </c>
      <c r="CH32" s="769" t="str">
        <f ca="1">IF(COUNTIFS($CG$6:$CG$53,CG32,$BC$6:$BC$53,INDEX(T_Equipos[Grupo],MATCH(BD32,T_Equipos[NombreEquipo],0)))=1,"-","P."&amp;CG32&amp;" ("&amp;COUNTIFS($CG$6:$CG$53,CG32,$BC$6:$BC$53,INDEX(T_Equipos[Grupo],MATCH(BD32,T_Equipos[NombreEquipo],0)))&amp;")")</f>
        <v>-</v>
      </c>
      <c r="CI32" s="770" t="str">
        <f t="shared" ca="1" si="44"/>
        <v>-</v>
      </c>
      <c r="CJ32" s="770" t="str">
        <f t="shared" ca="1" si="45"/>
        <v>-</v>
      </c>
      <c r="CK32" s="770" t="str">
        <f t="shared" ca="1" si="46"/>
        <v>-</v>
      </c>
      <c r="CL32" s="770" t="str">
        <f t="shared" ca="1" si="47"/>
        <v>-</v>
      </c>
      <c r="CM32" s="770">
        <f ca="1">CG32+COUNTIFS($CH$6:$CH$53,CH32,$CL$6:CL$53,"&gt;"&amp;CL32,$BC$6:$BC$53,INDEX(T_Equipos[Grupo],MATCH(BD32,T_Equipos[NombreEquipo],0)))</f>
        <v>2</v>
      </c>
      <c r="CN32" s="769" t="str">
        <f ca="1">IF(COUNTIFS($CM$6:$CM$53,CM32,$BC$6:$BC$53,INDEX(T_Equipos[Grupo],MATCH(BD32,T_Equipos[NombreEquipo],0)))=1,"-","P."&amp;CM32&amp;" ("&amp;COUNTIFS($CM$6:$CM$53,CM32,$BC$6:$BC$53,INDEX(T_Equipos[Grupo],MATCH(BD32,T_Equipos[NombreEquipo],0)))&amp;")")</f>
        <v>-</v>
      </c>
      <c r="CO32" s="770" t="str">
        <f t="shared" ca="1" si="48"/>
        <v>-</v>
      </c>
      <c r="CP32" s="770" t="str">
        <f t="shared" ca="1" si="49"/>
        <v>-</v>
      </c>
      <c r="CQ32" s="770" t="str">
        <f t="shared" ca="1" si="50"/>
        <v>-</v>
      </c>
      <c r="CR32" s="770">
        <f ca="1">CM32+COUNTIFS($CN$6:$CN$53,CN32,$CQ$6:CQ$53,"&gt;"&amp;CQ32,$BC$6:$BC$53,INDEX(T_Equipos[Grupo],MATCH(BD32,T_Equipos[NombreEquipo],0)))</f>
        <v>2</v>
      </c>
      <c r="CS32" s="769" t="str">
        <f ca="1">IF(COUNTIFS($CR$6:$CR$53,CR32,$BC$6:$BC$53,INDEX(T_Equipos[Grupo],MATCH(BD32,T_Equipos[NombreEquipo],0)))=1,"-","P."&amp;CR32&amp;" ("&amp;COUNTIFS($CR$6:$CR$53,CR32,$BC$6:$BC$53,INDEX(T_Equipos[Grupo],MATCH(BD32,T_Equipos[NombreEquipo],0)))&amp;")")</f>
        <v>-</v>
      </c>
      <c r="CT32" s="770" t="str">
        <f t="shared" ca="1" si="51"/>
        <v>-</v>
      </c>
      <c r="CU32" s="770">
        <f ca="1">CR32+COUNTIFS($CS$6:$CS$53,CS32,$CT$6:CT$53,"&gt;"&amp;CT32,$BC$6:$BC$53,INDEX(T_Equipos[Grupo],MATCH(BD32,T_Equipos[NombreEquipo],0)))</f>
        <v>2</v>
      </c>
      <c r="CV32" s="769" t="str">
        <f ca="1">IF(COUNTIFS($CU$6:$CU$53,CU32,$BC$6:$BC$53,INDEX(T_Equipos[Grupo],MATCH(BD32,T_Equipos[NombreEquipo],0)))=1,"-","P."&amp;CU32&amp;" ("&amp;COUNTIFS($CU$6:$CU$53,CU32,$BC$6:$BC$53,INDEX(T_Equipos[Grupo],MATCH(BD32,T_Equipos[NombreEquipo],0)))&amp;")")</f>
        <v>-</v>
      </c>
      <c r="CW32" s="769" t="str">
        <f t="shared" ca="1" si="30"/>
        <v>-</v>
      </c>
      <c r="CX32" s="769">
        <f ca="1">CU32+COUNTIFS($CV$6:$CV$53,CV32,$CW$6:CW$53,"&gt;"&amp;CW32,$BC$6:$BC$53,INDEX(T_Equipos[Grupo],MATCH(BD32,T_Equipos[NombreEquipo],0)))</f>
        <v>2</v>
      </c>
      <c r="CY32" s="769" t="str">
        <f ca="1">IF(COUNTIFS($CX$6:$CX$53,CX32,$BC$6:$BC$53,INDEX(T_Equipos[Grupo],MATCH(BD32,T_Equipos[NombreEquipo],0)))=1,"-","P."&amp;CX32&amp;" ("&amp;COUNTIFS($CX$6:$CX$53,CX32,$BC$6:$BC$53,INDEX(T_Equipos[Grupo],MATCH(BD32,T_Equipos[NombreEquipo],0)))&amp;")")</f>
        <v>-</v>
      </c>
      <c r="CZ32" s="769" t="str">
        <f t="shared" ca="1" si="31"/>
        <v>-</v>
      </c>
      <c r="DA32" s="770">
        <f ca="1">CX32+COUNTIFS($CY$6:$CY$53,CY32,$CZ$6:CZ$53,"&gt;"&amp;CZ32,$BC$6:$BC$53,INDEX(T_Equipos[Grupo],MATCH(BD32,T_Equipos[NombreEquipo],0)))</f>
        <v>2</v>
      </c>
      <c r="DB32" s="769" t="str">
        <f ca="1">IF(COUNTIFS($DA$6:$DA$53,DA32,$BC$6:$BC$53,INDEX(T_Equipos[Grupo],MATCH(BD32,T_Equipos[NombreEquipo],0)))=1,"-","P."&amp;DA32&amp;" ("&amp;COUNTIFS($DA$6:$DA$53,DA32,$BC$6:$BC$53,INDEX(T_Equipos[Grupo],MATCH(BD32,T_Equipos[NombreEquipo],0)))&amp;")")</f>
        <v>-</v>
      </c>
      <c r="DC32" s="768" t="str">
        <f ca="1">IF(DB32="-","-",COUNTIFS(T_Equipos[Rank],"&lt;"&amp;INDEX(T_Equipos[Rank],MATCH(BD32,T_Equipos[NombreEquipo],0)),$BC$6:$BC$53,INDEX(T_Equipos[Grupo],MATCH(BD32,T_Equipos[NombreEquipo],0)))+1)</f>
        <v>-</v>
      </c>
      <c r="DD32" s="768">
        <f ca="1">DA32+COUNTIFS($DB$6:$DB$53,DB32,$DC$6:DC$53,"&lt;"&amp;DC32,$BC$6:$BC$53,INDEX(T_Equipos[Grupo],MATCH(BD32,T_Equipos[NombreEquipo],0)))</f>
        <v>2</v>
      </c>
      <c r="DE32" s="768"/>
      <c r="DF32" s="768">
        <f t="shared" ca="1" si="52"/>
        <v>2</v>
      </c>
      <c r="DG32" s="768" t="str">
        <f ca="1">IF(DB32="-","-",COUNTIFS(DF$6:DF$53,"&lt;"&amp;DF32,$BC$6:$BC$53,INDEX(T_Equipos[Grupo],MATCH(BD32,T_Equipos[NombreEquipo],0))))</f>
        <v>-</v>
      </c>
      <c r="DH32" s="768">
        <f ca="1">DA32+COUNTIFS(DB$6:DB$53,DB32,DG$6:DG$53,"&lt;"&amp;DG32,$BC$6:$BC$53,INDEX(T_Equipos[Grupo],MATCH(BD32,T_Equipos[NombreEquipo],0)))</f>
        <v>2</v>
      </c>
      <c r="DI32" s="756"/>
      <c r="DJ32" s="756">
        <f t="shared" ca="1" si="53"/>
        <v>3</v>
      </c>
      <c r="DK32" s="756">
        <f t="shared" ca="1" si="24"/>
        <v>12</v>
      </c>
      <c r="DL32" s="756">
        <f t="shared" ca="1" si="33"/>
        <v>1</v>
      </c>
      <c r="DM32" s="750" t="str">
        <f t="shared" ca="1" si="34"/>
        <v>3.1</v>
      </c>
      <c r="DN32" s="756" cm="1">
        <f t="array" aca="1" ref="DN32" ca="1">OFFSET(Horarios!$P$3,DJ32-1,0,DL32,1)</f>
        <v>3</v>
      </c>
      <c r="DO32" s="756"/>
      <c r="DP32" s="756" t="s">
        <v>435</v>
      </c>
      <c r="DQ32" s="756" t="str">
        <f t="shared" ca="1" si="35"/>
        <v>Egipto</v>
      </c>
      <c r="DR32" s="756"/>
      <c r="DS32" s="756"/>
      <c r="DT32" s="756" t="str">
        <f t="shared" ca="1" si="15"/>
        <v>Turquía-Estados Unidos</v>
      </c>
      <c r="DU32" s="756"/>
      <c r="DV32" s="756"/>
      <c r="DW32" s="8"/>
    </row>
    <row r="33" spans="1:127" ht="17.149999999999999" customHeight="1" thickBot="1">
      <c r="A33" s="751"/>
      <c r="B33" s="751"/>
      <c r="C33" s="751"/>
      <c r="D33" s="756" t="str">
        <f t="shared" si="94"/>
        <v>Local</v>
      </c>
      <c r="E33" s="756" t="str">
        <f t="shared" ca="1" si="95"/>
        <v>-</v>
      </c>
      <c r="F33" s="756" t="str">
        <f t="shared" ca="1" si="96"/>
        <v>-</v>
      </c>
      <c r="G33" s="756"/>
      <c r="H33" s="756" t="str">
        <f t="shared" ca="1" si="97"/>
        <v>-</v>
      </c>
      <c r="I33" s="756" t="str">
        <f t="shared" ca="1" si="98"/>
        <v>-</v>
      </c>
      <c r="J33" s="756"/>
      <c r="K33" s="756" t="str">
        <f t="shared" ca="1" si="99"/>
        <v>-</v>
      </c>
      <c r="L33" s="756" t="str">
        <f t="shared" ca="1" si="100"/>
        <v>-</v>
      </c>
      <c r="M33" s="756"/>
      <c r="N33" s="756" t="str">
        <f t="shared" ca="1" si="101"/>
        <v>-</v>
      </c>
      <c r="O33" s="756" t="str">
        <f t="shared" ca="1" si="102"/>
        <v>-</v>
      </c>
      <c r="P33" s="756"/>
      <c r="Q33" s="756" t="str">
        <f t="shared" ca="1" si="103"/>
        <v>-</v>
      </c>
      <c r="R33" s="756" t="str">
        <f t="shared" ca="1" si="104"/>
        <v>-</v>
      </c>
      <c r="S33" s="756"/>
      <c r="T33" s="756" t="str">
        <f t="shared" ca="1" si="105"/>
        <v>-</v>
      </c>
      <c r="U33" s="756" t="str">
        <f t="shared" ca="1" si="106"/>
        <v>-</v>
      </c>
      <c r="V33" s="178"/>
      <c r="W33" s="844"/>
      <c r="X33" s="234">
        <f ca="1">Horarios!C33</f>
        <v>46198.833333333328</v>
      </c>
      <c r="Y33" s="235">
        <f ca="1">Horarios!C33</f>
        <v>46198.833333333328</v>
      </c>
      <c r="Z33" s="236" t="str">
        <f>$Z$8</f>
        <v>J3</v>
      </c>
      <c r="AA33" s="237" t="str">
        <f ca="1">A30</f>
        <v>Paraguay</v>
      </c>
      <c r="AB33" s="487" t="str" cm="1">
        <f t="array" aca="1" ref="AB33" ca="1">Ver_flag_local</f>
        <v/>
      </c>
      <c r="AC33" s="238">
        <v>2</v>
      </c>
      <c r="AD33" s="239">
        <v>1</v>
      </c>
      <c r="AE33" s="492" t="str" cm="1">
        <f t="array" aca="1" ref="AE33" ca="1">Ver_flag_visit</f>
        <v/>
      </c>
      <c r="AF33" s="240" t="str">
        <f ca="1">A31</f>
        <v>Australia</v>
      </c>
      <c r="AG33" s="421">
        <f t="shared" si="107"/>
        <v>1</v>
      </c>
      <c r="AH33" s="202">
        <v>60</v>
      </c>
      <c r="AI33" s="19" t="str">
        <f t="shared" si="112"/>
        <v>4D</v>
      </c>
      <c r="AJ33" s="241">
        <v>4</v>
      </c>
      <c r="AK33" s="495" t="str" cm="1">
        <f t="array" aca="1" ref="AK33" ca="1">Ver_flag_visit</f>
        <v/>
      </c>
      <c r="AL33" s="242" t="str">
        <f ca="1">IFERROR(INDEX($BD$6:$BD$53,MATCH(AI33,$BN$6:$BN$53,0)),"")</f>
        <v>Australia</v>
      </c>
      <c r="AM33" s="243">
        <f t="shared" ca="1" si="111"/>
        <v>0</v>
      </c>
      <c r="AN33" s="244">
        <f t="shared" ca="1" si="111"/>
        <v>3</v>
      </c>
      <c r="AO33" s="244">
        <f t="shared" ca="1" si="111"/>
        <v>0</v>
      </c>
      <c r="AP33" s="244">
        <f t="shared" ca="1" si="111"/>
        <v>0</v>
      </c>
      <c r="AQ33" s="244">
        <f t="shared" ca="1" si="111"/>
        <v>3</v>
      </c>
      <c r="AR33" s="244">
        <f t="shared" ca="1" si="111"/>
        <v>3</v>
      </c>
      <c r="AS33" s="244">
        <f t="shared" ca="1" si="111"/>
        <v>6</v>
      </c>
      <c r="AT33" s="245">
        <f t="shared" ca="1" si="111"/>
        <v>-3</v>
      </c>
      <c r="AU33" s="428">
        <f ca="1">INDEX($DL$6:$DL$53,MATCH(AI33,$DP$6:$DP$53,0))</f>
        <v>1</v>
      </c>
      <c r="AV33" s="223" t="str">
        <f ca="1">INDEX($BD$6:$BD$53,MATCH(AI33,$BM$6:$BM$53,0))</f>
        <v>Australia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1</v>
      </c>
      <c r="BF33" s="760">
        <f t="shared" ca="1" si="26"/>
        <v>3</v>
      </c>
      <c r="BG33" s="760">
        <f t="shared" ca="1" si="17"/>
        <v>0</v>
      </c>
      <c r="BH33" s="760">
        <f t="shared" ca="1" si="18"/>
        <v>1</v>
      </c>
      <c r="BI33" s="760">
        <f t="shared" ca="1" si="19"/>
        <v>2</v>
      </c>
      <c r="BJ33" s="760">
        <f t="shared" ca="1" si="20"/>
        <v>4</v>
      </c>
      <c r="BK33" s="760">
        <f t="shared" ca="1" si="21"/>
        <v>8</v>
      </c>
      <c r="BL33" s="760">
        <f t="shared" ca="1" si="27"/>
        <v>-4</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1</v>
      </c>
      <c r="BS33" s="769">
        <f ca="1">BP33+COUNTIFS($BQ$6:$BQ$53,BQ33,$BR$6:BR$53,"&gt;"&amp;BR33,$BC$6:$BC$53,INDEX(T_Equipos[Grupo],MATCH(BD33,T_Equipos[NombreEquipo],0)))</f>
        <v>4</v>
      </c>
      <c r="BT33" s="769" t="str">
        <f ca="1">IF(COUNTIFS($BS$6:$BS$53,BS33,$BC$6:$BC$53,INDEX(T_Equipos[Grupo],MATCH(BD33,T_Equipos[NombreEquipo],0)))=1,"-","P."&amp;BS33&amp;" ("&amp;COUNTIFS($BS$6:$BS$53,BS33,$BC$6:$BC$53,INDEX(T_Equipos[Grupo],MATCH(BD33,T_Equipos[NombreEquipo],0)))&amp;")")</f>
        <v>-</v>
      </c>
      <c r="BU33" s="770" t="str">
        <f t="shared" ca="1" si="36"/>
        <v>-</v>
      </c>
      <c r="BV33" s="770" t="str">
        <f t="shared" ca="1" si="37"/>
        <v>-</v>
      </c>
      <c r="BW33" s="770" t="str">
        <f t="shared" ca="1" si="38"/>
        <v>-</v>
      </c>
      <c r="BX33" s="770" t="str">
        <f t="shared" ca="1" si="39"/>
        <v>-</v>
      </c>
      <c r="BY33" s="770">
        <f ca="1">BS33+COUNTIFS($BT$6:$BT$53,BT33,$BX$6:BX$53,"&gt;"&amp;BX33,$BC$6:$BC$53,INDEX(T_Equipos[Grupo],MATCH(BD33,T_Equipos[NombreEquipo],0)))</f>
        <v>4</v>
      </c>
      <c r="BZ33" s="769" t="str">
        <f ca="1">IF(COUNTIFS($BY$6:$BY$53,BY33,$BC$6:$BC$53,INDEX(T_Equipos[Grupo],MATCH(BD33,T_Equipos[NombreEquipo],0)))=1,"-","P."&amp;BY33&amp;" ("&amp;COUNTIFS($BY$6:$BY$53,BY33,$BC$6:$BC$53,INDEX(T_Equipos[Grupo],MATCH(BD33,T_Equipos[NombreEquipo],0)))&amp;")")</f>
        <v>-</v>
      </c>
      <c r="CA33" s="770" t="str">
        <f t="shared" ca="1" si="40"/>
        <v>-</v>
      </c>
      <c r="CB33" s="770" t="str">
        <f t="shared" ca="1" si="41"/>
        <v>-</v>
      </c>
      <c r="CC33" s="770" t="str">
        <f t="shared" ca="1" si="42"/>
        <v>-</v>
      </c>
      <c r="CD33" s="770">
        <f ca="1">BY33+COUNTIFS($BZ$6:$BZ$53,BZ33,$CC$6:CC$53,"&gt;"&amp;CC33,$BC$6:$BC$53,INDEX(T_Equipos[Grupo],MATCH(BD33,T_Equipos[NombreEquipo],0)))</f>
        <v>4</v>
      </c>
      <c r="CE33" s="769" t="str">
        <f ca="1">IF(COUNTIFS($CD$6:$CD$53,CD33,$BC$6:$BC$53,INDEX(T_Equipos[Grupo],MATCH(BD33,T_Equipos[NombreEquipo],0)))=1,"-","P."&amp;CD33&amp;" ("&amp;COUNTIFS($CD$6:$CD$53,CD33,$BC$6:$BC$53,INDEX(T_Equipos[Grupo],MATCH(BD33,T_Equipos[NombreEquipo],0)))&amp;")")</f>
        <v>-</v>
      </c>
      <c r="CF33" s="770" t="str">
        <f t="shared" ca="1" si="43"/>
        <v>-</v>
      </c>
      <c r="CG33" s="770">
        <f ca="1">CD33+COUNTIFS($CE$6:$CE$53,CE33,$CF$6:CF$53,"&gt;"&amp;CF33,$BC$6:$BC$53,INDEX(T_Equipos[Grupo],MATCH(BD33,T_Equipos[NombreEquipo],0)))</f>
        <v>4</v>
      </c>
      <c r="CH33" s="769" t="str">
        <f ca="1">IF(COUNTIFS($CG$6:$CG$53,CG33,$BC$6:$BC$53,INDEX(T_Equipos[Grupo],MATCH(BD33,T_Equipos[NombreEquipo],0)))=1,"-","P."&amp;CG33&amp;" ("&amp;COUNTIFS($CG$6:$CG$53,CG33,$BC$6:$BC$53,INDEX(T_Equipos[Grupo],MATCH(BD33,T_Equipos[NombreEquipo],0)))&amp;")")</f>
        <v>-</v>
      </c>
      <c r="CI33" s="770" t="str">
        <f t="shared" ca="1" si="44"/>
        <v>-</v>
      </c>
      <c r="CJ33" s="770" t="str">
        <f t="shared" ca="1" si="45"/>
        <v>-</v>
      </c>
      <c r="CK33" s="770" t="str">
        <f t="shared" ca="1" si="46"/>
        <v>-</v>
      </c>
      <c r="CL33" s="770" t="str">
        <f t="shared" ca="1" si="47"/>
        <v>-</v>
      </c>
      <c r="CM33" s="770">
        <f ca="1">CG33+COUNTIFS($CH$6:$CH$53,CH33,$CL$6:CL$53,"&gt;"&amp;CL33,$BC$6:$BC$53,INDEX(T_Equipos[Grupo],MATCH(BD33,T_Equipos[NombreEquipo],0)))</f>
        <v>4</v>
      </c>
      <c r="CN33" s="769" t="str">
        <f ca="1">IF(COUNTIFS($CM$6:$CM$53,CM33,$BC$6:$BC$53,INDEX(T_Equipos[Grupo],MATCH(BD33,T_Equipos[NombreEquipo],0)))=1,"-","P."&amp;CM33&amp;" ("&amp;COUNTIFS($CM$6:$CM$53,CM33,$BC$6:$BC$53,INDEX(T_Equipos[Grupo],MATCH(BD33,T_Equipos[NombreEquipo],0)))&amp;")")</f>
        <v>-</v>
      </c>
      <c r="CO33" s="770" t="str">
        <f t="shared" ca="1" si="48"/>
        <v>-</v>
      </c>
      <c r="CP33" s="770" t="str">
        <f t="shared" ca="1" si="49"/>
        <v>-</v>
      </c>
      <c r="CQ33" s="770" t="str">
        <f t="shared" ca="1" si="50"/>
        <v>-</v>
      </c>
      <c r="CR33" s="770">
        <f ca="1">CM33+COUNTIFS($CN$6:$CN$53,CN33,$CQ$6:CQ$53,"&gt;"&amp;CQ33,$BC$6:$BC$53,INDEX(T_Equipos[Grupo],MATCH(BD33,T_Equipos[NombreEquipo],0)))</f>
        <v>4</v>
      </c>
      <c r="CS33" s="769" t="str">
        <f ca="1">IF(COUNTIFS($CR$6:$CR$53,CR33,$BC$6:$BC$53,INDEX(T_Equipos[Grupo],MATCH(BD33,T_Equipos[NombreEquipo],0)))=1,"-","P."&amp;CR33&amp;" ("&amp;COUNTIFS($CR$6:$CR$53,CR33,$BC$6:$BC$53,INDEX(T_Equipos[Grupo],MATCH(BD33,T_Equipos[NombreEquipo],0)))&amp;")")</f>
        <v>-</v>
      </c>
      <c r="CT33" s="770" t="str">
        <f t="shared" ca="1" si="51"/>
        <v>-</v>
      </c>
      <c r="CU33" s="770">
        <f ca="1">CR33+COUNTIFS($CS$6:$CS$53,CS33,$CT$6:CT$53,"&gt;"&amp;CT33,$BC$6:$BC$53,INDEX(T_Equipos[Grupo],MATCH(BD33,T_Equipos[NombreEquipo],0)))</f>
        <v>4</v>
      </c>
      <c r="CV33" s="769" t="str">
        <f ca="1">IF(COUNTIFS($CU$6:$CU$53,CU33,$BC$6:$BC$53,INDEX(T_Equipos[Grupo],MATCH(BD33,T_Equipos[NombreEquipo],0)))=1,"-","P."&amp;CU33&amp;" ("&amp;COUNTIFS($CU$6:$CU$53,CU33,$BC$6:$BC$53,INDEX(T_Equipos[Grupo],MATCH(BD33,T_Equipos[NombreEquipo],0)))&amp;")")</f>
        <v>-</v>
      </c>
      <c r="CW33" s="769" t="str">
        <f t="shared" ca="1" si="30"/>
        <v>-</v>
      </c>
      <c r="CX33" s="769">
        <f ca="1">CU33+COUNTIFS($CV$6:$CV$53,CV33,$CW$6:CW$53,"&gt;"&amp;CW33,$BC$6:$BC$53,INDEX(T_Equipos[Grupo],MATCH(BD33,T_Equipos[NombreEquipo],0)))</f>
        <v>4</v>
      </c>
      <c r="CY33" s="769" t="str">
        <f ca="1">IF(COUNTIFS($CX$6:$CX$53,CX33,$BC$6:$BC$53,INDEX(T_Equipos[Grupo],MATCH(BD33,T_Equipos[NombreEquipo],0)))=1,"-","P."&amp;CX33&amp;" ("&amp;COUNTIFS($CX$6:$CX$53,CX33,$BC$6:$BC$53,INDEX(T_Equipos[Grupo],MATCH(BD33,T_Equipos[NombreEquipo],0)))&amp;")")</f>
        <v>-</v>
      </c>
      <c r="CZ33" s="769" t="str">
        <f t="shared" ca="1" si="31"/>
        <v>-</v>
      </c>
      <c r="DA33" s="770">
        <f ca="1">CX33+COUNTIFS($CY$6:$CY$53,CY33,$CZ$6:CZ$53,"&gt;"&amp;CZ33,$BC$6:$BC$53,INDEX(T_Equipos[Grupo],MATCH(BD33,T_Equipos[NombreEquipo],0)))</f>
        <v>4</v>
      </c>
      <c r="DB33" s="769" t="str">
        <f ca="1">IF(COUNTIFS($DA$6:$DA$53,DA33,$BC$6:$BC$53,INDEX(T_Equipos[Grupo],MATCH(BD33,T_Equipos[NombreEquipo],0)))=1,"-","P."&amp;DA33&amp;" ("&amp;COUNTIFS($DA$6:$DA$53,DA33,$BC$6:$BC$53,INDEX(T_Equipos[Grupo],MATCH(BD33,T_Equipos[NombreEquipo],0)))&amp;")")</f>
        <v>-</v>
      </c>
      <c r="DC33" s="768" t="str">
        <f ca="1">IF(DB33="-","-",COUNTIFS(T_Equipos[Rank],"&lt;"&amp;INDEX(T_Equipos[Rank],MATCH(BD33,T_Equipos[NombreEquipo],0)),$BC$6:$BC$53,INDEX(T_Equipos[Grupo],MATCH(BD33,T_Equipos[NombreEquipo],0)))+1)</f>
        <v>-</v>
      </c>
      <c r="DD33" s="768">
        <f ca="1">DA33+COUNTIFS($DB$6:$DB$53,DB33,$DC$6:DC$53,"&lt;"&amp;DC33,$BC$6:$BC$53,INDEX(T_Equipos[Grupo],MATCH(BD33,T_Equipos[NombreEquipo],0)))</f>
        <v>4</v>
      </c>
      <c r="DE33" s="768"/>
      <c r="DF33" s="768">
        <f t="shared" ca="1" si="52"/>
        <v>4</v>
      </c>
      <c r="DG33" s="768" t="str">
        <f ca="1">IF(DB33="-","-",COUNTIFS(DF$6:DF$53,"&lt;"&amp;DF33,$BC$6:$BC$53,INDEX(T_Equipos[Grupo],MATCH(BD33,T_Equipos[NombreEquipo],0))))</f>
        <v>-</v>
      </c>
      <c r="DH33" s="768">
        <f ca="1">DA33+COUNTIFS(DB$6:DB$53,DB33,DG$6:DG$53,"&lt;"&amp;DG33,$BC$6:$BC$53,INDEX(T_Equipos[Grupo],MATCH(BD33,T_Equipos[NombreEquipo],0)))</f>
        <v>4</v>
      </c>
      <c r="DI33" s="756"/>
      <c r="DJ33" s="756">
        <f t="shared" ca="1" si="53"/>
        <v>4</v>
      </c>
      <c r="DK33" s="756">
        <f t="shared" ca="1" si="24"/>
        <v>12</v>
      </c>
      <c r="DL33" s="756">
        <f t="shared" ca="1" si="33"/>
        <v>1</v>
      </c>
      <c r="DM33" s="750" t="str">
        <f t="shared" ca="1" si="34"/>
        <v>4.1</v>
      </c>
      <c r="DN33" s="756" cm="1">
        <f t="array" aca="1" ref="DN33" ca="1">OFFSET(Horarios!$P$3,DJ33-1,0,DL33,1)</f>
        <v>4</v>
      </c>
      <c r="DO33" s="756"/>
      <c r="DP33" s="756" t="s">
        <v>669</v>
      </c>
      <c r="DQ33" s="756" t="str">
        <f t="shared" ca="1" si="35"/>
        <v>Nueva Zelanda</v>
      </c>
      <c r="DR33" s="756"/>
      <c r="DS33" s="756"/>
      <c r="DT33" s="756" t="str">
        <f t="shared" ca="1" si="15"/>
        <v>Paraguay-Australia</v>
      </c>
      <c r="DU33" s="756"/>
      <c r="DV33" s="756"/>
      <c r="DW33" s="8"/>
    </row>
    <row r="34" spans="1:127" ht="15" thickBot="1">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7</v>
      </c>
      <c r="BF34" s="760">
        <f t="shared" ca="1" si="26"/>
        <v>3</v>
      </c>
      <c r="BG34" s="760">
        <f t="shared" ca="1" si="17"/>
        <v>2</v>
      </c>
      <c r="BH34" s="760">
        <f t="shared" ca="1" si="18"/>
        <v>1</v>
      </c>
      <c r="BI34" s="760">
        <f t="shared" ca="1" si="19"/>
        <v>0</v>
      </c>
      <c r="BJ34" s="760">
        <f t="shared" ca="1" si="20"/>
        <v>8</v>
      </c>
      <c r="BK34" s="760">
        <f t="shared" ca="1" si="21"/>
        <v>1</v>
      </c>
      <c r="BL34" s="760">
        <f t="shared" ca="1" si="27"/>
        <v>7</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7</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v>
      </c>
      <c r="BU34" s="770" t="str">
        <f t="shared" ca="1" si="36"/>
        <v>-</v>
      </c>
      <c r="BV34" s="770" t="str">
        <f t="shared" ca="1" si="37"/>
        <v>-</v>
      </c>
      <c r="BW34" s="770" t="str">
        <f t="shared" ca="1" si="38"/>
        <v>-</v>
      </c>
      <c r="BX34" s="770" t="str">
        <f t="shared" ca="1" si="39"/>
        <v>-</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v>
      </c>
      <c r="CA34" s="770" t="str">
        <f t="shared" ca="1" si="40"/>
        <v>-</v>
      </c>
      <c r="CB34" s="770" t="str">
        <f t="shared" ca="1" si="41"/>
        <v>-</v>
      </c>
      <c r="CC34" s="770" t="str">
        <f t="shared" ca="1" si="42"/>
        <v>-</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v>
      </c>
      <c r="CF34" s="770" t="str">
        <f t="shared" ca="1" si="43"/>
        <v>-</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v>
      </c>
      <c r="CI34" s="770" t="str">
        <f t="shared" ca="1" si="44"/>
        <v>-</v>
      </c>
      <c r="CJ34" s="770" t="str">
        <f t="shared" ca="1" si="45"/>
        <v>-</v>
      </c>
      <c r="CK34" s="770" t="str">
        <f t="shared" ca="1" si="46"/>
        <v>-</v>
      </c>
      <c r="CL34" s="770" t="str">
        <f t="shared" ca="1" si="47"/>
        <v>-</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v>
      </c>
      <c r="CO34" s="770" t="str">
        <f t="shared" ca="1" si="48"/>
        <v>-</v>
      </c>
      <c r="CP34" s="770" t="str">
        <f t="shared" ca="1" si="49"/>
        <v>-</v>
      </c>
      <c r="CQ34" s="770" t="str">
        <f t="shared" ca="1" si="50"/>
        <v>-</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v>
      </c>
      <c r="CT34" s="770" t="str">
        <f t="shared" ca="1" si="51"/>
        <v>-</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v>
      </c>
      <c r="CW34" s="769" t="str">
        <f t="shared" ca="1" si="30"/>
        <v>-</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v>
      </c>
      <c r="CZ34" s="769" t="str">
        <f t="shared" ca="1" si="31"/>
        <v>-</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v>
      </c>
      <c r="DC34" s="768" t="str">
        <f ca="1">IF(DB34="-","-",COUNTIFS(T_Equipos[Rank],"&lt;"&amp;INDEX(T_Equipos[Rank],MATCH(BD34,T_Equipos[NombreEquipo],0)),$BC$6:$BC$53,INDEX(T_Equipos[Grupo],MATCH(BD34,T_Equipos[NombreEquipo],0)))+1)</f>
        <v>-</v>
      </c>
      <c r="DD34" s="768">
        <f ca="1">DA34+COUNTIFS($DB$6:$DB$53,DB34,$DC$6:DC$53,"&lt;"&amp;DC34,$BC$6:$BC$53,INDEX(T_Equipos[Grupo],MATCH(BD34,T_Equipos[NombreEquipo],0)))</f>
        <v>1</v>
      </c>
      <c r="DE34" s="768"/>
      <c r="DF34" s="768">
        <f t="shared" ca="1" si="52"/>
        <v>1</v>
      </c>
      <c r="DG34" s="768" t="str">
        <f ca="1">IF(DB34="-","-",COUNTIFS(DF$6:DF$53,"&lt;"&amp;DF34,$BC$6:$BC$53,INDEX(T_Equipos[Grupo],MATCH(BD34,T_Equipos[NombreEquipo],0))))</f>
        <v>-</v>
      </c>
      <c r="DH34" s="768">
        <f ca="1">DA34+COUNTIFS(DB$6:DB$53,DB34,DG$6:DG$53,"&lt;"&amp;DG34,$BC$6:$BC$53,INDEX(T_Equipos[Grupo],MATCH(BD34,T_Equipos[NombreEquipo],0)))</f>
        <v>1</v>
      </c>
      <c r="DI34" s="756"/>
      <c r="DJ34" s="756">
        <f t="shared" ca="1" si="53"/>
        <v>1</v>
      </c>
      <c r="DK34" s="756">
        <f t="shared" ca="1" si="24"/>
        <v>12</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5" thickBot="1">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1</v>
      </c>
      <c r="BF35" s="760">
        <f t="shared" ca="1" si="26"/>
        <v>3</v>
      </c>
      <c r="BG35" s="760">
        <f t="shared" ca="1" si="17"/>
        <v>0</v>
      </c>
      <c r="BH35" s="760">
        <f t="shared" ca="1" si="18"/>
        <v>1</v>
      </c>
      <c r="BI35" s="760">
        <f t="shared" ca="1" si="19"/>
        <v>2</v>
      </c>
      <c r="BJ35" s="760">
        <f t="shared" ca="1" si="20"/>
        <v>2</v>
      </c>
      <c r="BK35" s="760">
        <f t="shared" ca="1" si="21"/>
        <v>6</v>
      </c>
      <c r="BL35" s="760">
        <f t="shared" ca="1" si="27"/>
        <v>-4</v>
      </c>
      <c r="BM35" s="760" t="str">
        <f t="shared" ca="1" si="22"/>
        <v>4H</v>
      </c>
      <c r="BN35" s="760" t="str">
        <f t="shared" ca="1" si="23"/>
        <v>4H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1</v>
      </c>
      <c r="BS35" s="769">
        <f ca="1">BP35+COUNTIFS($BQ$6:$BQ$53,BQ35,$BR$6:BR$53,"&gt;"&amp;BR35,$BC$6:$BC$53,INDEX(T_Equipos[Grupo],MATCH(BD35,T_Equipos[NombreEquipo],0)))</f>
        <v>4</v>
      </c>
      <c r="BT35" s="769" t="str">
        <f ca="1">IF(COUNTIFS($BS$6:$BS$53,BS35,$BC$6:$BC$53,INDEX(T_Equipos[Grupo],MATCH(BD35,T_Equipos[NombreEquipo],0)))=1,"-","P."&amp;BS35&amp;" ("&amp;COUNTIFS($BS$6:$BS$53,BS35,$BC$6:$BC$53,INDEX(T_Equipos[Grupo],MATCH(BD35,T_Equipos[NombreEquipo],0)))&amp;")")</f>
        <v>-</v>
      </c>
      <c r="BU35" s="770" t="str">
        <f t="shared" ca="1" si="36"/>
        <v>-</v>
      </c>
      <c r="BV35" s="770" t="str">
        <f t="shared" ca="1" si="37"/>
        <v>-</v>
      </c>
      <c r="BW35" s="770" t="str">
        <f t="shared" ca="1" si="38"/>
        <v>-</v>
      </c>
      <c r="BX35" s="770" t="str">
        <f t="shared" ca="1" si="39"/>
        <v>-</v>
      </c>
      <c r="BY35" s="770">
        <f ca="1">BS35+COUNTIFS($BT$6:$BT$53,BT35,$BX$6:BX$53,"&gt;"&amp;BX35,$BC$6:$BC$53,INDEX(T_Equipos[Grupo],MATCH(BD35,T_Equipos[NombreEquipo],0)))</f>
        <v>4</v>
      </c>
      <c r="BZ35" s="769" t="str">
        <f ca="1">IF(COUNTIFS($BY$6:$BY$53,BY35,$BC$6:$BC$53,INDEX(T_Equipos[Grupo],MATCH(BD35,T_Equipos[NombreEquipo],0)))=1,"-","P."&amp;BY35&amp;" ("&amp;COUNTIFS($BY$6:$BY$53,BY35,$BC$6:$BC$53,INDEX(T_Equipos[Grupo],MATCH(BD35,T_Equipos[NombreEquipo],0)))&amp;")")</f>
        <v>-</v>
      </c>
      <c r="CA35" s="770" t="str">
        <f t="shared" ca="1" si="40"/>
        <v>-</v>
      </c>
      <c r="CB35" s="770" t="str">
        <f t="shared" ca="1" si="41"/>
        <v>-</v>
      </c>
      <c r="CC35" s="770" t="str">
        <f t="shared" ca="1" si="42"/>
        <v>-</v>
      </c>
      <c r="CD35" s="770">
        <f ca="1">BY35+COUNTIFS($BZ$6:$BZ$53,BZ35,$CC$6:CC$53,"&gt;"&amp;CC35,$BC$6:$BC$53,INDEX(T_Equipos[Grupo],MATCH(BD35,T_Equipos[NombreEquipo],0)))</f>
        <v>4</v>
      </c>
      <c r="CE35" s="769" t="str">
        <f ca="1">IF(COUNTIFS($CD$6:$CD$53,CD35,$BC$6:$BC$53,INDEX(T_Equipos[Grupo],MATCH(BD35,T_Equipos[NombreEquipo],0)))=1,"-","P."&amp;CD35&amp;" ("&amp;COUNTIFS($CD$6:$CD$53,CD35,$BC$6:$BC$53,INDEX(T_Equipos[Grupo],MATCH(BD35,T_Equipos[NombreEquipo],0)))&amp;")")</f>
        <v>-</v>
      </c>
      <c r="CF35" s="770" t="str">
        <f t="shared" ca="1" si="43"/>
        <v>-</v>
      </c>
      <c r="CG35" s="770">
        <f ca="1">CD35+COUNTIFS($CE$6:$CE$53,CE35,$CF$6:CF$53,"&gt;"&amp;CF35,$BC$6:$BC$53,INDEX(T_Equipos[Grupo],MATCH(BD35,T_Equipos[NombreEquipo],0)))</f>
        <v>4</v>
      </c>
      <c r="CH35" s="769" t="str">
        <f ca="1">IF(COUNTIFS($CG$6:$CG$53,CG35,$BC$6:$BC$53,INDEX(T_Equipos[Grupo],MATCH(BD35,T_Equipos[NombreEquipo],0)))=1,"-","P."&amp;CG35&amp;" ("&amp;COUNTIFS($CG$6:$CG$53,CG35,$BC$6:$BC$53,INDEX(T_Equipos[Grupo],MATCH(BD35,T_Equipos[NombreEquipo],0)))&amp;")")</f>
        <v>-</v>
      </c>
      <c r="CI35" s="770" t="str">
        <f t="shared" ca="1" si="44"/>
        <v>-</v>
      </c>
      <c r="CJ35" s="770" t="str">
        <f t="shared" ca="1" si="45"/>
        <v>-</v>
      </c>
      <c r="CK35" s="770" t="str">
        <f t="shared" ca="1" si="46"/>
        <v>-</v>
      </c>
      <c r="CL35" s="770" t="str">
        <f t="shared" ca="1" si="47"/>
        <v>-</v>
      </c>
      <c r="CM35" s="770">
        <f ca="1">CG35+COUNTIFS($CH$6:$CH$53,CH35,$CL$6:CL$53,"&gt;"&amp;CL35,$BC$6:$BC$53,INDEX(T_Equipos[Grupo],MATCH(BD35,T_Equipos[NombreEquipo],0)))</f>
        <v>4</v>
      </c>
      <c r="CN35" s="769" t="str">
        <f ca="1">IF(COUNTIFS($CM$6:$CM$53,CM35,$BC$6:$BC$53,INDEX(T_Equipos[Grupo],MATCH(BD35,T_Equipos[NombreEquipo],0)))=1,"-","P."&amp;CM35&amp;" ("&amp;COUNTIFS($CM$6:$CM$53,CM35,$BC$6:$BC$53,INDEX(T_Equipos[Grupo],MATCH(BD35,T_Equipos[NombreEquipo],0)))&amp;")")</f>
        <v>-</v>
      </c>
      <c r="CO35" s="770" t="str">
        <f t="shared" ca="1" si="48"/>
        <v>-</v>
      </c>
      <c r="CP35" s="770" t="str">
        <f t="shared" ca="1" si="49"/>
        <v>-</v>
      </c>
      <c r="CQ35" s="770" t="str">
        <f t="shared" ca="1" si="50"/>
        <v>-</v>
      </c>
      <c r="CR35" s="770">
        <f ca="1">CM35+COUNTIFS($CN$6:$CN$53,CN35,$CQ$6:CQ$53,"&gt;"&amp;CQ35,$BC$6:$BC$53,INDEX(T_Equipos[Grupo],MATCH(BD35,T_Equipos[NombreEquipo],0)))</f>
        <v>4</v>
      </c>
      <c r="CS35" s="769" t="str">
        <f ca="1">IF(COUNTIFS($CR$6:$CR$53,CR35,$BC$6:$BC$53,INDEX(T_Equipos[Grupo],MATCH(BD35,T_Equipos[NombreEquipo],0)))=1,"-","P."&amp;CR35&amp;" ("&amp;COUNTIFS($CR$6:$CR$53,CR35,$BC$6:$BC$53,INDEX(T_Equipos[Grupo],MATCH(BD35,T_Equipos[NombreEquipo],0)))&amp;")")</f>
        <v>-</v>
      </c>
      <c r="CT35" s="770" t="str">
        <f t="shared" ca="1" si="51"/>
        <v>-</v>
      </c>
      <c r="CU35" s="770">
        <f ca="1">CR35+COUNTIFS($CS$6:$CS$53,CS35,$CT$6:CT$53,"&gt;"&amp;CT35,$BC$6:$BC$53,INDEX(T_Equipos[Grupo],MATCH(BD35,T_Equipos[NombreEquipo],0)))</f>
        <v>4</v>
      </c>
      <c r="CV35" s="769" t="str">
        <f ca="1">IF(COUNTIFS($CU$6:$CU$53,CU35,$BC$6:$BC$53,INDEX(T_Equipos[Grupo],MATCH(BD35,T_Equipos[NombreEquipo],0)))=1,"-","P."&amp;CU35&amp;" ("&amp;COUNTIFS($CU$6:$CU$53,CU35,$BC$6:$BC$53,INDEX(T_Equipos[Grupo],MATCH(BD35,T_Equipos[NombreEquipo],0)))&amp;")")</f>
        <v>-</v>
      </c>
      <c r="CW35" s="769" t="str">
        <f t="shared" ca="1" si="30"/>
        <v>-</v>
      </c>
      <c r="CX35" s="769">
        <f ca="1">CU35+COUNTIFS($CV$6:$CV$53,CV35,$CW$6:CW$53,"&gt;"&amp;CW35,$BC$6:$BC$53,INDEX(T_Equipos[Grupo],MATCH(BD35,T_Equipos[NombreEquipo],0)))</f>
        <v>4</v>
      </c>
      <c r="CY35" s="769" t="str">
        <f ca="1">IF(COUNTIFS($CX$6:$CX$53,CX35,$BC$6:$BC$53,INDEX(T_Equipos[Grupo],MATCH(BD35,T_Equipos[NombreEquipo],0)))=1,"-","P."&amp;CX35&amp;" ("&amp;COUNTIFS($CX$6:$CX$53,CX35,$BC$6:$BC$53,INDEX(T_Equipos[Grupo],MATCH(BD35,T_Equipos[NombreEquipo],0)))&amp;")")</f>
        <v>-</v>
      </c>
      <c r="CZ35" s="769" t="str">
        <f t="shared" ca="1" si="31"/>
        <v>-</v>
      </c>
      <c r="DA35" s="770">
        <f ca="1">CX35+COUNTIFS($CY$6:$CY$53,CY35,$CZ$6:CZ$53,"&gt;"&amp;CZ35,$BC$6:$BC$53,INDEX(T_Equipos[Grupo],MATCH(BD35,T_Equipos[NombreEquipo],0)))</f>
        <v>4</v>
      </c>
      <c r="DB35" s="769" t="str">
        <f ca="1">IF(COUNTIFS($DA$6:$DA$53,DA35,$BC$6:$BC$53,INDEX(T_Equipos[Grupo],MATCH(BD35,T_Equipos[NombreEquipo],0)))=1,"-","P."&amp;DA35&amp;" ("&amp;COUNTIFS($DA$6:$DA$53,DA35,$BC$6:$BC$53,INDEX(T_Equipos[Grupo],MATCH(BD35,T_Equipos[NombreEquipo],0)))&amp;")")</f>
        <v>-</v>
      </c>
      <c r="DC35" s="768" t="str">
        <f ca="1">IF(DB35="-","-",COUNTIFS(T_Equipos[Rank],"&lt;"&amp;INDEX(T_Equipos[Rank],MATCH(BD35,T_Equipos[NombreEquipo],0)),$BC$6:$BC$53,INDEX(T_Equipos[Grupo],MATCH(BD35,T_Equipos[NombreEquipo],0)))+1)</f>
        <v>-</v>
      </c>
      <c r="DD35" s="768">
        <f ca="1">DA35+COUNTIFS($DB$6:$DB$53,DB35,$DC$6:DC$53,"&lt;"&amp;DC35,$BC$6:$BC$53,INDEX(T_Equipos[Grupo],MATCH(BD35,T_Equipos[NombreEquipo],0)))</f>
        <v>4</v>
      </c>
      <c r="DE35" s="768"/>
      <c r="DF35" s="768">
        <f t="shared" ca="1" si="52"/>
        <v>4</v>
      </c>
      <c r="DG35" s="768" t="str">
        <f ca="1">IF(DB35="-","-",COUNTIFS(DF$6:DF$53,"&lt;"&amp;DF35,$BC$6:$BC$53,INDEX(T_Equipos[Grupo],MATCH(BD35,T_Equipos[NombreEquipo],0))))</f>
        <v>-</v>
      </c>
      <c r="DH35" s="768">
        <f ca="1">DA35+COUNTIFS(DB$6:DB$53,DB35,DG$6:DG$53,"&lt;"&amp;DG35,$BC$6:$BC$53,INDEX(T_Equipos[Grupo],MATCH(BD35,T_Equipos[NombreEquipo],0)))</f>
        <v>4</v>
      </c>
      <c r="DI35" s="756"/>
      <c r="DJ35" s="756">
        <f t="shared" ca="1" si="53"/>
        <v>2</v>
      </c>
      <c r="DK35" s="756">
        <f t="shared" ca="1" si="24"/>
        <v>12</v>
      </c>
      <c r="DL35" s="756">
        <f t="shared" ca="1" si="33"/>
        <v>1</v>
      </c>
      <c r="DM35" s="750" t="str">
        <f t="shared" ca="1" si="34"/>
        <v>2.1</v>
      </c>
      <c r="DN35" s="756" cm="1">
        <f t="array" aca="1" ref="DN35" ca="1">OFFSET(Horarios!$P$3,DJ35-1,0,DL35,1)</f>
        <v>2</v>
      </c>
      <c r="DO35" s="756"/>
      <c r="DP35" s="756" t="s">
        <v>671</v>
      </c>
      <c r="DQ35" s="756" t="str">
        <f t="shared" ca="1" si="35"/>
        <v>Uruguay</v>
      </c>
      <c r="DR35" s="756"/>
      <c r="DS35" s="756"/>
      <c r="DT35" s="756" t="str">
        <f t="shared" si="15"/>
        <v>Casa-Fuera</v>
      </c>
      <c r="DU35" s="756"/>
      <c r="DV35" s="756"/>
      <c r="DW35" s="8"/>
    </row>
    <row r="36" spans="1:127" ht="15" customHeight="1" thickBot="1">
      <c r="A36" s="753" t="s">
        <v>30</v>
      </c>
      <c r="B36" s="754" t="s">
        <v>3</v>
      </c>
      <c r="C36" s="755">
        <f>COUNTIF(Equipos!$C$2:$C$49,WORLDCUP!B36)</f>
        <v>4</v>
      </c>
      <c r="D36" s="756" t="str">
        <f t="shared" ref="D36:D41" si="115">IF(OR(AC36="",AD36=""),"Pendiente",IF(AC36&gt;AD36,"Local",IF(AC36&lt;AD36,"Visitante","Empate")))</f>
        <v>Local</v>
      </c>
      <c r="E36" s="756" t="str">
        <f t="shared" ref="E36:E41" ca="1" si="116">IF(D36="Pendiente","-",INDEX($BT$6:$BT$53,MATCH($AA36,$BD$6:$BD$53,0)))</f>
        <v>-</v>
      </c>
      <c r="F36" s="756" t="str">
        <f t="shared" ref="F36:F41" ca="1" si="117">IF(D36="Pendiente","-",INDEX($BT$6:$BT$53,MATCH($AF36,$BD$6:$BD$53,0)))</f>
        <v>-</v>
      </c>
      <c r="G36" s="756"/>
      <c r="H36" s="756" t="str">
        <f t="shared" ref="H36:H41" ca="1" si="118">IF(D36="Pendiente","-",INDEX($BZ$6:$BZ$53,MATCH($AA36,$BD$6:$BD$53,0)))</f>
        <v>-</v>
      </c>
      <c r="I36" s="756" t="str">
        <f t="shared" ref="I36:I41" ca="1" si="119">IF(D36="Pendiente","-",INDEX($BZ$6:$BZ$53,MATCH($AF36,$BD$6:$BD$53,0)))</f>
        <v>-</v>
      </c>
      <c r="J36" s="756"/>
      <c r="K36" s="756" t="str">
        <f t="shared" ref="K36:K41" ca="1" si="120">IF(D36="Pendiente","-",INDEX($CE$6:$CE$53,MATCH($AA36,$BD$6:$BD$53,0)))</f>
        <v>-</v>
      </c>
      <c r="L36" s="756" t="str">
        <f t="shared" ref="L36:L41" ca="1" si="121">IF(D36="Pendiente","-",INDEX($CE$6:$CE$53,MATCH($AF36,$BD$6:$BD$53,0)))</f>
        <v>-</v>
      </c>
      <c r="M36" s="756"/>
      <c r="N36" s="756" t="str">
        <f t="shared" ref="N36:N41" ca="1" si="122">IF(D36="Pendiente","-",INDEX($CH$6:$CH$53,MATCH($AA36,$BD$6:$BD$53,0)))</f>
        <v>-</v>
      </c>
      <c r="O36" s="756" t="str">
        <f t="shared" ref="O36:O41" ca="1" si="123">IF(D36="Pendiente","-",INDEX($CH$6:$CH$53,MATCH($AF36,$BD$6:$BD$53,0)))</f>
        <v>-</v>
      </c>
      <c r="P36" s="756"/>
      <c r="Q36" s="756" t="str">
        <f t="shared" ref="Q36:Q41" ca="1" si="124">IF(D36="Pendiente","-",INDEX($CN$6:$CN$53,MATCH($AA36,$BD$6:$BD$53,0)))</f>
        <v>-</v>
      </c>
      <c r="R36" s="756" t="str">
        <f t="shared" ref="R36:R41" ca="1" si="125">IF(D36="Pendiente","-",INDEX($CN$6:$CN$53,MATCH($AF36,$BD$6:$BD$53,0)))</f>
        <v>-</v>
      </c>
      <c r="S36" s="756"/>
      <c r="T36" s="756" t="str">
        <f t="shared" ref="T36:T41" ca="1" si="126">IF(D36="Pendiente","-",INDEX($CS$6:$CS$53,MATCH($AA36,$BD$6:$BD$53,0)))</f>
        <v>-</v>
      </c>
      <c r="U36" s="756" t="str">
        <f t="shared" ref="U36:U41" ca="1" si="127">IF(D36="Pendiente","-",INDEX($CS$6:$CS$53,MATCH($AF36,$BD$6:$BD$53,0)))</f>
        <v>-</v>
      </c>
      <c r="V36" s="178"/>
      <c r="W36" s="845" t="s">
        <v>3</v>
      </c>
      <c r="X36" s="195">
        <f ca="1">Horarios!C36</f>
        <v>46187.458333333328</v>
      </c>
      <c r="Y36" s="196">
        <f ca="1">Horarios!C36</f>
        <v>46187.458333333328</v>
      </c>
      <c r="Z36" s="197" t="str">
        <f>$Z$4</f>
        <v>J1</v>
      </c>
      <c r="AA36" s="198" t="str">
        <f ca="1">A37</f>
        <v>Alemania</v>
      </c>
      <c r="AB36" s="486" t="str" cm="1">
        <f t="array" aca="1" ref="AB36" ca="1">Ver_flag_local</f>
        <v/>
      </c>
      <c r="AC36" s="199">
        <v>3</v>
      </c>
      <c r="AD36" s="200">
        <v>0</v>
      </c>
      <c r="AE36" s="491" t="str" cm="1">
        <f t="array" aca="1" ref="AE36" ca="1">Ver_flag_visit</f>
        <v/>
      </c>
      <c r="AF36" s="201" t="str">
        <f ca="1">A38</f>
        <v>Curazao</v>
      </c>
      <c r="AG36" s="421">
        <f t="shared" ref="AG36:AG41" si="128">IF(NOT(OR(ISBLANK(AC36),ISBLANK(AD36))),1,0)</f>
        <v>1</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3</v>
      </c>
      <c r="BF36" s="760">
        <f t="shared" ca="1" si="26"/>
        <v>3</v>
      </c>
      <c r="BG36" s="760">
        <f t="shared" ca="1" si="17"/>
        <v>1</v>
      </c>
      <c r="BH36" s="760">
        <f t="shared" ca="1" si="18"/>
        <v>0</v>
      </c>
      <c r="BI36" s="760">
        <f t="shared" ca="1" si="19"/>
        <v>2</v>
      </c>
      <c r="BJ36" s="760">
        <f t="shared" ca="1" si="20"/>
        <v>3</v>
      </c>
      <c r="BK36" s="760">
        <f t="shared" ca="1" si="21"/>
        <v>7</v>
      </c>
      <c r="BL36" s="760">
        <f t="shared" ca="1" si="27"/>
        <v>-4</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3</v>
      </c>
      <c r="BS36" s="769">
        <f ca="1">BP36+COUNTIFS($BQ$6:$BQ$53,BQ36,$BR$6:BR$53,"&gt;"&amp;BR36,$BC$6:$BC$53,INDEX(T_Equipos[Grupo],MATCH(BD36,T_Equipos[NombreEquipo],0)))</f>
        <v>3</v>
      </c>
      <c r="BT36" s="769" t="str">
        <f ca="1">IF(COUNTIFS($BS$6:$BS$53,BS36,$BC$6:$BC$53,INDEX(T_Equipos[Grupo],MATCH(BD36,T_Equipos[NombreEquipo],0)))=1,"-","P."&amp;BS36&amp;" ("&amp;COUNTIFS($BS$6:$BS$53,BS36,$BC$6:$BC$53,INDEX(T_Equipos[Grupo],MATCH(BD36,T_Equipos[NombreEquipo],0)))&amp;")")</f>
        <v>-</v>
      </c>
      <c r="BU36" s="770" t="str">
        <f t="shared" ca="1" si="36"/>
        <v>-</v>
      </c>
      <c r="BV36" s="770" t="str">
        <f t="shared" ca="1" si="37"/>
        <v>-</v>
      </c>
      <c r="BW36" s="770" t="str">
        <f t="shared" ca="1" si="38"/>
        <v>-</v>
      </c>
      <c r="BX36" s="770" t="str">
        <f t="shared" ca="1" si="39"/>
        <v>-</v>
      </c>
      <c r="BY36" s="770">
        <f ca="1">BS36+COUNTIFS($BT$6:$BT$53,BT36,$BX$6:BX$53,"&gt;"&amp;BX36,$BC$6:$BC$53,INDEX(T_Equipos[Grupo],MATCH(BD36,T_Equipos[NombreEquipo],0)))</f>
        <v>3</v>
      </c>
      <c r="BZ36" s="769" t="str">
        <f ca="1">IF(COUNTIFS($BY$6:$BY$53,BY36,$BC$6:$BC$53,INDEX(T_Equipos[Grupo],MATCH(BD36,T_Equipos[NombreEquipo],0)))=1,"-","P."&amp;BY36&amp;" ("&amp;COUNTIFS($BY$6:$BY$53,BY36,$BC$6:$BC$53,INDEX(T_Equipos[Grupo],MATCH(BD36,T_Equipos[NombreEquipo],0)))&amp;")")</f>
        <v>-</v>
      </c>
      <c r="CA36" s="770" t="str">
        <f t="shared" ca="1" si="40"/>
        <v>-</v>
      </c>
      <c r="CB36" s="770" t="str">
        <f t="shared" ca="1" si="41"/>
        <v>-</v>
      </c>
      <c r="CC36" s="770" t="str">
        <f t="shared" ca="1" si="42"/>
        <v>-</v>
      </c>
      <c r="CD36" s="770">
        <f ca="1">BY36+COUNTIFS($BZ$6:$BZ$53,BZ36,$CC$6:CC$53,"&gt;"&amp;CC36,$BC$6:$BC$53,INDEX(T_Equipos[Grupo],MATCH(BD36,T_Equipos[NombreEquipo],0)))</f>
        <v>3</v>
      </c>
      <c r="CE36" s="769" t="str">
        <f ca="1">IF(COUNTIFS($CD$6:$CD$53,CD36,$BC$6:$BC$53,INDEX(T_Equipos[Grupo],MATCH(BD36,T_Equipos[NombreEquipo],0)))=1,"-","P."&amp;CD36&amp;" ("&amp;COUNTIFS($CD$6:$CD$53,CD36,$BC$6:$BC$53,INDEX(T_Equipos[Grupo],MATCH(BD36,T_Equipos[NombreEquipo],0)))&amp;")")</f>
        <v>-</v>
      </c>
      <c r="CF36" s="770" t="str">
        <f t="shared" ca="1" si="43"/>
        <v>-</v>
      </c>
      <c r="CG36" s="770">
        <f ca="1">CD36+COUNTIFS($CE$6:$CE$53,CE36,$CF$6:CF$53,"&gt;"&amp;CF36,$BC$6:$BC$53,INDEX(T_Equipos[Grupo],MATCH(BD36,T_Equipos[NombreEquipo],0)))</f>
        <v>3</v>
      </c>
      <c r="CH36" s="769" t="str">
        <f ca="1">IF(COUNTIFS($CG$6:$CG$53,CG36,$BC$6:$BC$53,INDEX(T_Equipos[Grupo],MATCH(BD36,T_Equipos[NombreEquipo],0)))=1,"-","P."&amp;CG36&amp;" ("&amp;COUNTIFS($CG$6:$CG$53,CG36,$BC$6:$BC$53,INDEX(T_Equipos[Grupo],MATCH(BD36,T_Equipos[NombreEquipo],0)))&amp;")")</f>
        <v>-</v>
      </c>
      <c r="CI36" s="770" t="str">
        <f t="shared" ca="1" si="44"/>
        <v>-</v>
      </c>
      <c r="CJ36" s="770" t="str">
        <f t="shared" ca="1" si="45"/>
        <v>-</v>
      </c>
      <c r="CK36" s="770" t="str">
        <f t="shared" ca="1" si="46"/>
        <v>-</v>
      </c>
      <c r="CL36" s="770" t="str">
        <f t="shared" ca="1" si="47"/>
        <v>-</v>
      </c>
      <c r="CM36" s="770">
        <f ca="1">CG36+COUNTIFS($CH$6:$CH$53,CH36,$CL$6:CL$53,"&gt;"&amp;CL36,$BC$6:$BC$53,INDEX(T_Equipos[Grupo],MATCH(BD36,T_Equipos[NombreEquipo],0)))</f>
        <v>3</v>
      </c>
      <c r="CN36" s="769" t="str">
        <f ca="1">IF(COUNTIFS($CM$6:$CM$53,CM36,$BC$6:$BC$53,INDEX(T_Equipos[Grupo],MATCH(BD36,T_Equipos[NombreEquipo],0)))=1,"-","P."&amp;CM36&amp;" ("&amp;COUNTIFS($CM$6:$CM$53,CM36,$BC$6:$BC$53,INDEX(T_Equipos[Grupo],MATCH(BD36,T_Equipos[NombreEquipo],0)))&amp;")")</f>
        <v>-</v>
      </c>
      <c r="CO36" s="770" t="str">
        <f t="shared" ca="1" si="48"/>
        <v>-</v>
      </c>
      <c r="CP36" s="770" t="str">
        <f t="shared" ca="1" si="49"/>
        <v>-</v>
      </c>
      <c r="CQ36" s="770" t="str">
        <f t="shared" ca="1" si="50"/>
        <v>-</v>
      </c>
      <c r="CR36" s="770">
        <f ca="1">CM36+COUNTIFS($CN$6:$CN$53,CN36,$CQ$6:CQ$53,"&gt;"&amp;CQ36,$BC$6:$BC$53,INDEX(T_Equipos[Grupo],MATCH(BD36,T_Equipos[NombreEquipo],0)))</f>
        <v>3</v>
      </c>
      <c r="CS36" s="769" t="str">
        <f ca="1">IF(COUNTIFS($CR$6:$CR$53,CR36,$BC$6:$BC$53,INDEX(T_Equipos[Grupo],MATCH(BD36,T_Equipos[NombreEquipo],0)))=1,"-","P."&amp;CR36&amp;" ("&amp;COUNTIFS($CR$6:$CR$53,CR36,$BC$6:$BC$53,INDEX(T_Equipos[Grupo],MATCH(BD36,T_Equipos[NombreEquipo],0)))&amp;")")</f>
        <v>-</v>
      </c>
      <c r="CT36" s="770" t="str">
        <f t="shared" ca="1" si="51"/>
        <v>-</v>
      </c>
      <c r="CU36" s="770">
        <f ca="1">CR36+COUNTIFS($CS$6:$CS$53,CS36,$CT$6:CT$53,"&gt;"&amp;CT36,$BC$6:$BC$53,INDEX(T_Equipos[Grupo],MATCH(BD36,T_Equipos[NombreEquipo],0)))</f>
        <v>3</v>
      </c>
      <c r="CV36" s="769" t="str">
        <f ca="1">IF(COUNTIFS($CU$6:$CU$53,CU36,$BC$6:$BC$53,INDEX(T_Equipos[Grupo],MATCH(BD36,T_Equipos[NombreEquipo],0)))=1,"-","P."&amp;CU36&amp;" ("&amp;COUNTIFS($CU$6:$CU$53,CU36,$BC$6:$BC$53,INDEX(T_Equipos[Grupo],MATCH(BD36,T_Equipos[NombreEquipo],0)))&amp;")")</f>
        <v>-</v>
      </c>
      <c r="CW36" s="769" t="str">
        <f t="shared" ca="1" si="30"/>
        <v>-</v>
      </c>
      <c r="CX36" s="769">
        <f ca="1">CU36+COUNTIFS($CV$6:$CV$53,CV36,$CW$6:CW$53,"&gt;"&amp;CW36,$BC$6:$BC$53,INDEX(T_Equipos[Grupo],MATCH(BD36,T_Equipos[NombreEquipo],0)))</f>
        <v>3</v>
      </c>
      <c r="CY36" s="769" t="str">
        <f ca="1">IF(COUNTIFS($CX$6:$CX$53,CX36,$BC$6:$BC$53,INDEX(T_Equipos[Grupo],MATCH(BD36,T_Equipos[NombreEquipo],0)))=1,"-","P."&amp;CX36&amp;" ("&amp;COUNTIFS($CX$6:$CX$53,CX36,$BC$6:$BC$53,INDEX(T_Equipos[Grupo],MATCH(BD36,T_Equipos[NombreEquipo],0)))&amp;")")</f>
        <v>-</v>
      </c>
      <c r="CZ36" s="769" t="str">
        <f t="shared" ca="1" si="31"/>
        <v>-</v>
      </c>
      <c r="DA36" s="770">
        <f ca="1">CX36+COUNTIFS($CY$6:$CY$53,CY36,$CZ$6:CZ$53,"&gt;"&amp;CZ36,$BC$6:$BC$53,INDEX(T_Equipos[Grupo],MATCH(BD36,T_Equipos[NombreEquipo],0)))</f>
        <v>3</v>
      </c>
      <c r="DB36" s="769" t="str">
        <f ca="1">IF(COUNTIFS($DA$6:$DA$53,DA36,$BC$6:$BC$53,INDEX(T_Equipos[Grupo],MATCH(BD36,T_Equipos[NombreEquipo],0)))=1,"-","P."&amp;DA36&amp;" ("&amp;COUNTIFS($DA$6:$DA$53,DA36,$BC$6:$BC$53,INDEX(T_Equipos[Grupo],MATCH(BD36,T_Equipos[NombreEquipo],0)))&amp;")")</f>
        <v>-</v>
      </c>
      <c r="DC36" s="768" t="str">
        <f ca="1">IF(DB36="-","-",COUNTIFS(T_Equipos[Rank],"&lt;"&amp;INDEX(T_Equipos[Rank],MATCH(BD36,T_Equipos[NombreEquipo],0)),$BC$6:$BC$53,INDEX(T_Equipos[Grupo],MATCH(BD36,T_Equipos[NombreEquipo],0)))+1)</f>
        <v>-</v>
      </c>
      <c r="DD36" s="768">
        <f ca="1">DA36+COUNTIFS($DB$6:$DB$53,DB36,$DC$6:DC$53,"&lt;"&amp;DC36,$BC$6:$BC$53,INDEX(T_Equipos[Grupo],MATCH(BD36,T_Equipos[NombreEquipo],0)))</f>
        <v>3</v>
      </c>
      <c r="DE36" s="768"/>
      <c r="DF36" s="768">
        <f t="shared" ca="1" si="52"/>
        <v>3</v>
      </c>
      <c r="DG36" s="768" t="str">
        <f ca="1">IF(DB36="-","-",COUNTIFS(DF$6:DF$53,"&lt;"&amp;DF36,$BC$6:$BC$53,INDEX(T_Equipos[Grupo],MATCH(BD36,T_Equipos[NombreEquipo],0))))</f>
        <v>-</v>
      </c>
      <c r="DH36" s="768">
        <f ca="1">DA36+COUNTIFS(DB$6:DB$53,DB36,DG$6:DG$53,"&lt;"&amp;DG36,$BC$6:$BC$53,INDEX(T_Equipos[Grupo],MATCH(BD36,T_Equipos[NombreEquipo],0)))</f>
        <v>3</v>
      </c>
      <c r="DI36" s="756"/>
      <c r="DJ36" s="756">
        <f t="shared" ca="1" si="53"/>
        <v>3</v>
      </c>
      <c r="DK36" s="756">
        <f t="shared" ca="1" si="24"/>
        <v>12</v>
      </c>
      <c r="DL36" s="756">
        <f t="shared" ca="1" si="33"/>
        <v>1</v>
      </c>
      <c r="DM36" s="750" t="str">
        <f t="shared" ca="1" si="34"/>
        <v>3.1</v>
      </c>
      <c r="DN36" s="756" cm="1">
        <f t="array" aca="1" ref="DN36" ca="1">OFFSET(Horarios!$P$3,DJ36-1,0,DL36,1)</f>
        <v>3</v>
      </c>
      <c r="DO36" s="756"/>
      <c r="DP36" s="756" t="s">
        <v>436</v>
      </c>
      <c r="DQ36" s="756" t="str">
        <f t="shared" ca="1" si="35"/>
        <v>Arabia Saudita</v>
      </c>
      <c r="DR36" s="756"/>
      <c r="DS36" s="756"/>
      <c r="DT36" s="756" t="str">
        <f t="shared" ca="1" si="15"/>
        <v>Alemania-Curazao</v>
      </c>
      <c r="DU36" s="756"/>
      <c r="DV36" s="756"/>
      <c r="DW36" s="8"/>
    </row>
    <row r="37" spans="1:127" ht="16" customHeight="1">
      <c r="A37" s="757" t="str">
        <f ca="1">+Equipos!B18</f>
        <v>Alemania</v>
      </c>
      <c r="B37" s="754"/>
      <c r="C37" s="754"/>
      <c r="D37" s="756" t="str">
        <f t="shared" si="115"/>
        <v>Empate</v>
      </c>
      <c r="E37" s="756" t="str">
        <f t="shared" ca="1" si="116"/>
        <v>-</v>
      </c>
      <c r="F37" s="756" t="str">
        <f t="shared" ca="1" si="117"/>
        <v>-</v>
      </c>
      <c r="G37" s="756"/>
      <c r="H37" s="756" t="str">
        <f t="shared" ca="1" si="118"/>
        <v>-</v>
      </c>
      <c r="I37" s="756" t="str">
        <f t="shared" ca="1" si="119"/>
        <v>-</v>
      </c>
      <c r="J37" s="756"/>
      <c r="K37" s="756" t="str">
        <f t="shared" ca="1" si="120"/>
        <v>-</v>
      </c>
      <c r="L37" s="756" t="str">
        <f t="shared" ca="1" si="121"/>
        <v>-</v>
      </c>
      <c r="M37" s="756"/>
      <c r="N37" s="756" t="str">
        <f t="shared" ca="1" si="122"/>
        <v>-</v>
      </c>
      <c r="O37" s="756" t="str">
        <f t="shared" ca="1" si="123"/>
        <v>-</v>
      </c>
      <c r="P37" s="756"/>
      <c r="Q37" s="756" t="str">
        <f t="shared" ca="1" si="124"/>
        <v>-</v>
      </c>
      <c r="R37" s="756" t="str">
        <f t="shared" ca="1" si="125"/>
        <v>-</v>
      </c>
      <c r="S37" s="756"/>
      <c r="T37" s="756" t="str">
        <f t="shared" ca="1" si="126"/>
        <v>-</v>
      </c>
      <c r="U37" s="756" t="str">
        <f t="shared" ca="1" si="127"/>
        <v>-</v>
      </c>
      <c r="V37" s="178"/>
      <c r="W37" s="845"/>
      <c r="X37" s="195">
        <f ca="1">Horarios!C37</f>
        <v>46187.708333333328</v>
      </c>
      <c r="Y37" s="196">
        <f ca="1">Horarios!C37</f>
        <v>46187.708333333328</v>
      </c>
      <c r="Z37" s="197" t="str">
        <f>$Z$4</f>
        <v>J1</v>
      </c>
      <c r="AA37" s="198" t="str">
        <f ca="1">A39</f>
        <v>Costa de Marfil</v>
      </c>
      <c r="AB37" s="486" t="str" cm="1">
        <f t="array" aca="1" ref="AB37" ca="1">Ver_flag_local</f>
        <v/>
      </c>
      <c r="AC37" s="199">
        <v>3</v>
      </c>
      <c r="AD37" s="200">
        <v>3</v>
      </c>
      <c r="AE37" s="491" t="str" cm="1">
        <f t="array" aca="1" ref="AE37" ca="1">Ver_flag_visit</f>
        <v/>
      </c>
      <c r="AF37" s="201" t="str">
        <f ca="1">A40</f>
        <v>Ecuador</v>
      </c>
      <c r="AG37" s="421">
        <f t="shared" si="128"/>
        <v>1</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5</v>
      </c>
      <c r="BF37" s="760">
        <f t="shared" ca="1" si="26"/>
        <v>3</v>
      </c>
      <c r="BG37" s="760">
        <f t="shared" ca="1" si="17"/>
        <v>1</v>
      </c>
      <c r="BH37" s="760">
        <f t="shared" ca="1" si="18"/>
        <v>2</v>
      </c>
      <c r="BI37" s="760">
        <f t="shared" ca="1" si="19"/>
        <v>0</v>
      </c>
      <c r="BJ37" s="760">
        <f t="shared" ca="1" si="20"/>
        <v>4</v>
      </c>
      <c r="BK37" s="760">
        <f t="shared" ca="1" si="21"/>
        <v>3</v>
      </c>
      <c r="BL37" s="760">
        <f t="shared" ca="1" si="27"/>
        <v>1</v>
      </c>
      <c r="BM37" s="760" t="str">
        <f t="shared" ca="1" si="22"/>
        <v>2H</v>
      </c>
      <c r="BN37" s="760" t="str">
        <f t="shared" ca="1" si="23"/>
        <v>2H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5</v>
      </c>
      <c r="BS37" s="769">
        <f ca="1">BP37+COUNTIFS($BQ$6:$BQ$53,BQ37,$BR$6:BR$53,"&gt;"&amp;BR37,$BC$6:$BC$53,INDEX(T_Equipos[Grupo],MATCH(BD37,T_Equipos[NombreEquipo],0)))</f>
        <v>2</v>
      </c>
      <c r="BT37" s="769" t="str">
        <f ca="1">IF(COUNTIFS($BS$6:$BS$53,BS37,$BC$6:$BC$53,INDEX(T_Equipos[Grupo],MATCH(BD37,T_Equipos[NombreEquipo],0)))=1,"-","P."&amp;BS37&amp;" ("&amp;COUNTIFS($BS$6:$BS$53,BS37,$BC$6:$BC$53,INDEX(T_Equipos[Grupo],MATCH(BD37,T_Equipos[NombreEquipo],0)))&amp;")")</f>
        <v>-</v>
      </c>
      <c r="BU37" s="770" t="str">
        <f t="shared" ca="1" si="36"/>
        <v>-</v>
      </c>
      <c r="BV37" s="770" t="str">
        <f t="shared" ca="1" si="37"/>
        <v>-</v>
      </c>
      <c r="BW37" s="770" t="str">
        <f t="shared" ca="1" si="38"/>
        <v>-</v>
      </c>
      <c r="BX37" s="770" t="str">
        <f t="shared" ca="1" si="39"/>
        <v>-</v>
      </c>
      <c r="BY37" s="770">
        <f ca="1">BS37+COUNTIFS($BT$6:$BT$53,BT37,$BX$6:BX$53,"&gt;"&amp;BX37,$BC$6:$BC$53,INDEX(T_Equipos[Grupo],MATCH(BD37,T_Equipos[NombreEquipo],0)))</f>
        <v>2</v>
      </c>
      <c r="BZ37" s="769" t="str">
        <f ca="1">IF(COUNTIFS($BY$6:$BY$53,BY37,$BC$6:$BC$53,INDEX(T_Equipos[Grupo],MATCH(BD37,T_Equipos[NombreEquipo],0)))=1,"-","P."&amp;BY37&amp;" ("&amp;COUNTIFS($BY$6:$BY$53,BY37,$BC$6:$BC$53,INDEX(T_Equipos[Grupo],MATCH(BD37,T_Equipos[NombreEquipo],0)))&amp;")")</f>
        <v>-</v>
      </c>
      <c r="CA37" s="770" t="str">
        <f t="shared" ca="1" si="40"/>
        <v>-</v>
      </c>
      <c r="CB37" s="770" t="str">
        <f t="shared" ca="1" si="41"/>
        <v>-</v>
      </c>
      <c r="CC37" s="770" t="str">
        <f t="shared" ca="1" si="42"/>
        <v>-</v>
      </c>
      <c r="CD37" s="770">
        <f ca="1">BY37+COUNTIFS($BZ$6:$BZ$53,BZ37,$CC$6:CC$53,"&gt;"&amp;CC37,$BC$6:$BC$53,INDEX(T_Equipos[Grupo],MATCH(BD37,T_Equipos[NombreEquipo],0)))</f>
        <v>2</v>
      </c>
      <c r="CE37" s="769" t="str">
        <f ca="1">IF(COUNTIFS($CD$6:$CD$53,CD37,$BC$6:$BC$53,INDEX(T_Equipos[Grupo],MATCH(BD37,T_Equipos[NombreEquipo],0)))=1,"-","P."&amp;CD37&amp;" ("&amp;COUNTIFS($CD$6:$CD$53,CD37,$BC$6:$BC$53,INDEX(T_Equipos[Grupo],MATCH(BD37,T_Equipos[NombreEquipo],0)))&amp;")")</f>
        <v>-</v>
      </c>
      <c r="CF37" s="770" t="str">
        <f t="shared" ca="1" si="43"/>
        <v>-</v>
      </c>
      <c r="CG37" s="770">
        <f ca="1">CD37+COUNTIFS($CE$6:$CE$53,CE37,$CF$6:CF$53,"&gt;"&amp;CF37,$BC$6:$BC$53,INDEX(T_Equipos[Grupo],MATCH(BD37,T_Equipos[NombreEquipo],0)))</f>
        <v>2</v>
      </c>
      <c r="CH37" s="769" t="str">
        <f ca="1">IF(COUNTIFS($CG$6:$CG$53,CG37,$BC$6:$BC$53,INDEX(T_Equipos[Grupo],MATCH(BD37,T_Equipos[NombreEquipo],0)))=1,"-","P."&amp;CG37&amp;" ("&amp;COUNTIFS($CG$6:$CG$53,CG37,$BC$6:$BC$53,INDEX(T_Equipos[Grupo],MATCH(BD37,T_Equipos[NombreEquipo],0)))&amp;")")</f>
        <v>-</v>
      </c>
      <c r="CI37" s="770" t="str">
        <f t="shared" ca="1" si="44"/>
        <v>-</v>
      </c>
      <c r="CJ37" s="770" t="str">
        <f t="shared" ca="1" si="45"/>
        <v>-</v>
      </c>
      <c r="CK37" s="770" t="str">
        <f t="shared" ca="1" si="46"/>
        <v>-</v>
      </c>
      <c r="CL37" s="770" t="str">
        <f t="shared" ca="1" si="47"/>
        <v>-</v>
      </c>
      <c r="CM37" s="770">
        <f ca="1">CG37+COUNTIFS($CH$6:$CH$53,CH37,$CL$6:CL$53,"&gt;"&amp;CL37,$BC$6:$BC$53,INDEX(T_Equipos[Grupo],MATCH(BD37,T_Equipos[NombreEquipo],0)))</f>
        <v>2</v>
      </c>
      <c r="CN37" s="769" t="str">
        <f ca="1">IF(COUNTIFS($CM$6:$CM$53,CM37,$BC$6:$BC$53,INDEX(T_Equipos[Grupo],MATCH(BD37,T_Equipos[NombreEquipo],0)))=1,"-","P."&amp;CM37&amp;" ("&amp;COUNTIFS($CM$6:$CM$53,CM37,$BC$6:$BC$53,INDEX(T_Equipos[Grupo],MATCH(BD37,T_Equipos[NombreEquipo],0)))&amp;")")</f>
        <v>-</v>
      </c>
      <c r="CO37" s="770" t="str">
        <f t="shared" ca="1" si="48"/>
        <v>-</v>
      </c>
      <c r="CP37" s="770" t="str">
        <f t="shared" ca="1" si="49"/>
        <v>-</v>
      </c>
      <c r="CQ37" s="770" t="str">
        <f t="shared" ca="1" si="50"/>
        <v>-</v>
      </c>
      <c r="CR37" s="770">
        <f ca="1">CM37+COUNTIFS($CN$6:$CN$53,CN37,$CQ$6:CQ$53,"&gt;"&amp;CQ37,$BC$6:$BC$53,INDEX(T_Equipos[Grupo],MATCH(BD37,T_Equipos[NombreEquipo],0)))</f>
        <v>2</v>
      </c>
      <c r="CS37" s="769" t="str">
        <f ca="1">IF(COUNTIFS($CR$6:$CR$53,CR37,$BC$6:$BC$53,INDEX(T_Equipos[Grupo],MATCH(BD37,T_Equipos[NombreEquipo],0)))=1,"-","P."&amp;CR37&amp;" ("&amp;COUNTIFS($CR$6:$CR$53,CR37,$BC$6:$BC$53,INDEX(T_Equipos[Grupo],MATCH(BD37,T_Equipos[NombreEquipo],0)))&amp;")")</f>
        <v>-</v>
      </c>
      <c r="CT37" s="770" t="str">
        <f t="shared" ca="1" si="51"/>
        <v>-</v>
      </c>
      <c r="CU37" s="770">
        <f ca="1">CR37+COUNTIFS($CS$6:$CS$53,CS37,$CT$6:CT$53,"&gt;"&amp;CT37,$BC$6:$BC$53,INDEX(T_Equipos[Grupo],MATCH(BD37,T_Equipos[NombreEquipo],0)))</f>
        <v>2</v>
      </c>
      <c r="CV37" s="769" t="str">
        <f ca="1">IF(COUNTIFS($CU$6:$CU$53,CU37,$BC$6:$BC$53,INDEX(T_Equipos[Grupo],MATCH(BD37,T_Equipos[NombreEquipo],0)))=1,"-","P."&amp;CU37&amp;" ("&amp;COUNTIFS($CU$6:$CU$53,CU37,$BC$6:$BC$53,INDEX(T_Equipos[Grupo],MATCH(BD37,T_Equipos[NombreEquipo],0)))&amp;")")</f>
        <v>-</v>
      </c>
      <c r="CW37" s="769" t="str">
        <f t="shared" ca="1" si="30"/>
        <v>-</v>
      </c>
      <c r="CX37" s="769">
        <f ca="1">CU37+COUNTIFS($CV$6:$CV$53,CV37,$CW$6:CW$53,"&gt;"&amp;CW37,$BC$6:$BC$53,INDEX(T_Equipos[Grupo],MATCH(BD37,T_Equipos[NombreEquipo],0)))</f>
        <v>2</v>
      </c>
      <c r="CY37" s="769" t="str">
        <f ca="1">IF(COUNTIFS($CX$6:$CX$53,CX37,$BC$6:$BC$53,INDEX(T_Equipos[Grupo],MATCH(BD37,T_Equipos[NombreEquipo],0)))=1,"-","P."&amp;CX37&amp;" ("&amp;COUNTIFS($CX$6:$CX$53,CX37,$BC$6:$BC$53,INDEX(T_Equipos[Grupo],MATCH(BD37,T_Equipos[NombreEquipo],0)))&amp;")")</f>
        <v>-</v>
      </c>
      <c r="CZ37" s="769" t="str">
        <f t="shared" ca="1" si="31"/>
        <v>-</v>
      </c>
      <c r="DA37" s="770">
        <f ca="1">CX37+COUNTIFS($CY$6:$CY$53,CY37,$CZ$6:CZ$53,"&gt;"&amp;CZ37,$BC$6:$BC$53,INDEX(T_Equipos[Grupo],MATCH(BD37,T_Equipos[NombreEquipo],0)))</f>
        <v>2</v>
      </c>
      <c r="DB37" s="769" t="str">
        <f ca="1">IF(COUNTIFS($DA$6:$DA$53,DA37,$BC$6:$BC$53,INDEX(T_Equipos[Grupo],MATCH(BD37,T_Equipos[NombreEquipo],0)))=1,"-","P."&amp;DA37&amp;" ("&amp;COUNTIFS($DA$6:$DA$53,DA37,$BC$6:$BC$53,INDEX(T_Equipos[Grupo],MATCH(BD37,T_Equipos[NombreEquipo],0)))&amp;")")</f>
        <v>-</v>
      </c>
      <c r="DC37" s="768" t="str">
        <f ca="1">IF(DB37="-","-",COUNTIFS(T_Equipos[Rank],"&lt;"&amp;INDEX(T_Equipos[Rank],MATCH(BD37,T_Equipos[NombreEquipo],0)),$BC$6:$BC$53,INDEX(T_Equipos[Grupo],MATCH(BD37,T_Equipos[NombreEquipo],0)))+1)</f>
        <v>-</v>
      </c>
      <c r="DD37" s="768">
        <f ca="1">DA37+COUNTIFS($DB$6:$DB$53,DB37,$DC$6:DC$53,"&lt;"&amp;DC37,$BC$6:$BC$53,INDEX(T_Equipos[Grupo],MATCH(BD37,T_Equipos[NombreEquipo],0)))</f>
        <v>2</v>
      </c>
      <c r="DE37" s="768"/>
      <c r="DF37" s="768">
        <f t="shared" ca="1" si="52"/>
        <v>2</v>
      </c>
      <c r="DG37" s="768" t="str">
        <f ca="1">IF(DB37="-","-",COUNTIFS(DF$6:DF$53,"&lt;"&amp;DF37,$BC$6:$BC$53,INDEX(T_Equipos[Grupo],MATCH(BD37,T_Equipos[NombreEquipo],0))))</f>
        <v>-</v>
      </c>
      <c r="DH37" s="768">
        <f ca="1">DA37+COUNTIFS(DB$6:DB$53,DB37,DG$6:DG$53,"&lt;"&amp;DG37,$BC$6:$BC$53,INDEX(T_Equipos[Grupo],MATCH(BD37,T_Equipos[NombreEquipo],0)))</f>
        <v>2</v>
      </c>
      <c r="DI37" s="756"/>
      <c r="DJ37" s="756">
        <f t="shared" ca="1" si="53"/>
        <v>4</v>
      </c>
      <c r="DK37" s="756">
        <f t="shared" ca="1" si="24"/>
        <v>12</v>
      </c>
      <c r="DL37" s="756">
        <f t="shared" ca="1" si="33"/>
        <v>1</v>
      </c>
      <c r="DM37" s="750" t="str">
        <f t="shared" ca="1" si="34"/>
        <v>4.1</v>
      </c>
      <c r="DN37" s="756" cm="1">
        <f t="array" aca="1" ref="DN37" ca="1">OFFSET(Horarios!$P$3,DJ37-1,0,DL37,1)</f>
        <v>4</v>
      </c>
      <c r="DO37" s="756"/>
      <c r="DP37" s="756" t="s">
        <v>672</v>
      </c>
      <c r="DQ37" s="756" t="str">
        <f t="shared" ca="1" si="35"/>
        <v>Cabo Verde</v>
      </c>
      <c r="DR37" s="756"/>
      <c r="DS37" s="756"/>
      <c r="DT37" s="756" t="str">
        <f t="shared" ca="1" si="15"/>
        <v>Costa de Marfil-Ecuador</v>
      </c>
      <c r="DU37" s="756"/>
      <c r="DV37" s="756"/>
      <c r="DW37" s="8"/>
    </row>
    <row r="38" spans="1:127" ht="16" customHeight="1">
      <c r="A38" s="757" t="str">
        <f ca="1">+Equipos!B19</f>
        <v>Curazao</v>
      </c>
      <c r="B38" s="754"/>
      <c r="C38" s="758"/>
      <c r="D38" s="756" t="str">
        <f t="shared" si="115"/>
        <v>Empate</v>
      </c>
      <c r="E38" s="756" t="str">
        <f t="shared" ca="1" si="116"/>
        <v>-</v>
      </c>
      <c r="F38" s="756" t="str">
        <f t="shared" ca="1" si="117"/>
        <v>-</v>
      </c>
      <c r="G38" s="756"/>
      <c r="H38" s="756" t="str">
        <f t="shared" ca="1" si="118"/>
        <v>-</v>
      </c>
      <c r="I38" s="756" t="str">
        <f t="shared" ca="1" si="119"/>
        <v>-</v>
      </c>
      <c r="J38" s="756"/>
      <c r="K38" s="756" t="str">
        <f t="shared" ca="1" si="120"/>
        <v>-</v>
      </c>
      <c r="L38" s="756" t="str">
        <f t="shared" ca="1" si="121"/>
        <v>-</v>
      </c>
      <c r="M38" s="756"/>
      <c r="N38" s="756" t="str">
        <f t="shared" ca="1" si="122"/>
        <v>-</v>
      </c>
      <c r="O38" s="756" t="str">
        <f t="shared" ca="1" si="123"/>
        <v>-</v>
      </c>
      <c r="P38" s="756"/>
      <c r="Q38" s="756" t="str">
        <f t="shared" ca="1" si="124"/>
        <v>-</v>
      </c>
      <c r="R38" s="756" t="str">
        <f t="shared" ca="1" si="125"/>
        <v>-</v>
      </c>
      <c r="S38" s="756"/>
      <c r="T38" s="756" t="str">
        <f t="shared" ca="1" si="126"/>
        <v>-</v>
      </c>
      <c r="U38" s="756" t="str">
        <f t="shared" ca="1" si="127"/>
        <v>-</v>
      </c>
      <c r="V38" s="178"/>
      <c r="W38" s="845"/>
      <c r="X38" s="195">
        <f ca="1">Horarios!C38</f>
        <v>46193.583333333328</v>
      </c>
      <c r="Y38" s="196">
        <f ca="1">Horarios!C38</f>
        <v>46193.583333333328</v>
      </c>
      <c r="Z38" s="197" t="str">
        <f>$Z$6</f>
        <v>J2</v>
      </c>
      <c r="AA38" s="198" t="str">
        <f ca="1">A37</f>
        <v>Alemania</v>
      </c>
      <c r="AB38" s="486" t="str" cm="1">
        <f t="array" aca="1" ref="AB38" ca="1">Ver_flag_local</f>
        <v/>
      </c>
      <c r="AC38" s="199">
        <v>2</v>
      </c>
      <c r="AD38" s="200">
        <v>2</v>
      </c>
      <c r="AE38" s="491" t="str" cm="1">
        <f t="array" aca="1" ref="AE38" ca="1">Ver_flag_visit</f>
        <v/>
      </c>
      <c r="AF38" s="201" t="str">
        <f ca="1">A39</f>
        <v>Costa de Marfil</v>
      </c>
      <c r="AG38" s="421">
        <f t="shared" si="128"/>
        <v>1</v>
      </c>
      <c r="AH38" s="202">
        <v>33</v>
      </c>
      <c r="AI38" s="19" t="str">
        <f>AJ38&amp;$B$36</f>
        <v>1E</v>
      </c>
      <c r="AJ38" s="217">
        <v>1</v>
      </c>
      <c r="AK38" s="496" t="str" cm="1">
        <f t="array" aca="1" ref="AK38" ca="1">Ver_flag_visit</f>
        <v/>
      </c>
      <c r="AL38" s="218" t="str">
        <f ca="1">IFERROR(INDEX($BD$6:$BD$53,MATCH(AI38,$BN$6:$BN$53,0)),"")</f>
        <v>Alemania</v>
      </c>
      <c r="AM38" s="219">
        <f t="shared" ref="AM38:AT41" ca="1" si="132">INDEX($BE$6:$BN$53,MATCH($AL38,$BD$6:$BD$53,0),MATCH(AM$5,$BE$5:$BN$5,0))</f>
        <v>7</v>
      </c>
      <c r="AN38" s="220">
        <f t="shared" ca="1" si="132"/>
        <v>3</v>
      </c>
      <c r="AO38" s="220">
        <f t="shared" ca="1" si="132"/>
        <v>2</v>
      </c>
      <c r="AP38" s="220">
        <f t="shared" ca="1" si="132"/>
        <v>1</v>
      </c>
      <c r="AQ38" s="220">
        <f t="shared" ca="1" si="132"/>
        <v>0</v>
      </c>
      <c r="AR38" s="220">
        <f t="shared" ca="1" si="132"/>
        <v>8</v>
      </c>
      <c r="AS38" s="220">
        <f t="shared" ca="1" si="132"/>
        <v>4</v>
      </c>
      <c r="AT38" s="221">
        <f t="shared" ca="1" si="132"/>
        <v>4</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9</v>
      </c>
      <c r="BF38" s="760">
        <f t="shared" ca="1" si="26"/>
        <v>3</v>
      </c>
      <c r="BG38" s="760">
        <f t="shared" ca="1" si="17"/>
        <v>3</v>
      </c>
      <c r="BH38" s="760">
        <f t="shared" ca="1" si="18"/>
        <v>0</v>
      </c>
      <c r="BI38" s="760">
        <f t="shared" ca="1" si="19"/>
        <v>0</v>
      </c>
      <c r="BJ38" s="760">
        <f t="shared" ca="1" si="20"/>
        <v>9</v>
      </c>
      <c r="BK38" s="760">
        <f t="shared" ca="1" si="21"/>
        <v>2</v>
      </c>
      <c r="BL38" s="760">
        <f t="shared" ca="1" si="27"/>
        <v>7</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9</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v>
      </c>
      <c r="BU38" s="770" t="str">
        <f t="shared" ca="1" si="36"/>
        <v>-</v>
      </c>
      <c r="BV38" s="770" t="str">
        <f t="shared" ca="1" si="37"/>
        <v>-</v>
      </c>
      <c r="BW38" s="770" t="str">
        <f t="shared" ca="1" si="38"/>
        <v>-</v>
      </c>
      <c r="BX38" s="770" t="str">
        <f t="shared" ca="1" si="39"/>
        <v>-</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v>
      </c>
      <c r="CA38" s="770" t="str">
        <f t="shared" ca="1" si="40"/>
        <v>-</v>
      </c>
      <c r="CB38" s="770" t="str">
        <f t="shared" ca="1" si="41"/>
        <v>-</v>
      </c>
      <c r="CC38" s="770" t="str">
        <f t="shared" ca="1" si="42"/>
        <v>-</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v>
      </c>
      <c r="CF38" s="770" t="str">
        <f t="shared" ca="1" si="43"/>
        <v>-</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v>
      </c>
      <c r="CI38" s="770" t="str">
        <f t="shared" ca="1" si="44"/>
        <v>-</v>
      </c>
      <c r="CJ38" s="770" t="str">
        <f t="shared" ca="1" si="45"/>
        <v>-</v>
      </c>
      <c r="CK38" s="770" t="str">
        <f t="shared" ca="1" si="46"/>
        <v>-</v>
      </c>
      <c r="CL38" s="770" t="str">
        <f t="shared" ca="1" si="47"/>
        <v>-</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v>
      </c>
      <c r="CO38" s="770" t="str">
        <f t="shared" ca="1" si="48"/>
        <v>-</v>
      </c>
      <c r="CP38" s="770" t="str">
        <f t="shared" ca="1" si="49"/>
        <v>-</v>
      </c>
      <c r="CQ38" s="770" t="str">
        <f t="shared" ca="1" si="50"/>
        <v>-</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v>
      </c>
      <c r="CT38" s="770" t="str">
        <f t="shared" ca="1" si="51"/>
        <v>-</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v>
      </c>
      <c r="CW38" s="769" t="str">
        <f t="shared" ca="1" si="30"/>
        <v>-</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v>
      </c>
      <c r="CZ38" s="769" t="str">
        <f t="shared" ca="1" si="31"/>
        <v>-</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v>
      </c>
      <c r="DC38" s="768" t="str">
        <f ca="1">IF(DB38="-","-",COUNTIFS(T_Equipos[Rank],"&lt;"&amp;INDEX(T_Equipos[Rank],MATCH(BD38,T_Equipos[NombreEquipo],0)),$BC$6:$BC$53,INDEX(T_Equipos[Grupo],MATCH(BD38,T_Equipos[NombreEquipo],0)))+1)</f>
        <v>-</v>
      </c>
      <c r="DD38" s="768">
        <f ca="1">DA38+COUNTIFS($DB$6:$DB$53,DB38,$DC$6:DC$53,"&lt;"&amp;DC38,$BC$6:$BC$53,INDEX(T_Equipos[Grupo],MATCH(BD38,T_Equipos[NombreEquipo],0)))</f>
        <v>1</v>
      </c>
      <c r="DE38" s="768"/>
      <c r="DF38" s="768">
        <f t="shared" ca="1" si="52"/>
        <v>1</v>
      </c>
      <c r="DG38" s="768" t="str">
        <f ca="1">IF(DB38="-","-",COUNTIFS(DF$6:DF$53,"&lt;"&amp;DF38,$BC$6:$BC$53,INDEX(T_Equipos[Grupo],MATCH(BD38,T_Equipos[NombreEquipo],0))))</f>
        <v>-</v>
      </c>
      <c r="DH38" s="768">
        <f ca="1">DA38+COUNTIFS(DB$6:DB$53,DB38,DG$6:DG$53,"&lt;"&amp;DG38,$BC$6:$BC$53,INDEX(T_Equipos[Grupo],MATCH(BD38,T_Equipos[NombreEquipo],0)))</f>
        <v>1</v>
      </c>
      <c r="DI38" s="756"/>
      <c r="DJ38" s="756">
        <f t="shared" ca="1" si="53"/>
        <v>1</v>
      </c>
      <c r="DK38" s="756">
        <f t="shared" ca="1" si="24"/>
        <v>12</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c r="A39" s="757" t="str">
        <f ca="1">+Equipos!B20</f>
        <v>Costa de Marfil</v>
      </c>
      <c r="B39" s="754"/>
      <c r="C39" s="756"/>
      <c r="D39" s="756" t="str">
        <f t="shared" si="115"/>
        <v>Local</v>
      </c>
      <c r="E39" s="756" t="str">
        <f t="shared" ca="1" si="116"/>
        <v>-</v>
      </c>
      <c r="F39" s="756" t="str">
        <f t="shared" ca="1" si="117"/>
        <v>-</v>
      </c>
      <c r="G39" s="756"/>
      <c r="H39" s="756" t="str">
        <f t="shared" ca="1" si="118"/>
        <v>-</v>
      </c>
      <c r="I39" s="756" t="str">
        <f t="shared" ca="1" si="119"/>
        <v>-</v>
      </c>
      <c r="J39" s="756"/>
      <c r="K39" s="756" t="str">
        <f t="shared" ca="1" si="120"/>
        <v>-</v>
      </c>
      <c r="L39" s="756" t="str">
        <f t="shared" ca="1" si="121"/>
        <v>-</v>
      </c>
      <c r="M39" s="756"/>
      <c r="N39" s="756" t="str">
        <f t="shared" ca="1" si="122"/>
        <v>-</v>
      </c>
      <c r="O39" s="756" t="str">
        <f t="shared" ca="1" si="123"/>
        <v>-</v>
      </c>
      <c r="P39" s="756"/>
      <c r="Q39" s="756" t="str">
        <f t="shared" ca="1" si="124"/>
        <v>-</v>
      </c>
      <c r="R39" s="756" t="str">
        <f t="shared" ca="1" si="125"/>
        <v>-</v>
      </c>
      <c r="S39" s="756"/>
      <c r="T39" s="756" t="str">
        <f t="shared" ca="1" si="126"/>
        <v>-</v>
      </c>
      <c r="U39" s="756" t="str">
        <f t="shared" ca="1" si="127"/>
        <v>-</v>
      </c>
      <c r="V39" s="178"/>
      <c r="W39" s="845"/>
      <c r="X39" s="195">
        <f ca="1">Horarios!C39</f>
        <v>46193.75</v>
      </c>
      <c r="Y39" s="196">
        <f ca="1">Horarios!C39</f>
        <v>46193.75</v>
      </c>
      <c r="Z39" s="197" t="str">
        <f>$Z$6</f>
        <v>J2</v>
      </c>
      <c r="AA39" s="198" t="str">
        <f ca="1">A40</f>
        <v>Ecuador</v>
      </c>
      <c r="AB39" s="486" t="str" cm="1">
        <f t="array" aca="1" ref="AB39" ca="1">Ver_flag_local</f>
        <v/>
      </c>
      <c r="AC39" s="199">
        <v>2</v>
      </c>
      <c r="AD39" s="200">
        <v>0</v>
      </c>
      <c r="AE39" s="491" t="str" cm="1">
        <f t="array" aca="1" ref="AE39" ca="1">Ver_flag_visit</f>
        <v/>
      </c>
      <c r="AF39" s="201" t="str">
        <f ca="1">A38</f>
        <v>Curazao</v>
      </c>
      <c r="AG39" s="421">
        <f t="shared" si="128"/>
        <v>1</v>
      </c>
      <c r="AH39" s="202">
        <v>34</v>
      </c>
      <c r="AI39" s="19" t="str">
        <f t="shared" ref="AI39:AI41" si="133">AJ39&amp;$B$36</f>
        <v>2E</v>
      </c>
      <c r="AJ39" s="227">
        <v>2</v>
      </c>
      <c r="AK39" s="494" t="str" cm="1">
        <f t="array" aca="1" ref="AK39" ca="1">Ver_flag_visit</f>
        <v/>
      </c>
      <c r="AL39" s="228" t="str">
        <f ca="1">IFERROR(INDEX($BD$6:$BD$53,MATCH(AI39,$BN$6:$BN$53,0)),"")</f>
        <v>Costa de Marfil</v>
      </c>
      <c r="AM39" s="229">
        <f t="shared" ca="1" si="132"/>
        <v>5</v>
      </c>
      <c r="AN39" s="230">
        <f t="shared" ca="1" si="132"/>
        <v>3</v>
      </c>
      <c r="AO39" s="230">
        <f t="shared" ca="1" si="132"/>
        <v>1</v>
      </c>
      <c r="AP39" s="230">
        <f t="shared" ca="1" si="132"/>
        <v>2</v>
      </c>
      <c r="AQ39" s="230">
        <f t="shared" ca="1" si="132"/>
        <v>0</v>
      </c>
      <c r="AR39" s="230">
        <f t="shared" ca="1" si="132"/>
        <v>9</v>
      </c>
      <c r="AS39" s="230">
        <f t="shared" ca="1" si="132"/>
        <v>6</v>
      </c>
      <c r="AT39" s="231">
        <f t="shared" ca="1" si="132"/>
        <v>3</v>
      </c>
      <c r="AU39" s="428">
        <f ca="1">INDEX($DL$6:$DL$53,MATCH(AI39,$DP$6:$DP$53,0))</f>
        <v>1</v>
      </c>
      <c r="AV39" s="223" t="str">
        <f ca="1">INDEX($BD$6:$BD$53,MATCH(AI39,$BM$6:$BM$53,0))</f>
        <v>Costa de Marfil</v>
      </c>
      <c r="AW39" s="435"/>
      <c r="AX39" s="224"/>
      <c r="AY39" s="232" t="str">
        <f ca="1">+A38</f>
        <v>Curazao</v>
      </c>
      <c r="AZ39" s="233"/>
      <c r="BA39" s="181"/>
      <c r="BB39" s="756"/>
      <c r="BC39" s="768" t="str">
        <f ca="1">+INDEX(T_Equipos[Grupo],MATCH(WORLDCUP!BD39,T_Equipos[NombreEquipo],0))</f>
        <v>I</v>
      </c>
      <c r="BD39" s="756" t="str">
        <f ca="1">+Equipos!B35</f>
        <v>Senegal</v>
      </c>
      <c r="BE39" s="760">
        <f t="shared" ca="1" si="25"/>
        <v>4</v>
      </c>
      <c r="BF39" s="760">
        <f t="shared" ca="1" si="26"/>
        <v>3</v>
      </c>
      <c r="BG39" s="760">
        <f t="shared" ca="1" si="17"/>
        <v>1</v>
      </c>
      <c r="BH39" s="760">
        <f t="shared" ca="1" si="18"/>
        <v>1</v>
      </c>
      <c r="BI39" s="760">
        <f t="shared" ca="1" si="19"/>
        <v>1</v>
      </c>
      <c r="BJ39" s="760">
        <f t="shared" ca="1" si="20"/>
        <v>5</v>
      </c>
      <c r="BK39" s="760">
        <f t="shared" ca="1" si="21"/>
        <v>4</v>
      </c>
      <c r="BL39" s="760">
        <f t="shared" ca="1" si="27"/>
        <v>1</v>
      </c>
      <c r="BM39" s="760" t="str">
        <f t="shared" ca="1" si="22"/>
        <v>3I</v>
      </c>
      <c r="BN39" s="760" t="str">
        <f t="shared" ca="1" si="23"/>
        <v>3I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4</v>
      </c>
      <c r="BS39" s="769">
        <f ca="1">BP39+COUNTIFS($BQ$6:$BQ$53,BQ39,$BR$6:BR$53,"&gt;"&amp;BR39,$BC$6:$BC$53,INDEX(T_Equipos[Grupo],MATCH(BD39,T_Equipos[NombreEquipo],0)))</f>
        <v>2</v>
      </c>
      <c r="BT39" s="769" t="str">
        <f ca="1">IF(COUNTIFS($BS$6:$BS$53,BS39,$BC$6:$BC$53,INDEX(T_Equipos[Grupo],MATCH(BD39,T_Equipos[NombreEquipo],0)))=1,"-","P."&amp;BS39&amp;" ("&amp;COUNTIFS($BS$6:$BS$53,BS39,$BC$6:$BC$53,INDEX(T_Equipos[Grupo],MATCH(BD39,T_Equipos[NombreEquipo],0)))&amp;")")</f>
        <v>P.2 (2)</v>
      </c>
      <c r="BU39" s="770">
        <f t="shared" ca="1" si="36"/>
        <v>0</v>
      </c>
      <c r="BV39" s="770">
        <f t="shared" ca="1" si="37"/>
        <v>1</v>
      </c>
      <c r="BW39" s="770">
        <f t="shared" ca="1" si="38"/>
        <v>0</v>
      </c>
      <c r="BX39" s="770">
        <f t="shared" ca="1" si="39"/>
        <v>1</v>
      </c>
      <c r="BY39" s="770">
        <f ca="1">BS39+COUNTIFS($BT$6:$BT$53,BT39,$BX$6:BX$53,"&gt;"&amp;BX39,$BC$6:$BC$53,INDEX(T_Equipos[Grupo],MATCH(BD39,T_Equipos[NombreEquipo],0)))</f>
        <v>2</v>
      </c>
      <c r="BZ39" s="769" t="str">
        <f ca="1">IF(COUNTIFS($BY$6:$BY$53,BY39,$BC$6:$BC$53,INDEX(T_Equipos[Grupo],MATCH(BD39,T_Equipos[NombreEquipo],0)))=1,"-","P."&amp;BY39&amp;" ("&amp;COUNTIFS($BY$6:$BY$53,BY39,$BC$6:$BC$53,INDEX(T_Equipos[Grupo],MATCH(BD39,T_Equipos[NombreEquipo],0)))&amp;")")</f>
        <v>P.2 (2)</v>
      </c>
      <c r="CA39" s="770">
        <f t="shared" ca="1" si="40"/>
        <v>2</v>
      </c>
      <c r="CB39" s="770">
        <f t="shared" ca="1" si="41"/>
        <v>2</v>
      </c>
      <c r="CC39" s="770">
        <f t="shared" ca="1" si="42"/>
        <v>0</v>
      </c>
      <c r="CD39" s="770">
        <f ca="1">BY39+COUNTIFS($BZ$6:$BZ$53,BZ39,$CC$6:CC$53,"&gt;"&amp;CC39,$BC$6:$BC$53,INDEX(T_Equipos[Grupo],MATCH(BD39,T_Equipos[NombreEquipo],0)))</f>
        <v>2</v>
      </c>
      <c r="CE39" s="769" t="str">
        <f ca="1">IF(COUNTIFS($CD$6:$CD$53,CD39,$BC$6:$BC$53,INDEX(T_Equipos[Grupo],MATCH(BD39,T_Equipos[NombreEquipo],0)))=1,"-","P."&amp;CD39&amp;" ("&amp;COUNTIFS($CD$6:$CD$53,CD39,$BC$6:$BC$53,INDEX(T_Equipos[Grupo],MATCH(BD39,T_Equipos[NombreEquipo],0)))&amp;")")</f>
        <v>P.2 (2)</v>
      </c>
      <c r="CF39" s="770">
        <f t="shared" ca="1" si="43"/>
        <v>2</v>
      </c>
      <c r="CG39" s="770">
        <f ca="1">CD39+COUNTIFS($CE$6:$CE$53,CE39,$CF$6:CF$53,"&gt;"&amp;CF39,$BC$6:$BC$53,INDEX(T_Equipos[Grupo],MATCH(BD39,T_Equipos[NombreEquipo],0)))</f>
        <v>2</v>
      </c>
      <c r="CH39" s="769" t="str">
        <f ca="1">IF(COUNTIFS($CG$6:$CG$53,CG39,$BC$6:$BC$53,INDEX(T_Equipos[Grupo],MATCH(BD39,T_Equipos[NombreEquipo],0)))=1,"-","P."&amp;CG39&amp;" ("&amp;COUNTIFS($CG$6:$CG$53,CG39,$BC$6:$BC$53,INDEX(T_Equipos[Grupo],MATCH(BD39,T_Equipos[NombreEquipo],0)))&amp;")")</f>
        <v>P.2 (2)</v>
      </c>
      <c r="CI39" s="770">
        <f t="shared" ca="1" si="44"/>
        <v>0</v>
      </c>
      <c r="CJ39" s="770">
        <f t="shared" ca="1" si="45"/>
        <v>1</v>
      </c>
      <c r="CK39" s="770">
        <f t="shared" ca="1" si="46"/>
        <v>0</v>
      </c>
      <c r="CL39" s="770">
        <f t="shared" ca="1" si="47"/>
        <v>1</v>
      </c>
      <c r="CM39" s="770">
        <f ca="1">CG39+COUNTIFS($CH$6:$CH$53,CH39,$CL$6:CL$53,"&gt;"&amp;CL39,$BC$6:$BC$53,INDEX(T_Equipos[Grupo],MATCH(BD39,T_Equipos[NombreEquipo],0)))</f>
        <v>2</v>
      </c>
      <c r="CN39" s="769" t="str">
        <f ca="1">IF(COUNTIFS($CM$6:$CM$53,CM39,$BC$6:$BC$53,INDEX(T_Equipos[Grupo],MATCH(BD39,T_Equipos[NombreEquipo],0)))=1,"-","P."&amp;CM39&amp;" ("&amp;COUNTIFS($CM$6:$CM$53,CM39,$BC$6:$BC$53,INDEX(T_Equipos[Grupo],MATCH(BD39,T_Equipos[NombreEquipo],0)))&amp;")")</f>
        <v>P.2 (2)</v>
      </c>
      <c r="CO39" s="770">
        <f t="shared" ca="1" si="48"/>
        <v>2</v>
      </c>
      <c r="CP39" s="770">
        <f t="shared" ca="1" si="49"/>
        <v>2</v>
      </c>
      <c r="CQ39" s="770">
        <f t="shared" ca="1" si="50"/>
        <v>0</v>
      </c>
      <c r="CR39" s="770">
        <f ca="1">CM39+COUNTIFS($CN$6:$CN$53,CN39,$CQ$6:CQ$53,"&gt;"&amp;CQ39,$BC$6:$BC$53,INDEX(T_Equipos[Grupo],MATCH(BD39,T_Equipos[NombreEquipo],0)))</f>
        <v>2</v>
      </c>
      <c r="CS39" s="769" t="str">
        <f ca="1">IF(COUNTIFS($CR$6:$CR$53,CR39,$BC$6:$BC$53,INDEX(T_Equipos[Grupo],MATCH(BD39,T_Equipos[NombreEquipo],0)))=1,"-","P."&amp;CR39&amp;" ("&amp;COUNTIFS($CR$6:$CR$53,CR39,$BC$6:$BC$53,INDEX(T_Equipos[Grupo],MATCH(BD39,T_Equipos[NombreEquipo],0)))&amp;")")</f>
        <v>P.2 (2)</v>
      </c>
      <c r="CT39" s="770">
        <f t="shared" ca="1" si="51"/>
        <v>2</v>
      </c>
      <c r="CU39" s="770">
        <f ca="1">CR39+COUNTIFS($CS$6:$CS$53,CS39,$CT$6:CT$53,"&gt;"&amp;CT39,$BC$6:$BC$53,INDEX(T_Equipos[Grupo],MATCH(BD39,T_Equipos[NombreEquipo],0)))</f>
        <v>2</v>
      </c>
      <c r="CV39" s="769" t="str">
        <f ca="1">IF(COUNTIFS($CU$6:$CU$53,CU39,$BC$6:$BC$53,INDEX(T_Equipos[Grupo],MATCH(BD39,T_Equipos[NombreEquipo],0)))=1,"-","P."&amp;CU39&amp;" ("&amp;COUNTIFS($CU$6:$CU$53,CU39,$BC$6:$BC$53,INDEX(T_Equipos[Grupo],MATCH(BD39,T_Equipos[NombreEquipo],0)))&amp;")")</f>
        <v>P.2 (2)</v>
      </c>
      <c r="CW39" s="769">
        <f t="shared" ca="1" si="30"/>
        <v>1</v>
      </c>
      <c r="CX39" s="769">
        <f ca="1">CU39+COUNTIFS($CV$6:$CV$53,CV39,$CW$6:CW$53,"&gt;"&amp;CW39,$BC$6:$BC$53,INDEX(T_Equipos[Grupo],MATCH(BD39,T_Equipos[NombreEquipo],0)))</f>
        <v>3</v>
      </c>
      <c r="CY39" s="769" t="str">
        <f ca="1">IF(COUNTIFS($CX$6:$CX$53,CX39,$BC$6:$BC$53,INDEX(T_Equipos[Grupo],MATCH(BD39,T_Equipos[NombreEquipo],0)))=1,"-","P."&amp;CX39&amp;" ("&amp;COUNTIFS($CX$6:$CX$53,CX39,$BC$6:$BC$53,INDEX(T_Equipos[Grupo],MATCH(BD39,T_Equipos[NombreEquipo],0)))&amp;")")</f>
        <v>-</v>
      </c>
      <c r="CZ39" s="769" t="str">
        <f t="shared" ca="1" si="31"/>
        <v>-</v>
      </c>
      <c r="DA39" s="770">
        <f ca="1">CX39+COUNTIFS($CY$6:$CY$53,CY39,$CZ$6:CZ$53,"&gt;"&amp;CZ39,$BC$6:$BC$53,INDEX(T_Equipos[Grupo],MATCH(BD39,T_Equipos[NombreEquipo],0)))</f>
        <v>3</v>
      </c>
      <c r="DB39" s="769" t="str">
        <f ca="1">IF(COUNTIFS($DA$6:$DA$53,DA39,$BC$6:$BC$53,INDEX(T_Equipos[Grupo],MATCH(BD39,T_Equipos[NombreEquipo],0)))=1,"-","P."&amp;DA39&amp;" ("&amp;COUNTIFS($DA$6:$DA$53,DA39,$BC$6:$BC$53,INDEX(T_Equipos[Grupo],MATCH(BD39,T_Equipos[NombreEquipo],0)))&amp;")")</f>
        <v>-</v>
      </c>
      <c r="DC39" s="768" t="str">
        <f ca="1">IF(DB39="-","-",COUNTIFS(T_Equipos[Rank],"&lt;"&amp;INDEX(T_Equipos[Rank],MATCH(BD39,T_Equipos[NombreEquipo],0)),$BC$6:$BC$53,INDEX(T_Equipos[Grupo],MATCH(BD39,T_Equipos[NombreEquipo],0)))+1)</f>
        <v>-</v>
      </c>
      <c r="DD39" s="768">
        <f ca="1">DA39+COUNTIFS($DB$6:$DB$53,DB39,$DC$6:DC$53,"&lt;"&amp;DC39,$BC$6:$BC$53,INDEX(T_Equipos[Grupo],MATCH(BD39,T_Equipos[NombreEquipo],0)))</f>
        <v>3</v>
      </c>
      <c r="DE39" s="768"/>
      <c r="DF39" s="768">
        <f t="shared" ca="1" si="52"/>
        <v>3</v>
      </c>
      <c r="DG39" s="768" t="str">
        <f ca="1">IF(DB39="-","-",COUNTIFS(DF$6:DF$53,"&lt;"&amp;DF39,$BC$6:$BC$53,INDEX(T_Equipos[Grupo],MATCH(BD39,T_Equipos[NombreEquipo],0))))</f>
        <v>-</v>
      </c>
      <c r="DH39" s="768">
        <f ca="1">DA39+COUNTIFS(DB$6:DB$53,DB39,DG$6:DG$53,"&lt;"&amp;DG39,$BC$6:$BC$53,INDEX(T_Equipos[Grupo],MATCH(BD39,T_Equipos[NombreEquipo],0)))</f>
        <v>3</v>
      </c>
      <c r="DI39" s="756"/>
      <c r="DJ39" s="756">
        <f t="shared" ca="1" si="53"/>
        <v>2</v>
      </c>
      <c r="DK39" s="756">
        <f t="shared" ca="1" si="24"/>
        <v>12</v>
      </c>
      <c r="DL39" s="756">
        <f t="shared" ca="1" si="33"/>
        <v>1</v>
      </c>
      <c r="DM39" s="750" t="str">
        <f t="shared" ca="1" si="34"/>
        <v>2.1</v>
      </c>
      <c r="DN39" s="756" cm="1">
        <f t="array" aca="1" ref="DN39" ca="1">OFFSET(Horarios!$P$3,DJ39-1,0,DL39,1)</f>
        <v>2</v>
      </c>
      <c r="DO39" s="756"/>
      <c r="DP39" s="756" t="s">
        <v>674</v>
      </c>
      <c r="DQ39" s="756" t="str">
        <f t="shared" ca="1" si="35"/>
        <v>Noruega</v>
      </c>
      <c r="DR39" s="756"/>
      <c r="DS39" s="756"/>
      <c r="DT39" s="756" t="str">
        <f t="shared" ca="1" si="15"/>
        <v>Ecuador-Curazao</v>
      </c>
      <c r="DU39" s="756"/>
      <c r="DV39" s="756"/>
      <c r="DW39" s="8"/>
    </row>
    <row r="40" spans="1:127" ht="16" customHeight="1">
      <c r="A40" s="757" t="str">
        <f ca="1">+Equipos!B21</f>
        <v>Ecuador</v>
      </c>
      <c r="B40" s="754"/>
      <c r="C40" s="756"/>
      <c r="D40" s="756" t="str">
        <f t="shared" si="115"/>
        <v>Visitante</v>
      </c>
      <c r="E40" s="756" t="str">
        <f t="shared" ca="1" si="116"/>
        <v>-</v>
      </c>
      <c r="F40" s="756" t="str">
        <f t="shared" ca="1" si="117"/>
        <v>-</v>
      </c>
      <c r="G40" s="756"/>
      <c r="H40" s="756" t="str">
        <f t="shared" ca="1" si="118"/>
        <v>-</v>
      </c>
      <c r="I40" s="756" t="str">
        <f t="shared" ca="1" si="119"/>
        <v>-</v>
      </c>
      <c r="J40" s="756"/>
      <c r="K40" s="756" t="str">
        <f t="shared" ca="1" si="120"/>
        <v>-</v>
      </c>
      <c r="L40" s="756" t="str">
        <f t="shared" ca="1" si="121"/>
        <v>-</v>
      </c>
      <c r="M40" s="756"/>
      <c r="N40" s="756" t="str">
        <f t="shared" ca="1" si="122"/>
        <v>-</v>
      </c>
      <c r="O40" s="756" t="str">
        <f t="shared" ca="1" si="123"/>
        <v>-</v>
      </c>
      <c r="P40" s="756"/>
      <c r="Q40" s="756" t="str">
        <f t="shared" ca="1" si="124"/>
        <v>-</v>
      </c>
      <c r="R40" s="756" t="str">
        <f t="shared" ca="1" si="125"/>
        <v>-</v>
      </c>
      <c r="S40" s="756"/>
      <c r="T40" s="756" t="str">
        <f t="shared" ca="1" si="126"/>
        <v>-</v>
      </c>
      <c r="U40" s="756" t="str">
        <f t="shared" ca="1" si="127"/>
        <v>-</v>
      </c>
      <c r="V40" s="178"/>
      <c r="W40" s="845"/>
      <c r="X40" s="195">
        <f ca="1">Horarios!C40</f>
        <v>46198.583333333328</v>
      </c>
      <c r="Y40" s="196">
        <f ca="1">Horarios!C40</f>
        <v>46198.583333333328</v>
      </c>
      <c r="Z40" s="197" t="str">
        <f>$Z$8</f>
        <v>J3</v>
      </c>
      <c r="AA40" s="198" t="str">
        <f ca="1">A38</f>
        <v>Curazao</v>
      </c>
      <c r="AB40" s="486" t="str" cm="1">
        <f t="array" aca="1" ref="AB40" ca="1">Ver_flag_local</f>
        <v/>
      </c>
      <c r="AC40" s="199">
        <v>1</v>
      </c>
      <c r="AD40" s="200">
        <v>4</v>
      </c>
      <c r="AE40" s="491" t="str" cm="1">
        <f t="array" aca="1" ref="AE40" ca="1">Ver_flag_visit</f>
        <v/>
      </c>
      <c r="AF40" s="201" t="str">
        <f ca="1">A39</f>
        <v>Costa de Marfil</v>
      </c>
      <c r="AG40" s="421">
        <f t="shared" si="128"/>
        <v>1</v>
      </c>
      <c r="AH40" s="202">
        <v>55</v>
      </c>
      <c r="AI40" s="19" t="str">
        <f t="shared" si="133"/>
        <v>3E</v>
      </c>
      <c r="AJ40" s="227">
        <v>3</v>
      </c>
      <c r="AK40" s="494" t="str" cm="1">
        <f t="array" aca="1" ref="AK40" ca="1">Ver_flag_visit</f>
        <v/>
      </c>
      <c r="AL40" s="228" t="str">
        <f ca="1">IFERROR(INDEX($BD$6:$BD$53,MATCH(AI40,$BN$6:$BN$53,0)),"")</f>
        <v>Ecuador</v>
      </c>
      <c r="AM40" s="229">
        <f t="shared" ca="1" si="132"/>
        <v>4</v>
      </c>
      <c r="AN40" s="230">
        <f t="shared" ca="1" si="132"/>
        <v>3</v>
      </c>
      <c r="AO40" s="230">
        <f t="shared" ca="1" si="132"/>
        <v>1</v>
      </c>
      <c r="AP40" s="230">
        <f t="shared" ca="1" si="132"/>
        <v>1</v>
      </c>
      <c r="AQ40" s="230">
        <f t="shared" ca="1" si="132"/>
        <v>1</v>
      </c>
      <c r="AR40" s="230">
        <f t="shared" ca="1" si="132"/>
        <v>7</v>
      </c>
      <c r="AS40" s="230">
        <f t="shared" ca="1" si="132"/>
        <v>6</v>
      </c>
      <c r="AT40" s="231">
        <f t="shared" ca="1" si="132"/>
        <v>1</v>
      </c>
      <c r="AU40" s="428">
        <f ca="1">INDEX($DL$6:$DL$53,MATCH(AI40,$DP$6:$DP$53,0))</f>
        <v>1</v>
      </c>
      <c r="AV40" s="223" t="str">
        <f ca="1">INDEX($BD$6:$BD$53,MATCH(AI40,$BM$6:$BM$53,0))</f>
        <v>Ecuador</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3</v>
      </c>
      <c r="BG40" s="760">
        <f t="shared" ca="1" si="17"/>
        <v>0</v>
      </c>
      <c r="BH40" s="760">
        <f t="shared" ca="1" si="18"/>
        <v>0</v>
      </c>
      <c r="BI40" s="760">
        <f t="shared" ca="1" si="19"/>
        <v>3</v>
      </c>
      <c r="BJ40" s="760">
        <f t="shared" ca="1" si="20"/>
        <v>1</v>
      </c>
      <c r="BK40" s="760">
        <f t="shared" ca="1" si="21"/>
        <v>11</v>
      </c>
      <c r="BL40" s="760">
        <f t="shared" ca="1" si="27"/>
        <v>-10</v>
      </c>
      <c r="BM40" s="760" t="str">
        <f t="shared" ca="1" si="22"/>
        <v>4I</v>
      </c>
      <c r="BN40" s="760" t="str">
        <f t="shared" ca="1" si="23"/>
        <v>4I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4</v>
      </c>
      <c r="BT40" s="769" t="str">
        <f ca="1">IF(COUNTIFS($BS$6:$BS$53,BS40,$BC$6:$BC$53,INDEX(T_Equipos[Grupo],MATCH(BD40,T_Equipos[NombreEquipo],0)))=1,"-","P."&amp;BS40&amp;" ("&amp;COUNTIFS($BS$6:$BS$53,BS40,$BC$6:$BC$53,INDEX(T_Equipos[Grupo],MATCH(BD40,T_Equipos[NombreEquipo],0)))&amp;")")</f>
        <v>-</v>
      </c>
      <c r="BU40" s="770" t="str">
        <f t="shared" ca="1" si="36"/>
        <v>-</v>
      </c>
      <c r="BV40" s="770" t="str">
        <f t="shared" ca="1" si="37"/>
        <v>-</v>
      </c>
      <c r="BW40" s="770" t="str">
        <f t="shared" ca="1" si="38"/>
        <v>-</v>
      </c>
      <c r="BX40" s="770" t="str">
        <f t="shared" ca="1" si="39"/>
        <v>-</v>
      </c>
      <c r="BY40" s="770">
        <f ca="1">BS40+COUNTIFS($BT$6:$BT$53,BT40,$BX$6:BX$53,"&gt;"&amp;BX40,$BC$6:$BC$53,INDEX(T_Equipos[Grupo],MATCH(BD40,T_Equipos[NombreEquipo],0)))</f>
        <v>4</v>
      </c>
      <c r="BZ40" s="769" t="str">
        <f ca="1">IF(COUNTIFS($BY$6:$BY$53,BY40,$BC$6:$BC$53,INDEX(T_Equipos[Grupo],MATCH(BD40,T_Equipos[NombreEquipo],0)))=1,"-","P."&amp;BY40&amp;" ("&amp;COUNTIFS($BY$6:$BY$53,BY40,$BC$6:$BC$53,INDEX(T_Equipos[Grupo],MATCH(BD40,T_Equipos[NombreEquipo],0)))&amp;")")</f>
        <v>-</v>
      </c>
      <c r="CA40" s="770" t="str">
        <f t="shared" ca="1" si="40"/>
        <v>-</v>
      </c>
      <c r="CB40" s="770" t="str">
        <f t="shared" ca="1" si="41"/>
        <v>-</v>
      </c>
      <c r="CC40" s="770" t="str">
        <f t="shared" ca="1" si="42"/>
        <v>-</v>
      </c>
      <c r="CD40" s="770">
        <f ca="1">BY40+COUNTIFS($BZ$6:$BZ$53,BZ40,$CC$6:CC$53,"&gt;"&amp;CC40,$BC$6:$BC$53,INDEX(T_Equipos[Grupo],MATCH(BD40,T_Equipos[NombreEquipo],0)))</f>
        <v>4</v>
      </c>
      <c r="CE40" s="769" t="str">
        <f ca="1">IF(COUNTIFS($CD$6:$CD$53,CD40,$BC$6:$BC$53,INDEX(T_Equipos[Grupo],MATCH(BD40,T_Equipos[NombreEquipo],0)))=1,"-","P."&amp;CD40&amp;" ("&amp;COUNTIFS($CD$6:$CD$53,CD40,$BC$6:$BC$53,INDEX(T_Equipos[Grupo],MATCH(BD40,T_Equipos[NombreEquipo],0)))&amp;")")</f>
        <v>-</v>
      </c>
      <c r="CF40" s="770" t="str">
        <f t="shared" ca="1" si="43"/>
        <v>-</v>
      </c>
      <c r="CG40" s="770">
        <f ca="1">CD40+COUNTIFS($CE$6:$CE$53,CE40,$CF$6:CF$53,"&gt;"&amp;CF40,$BC$6:$BC$53,INDEX(T_Equipos[Grupo],MATCH(BD40,T_Equipos[NombreEquipo],0)))</f>
        <v>4</v>
      </c>
      <c r="CH40" s="769" t="str">
        <f ca="1">IF(COUNTIFS($CG$6:$CG$53,CG40,$BC$6:$BC$53,INDEX(T_Equipos[Grupo],MATCH(BD40,T_Equipos[NombreEquipo],0)))=1,"-","P."&amp;CG40&amp;" ("&amp;COUNTIFS($CG$6:$CG$53,CG40,$BC$6:$BC$53,INDEX(T_Equipos[Grupo],MATCH(BD40,T_Equipos[NombreEquipo],0)))&amp;")")</f>
        <v>-</v>
      </c>
      <c r="CI40" s="770" t="str">
        <f t="shared" ca="1" si="44"/>
        <v>-</v>
      </c>
      <c r="CJ40" s="770" t="str">
        <f t="shared" ca="1" si="45"/>
        <v>-</v>
      </c>
      <c r="CK40" s="770" t="str">
        <f t="shared" ca="1" si="46"/>
        <v>-</v>
      </c>
      <c r="CL40" s="770" t="str">
        <f t="shared" ca="1" si="47"/>
        <v>-</v>
      </c>
      <c r="CM40" s="770">
        <f ca="1">CG40+COUNTIFS($CH$6:$CH$53,CH40,$CL$6:CL$53,"&gt;"&amp;CL40,$BC$6:$BC$53,INDEX(T_Equipos[Grupo],MATCH(BD40,T_Equipos[NombreEquipo],0)))</f>
        <v>4</v>
      </c>
      <c r="CN40" s="769" t="str">
        <f ca="1">IF(COUNTIFS($CM$6:$CM$53,CM40,$BC$6:$BC$53,INDEX(T_Equipos[Grupo],MATCH(BD40,T_Equipos[NombreEquipo],0)))=1,"-","P."&amp;CM40&amp;" ("&amp;COUNTIFS($CM$6:$CM$53,CM40,$BC$6:$BC$53,INDEX(T_Equipos[Grupo],MATCH(BD40,T_Equipos[NombreEquipo],0)))&amp;")")</f>
        <v>-</v>
      </c>
      <c r="CO40" s="770" t="str">
        <f t="shared" ca="1" si="48"/>
        <v>-</v>
      </c>
      <c r="CP40" s="770" t="str">
        <f t="shared" ca="1" si="49"/>
        <v>-</v>
      </c>
      <c r="CQ40" s="770" t="str">
        <f t="shared" ca="1" si="50"/>
        <v>-</v>
      </c>
      <c r="CR40" s="770">
        <f ca="1">CM40+COUNTIFS($CN$6:$CN$53,CN40,$CQ$6:CQ$53,"&gt;"&amp;CQ40,$BC$6:$BC$53,INDEX(T_Equipos[Grupo],MATCH(BD40,T_Equipos[NombreEquipo],0)))</f>
        <v>4</v>
      </c>
      <c r="CS40" s="769" t="str">
        <f ca="1">IF(COUNTIFS($CR$6:$CR$53,CR40,$BC$6:$BC$53,INDEX(T_Equipos[Grupo],MATCH(BD40,T_Equipos[NombreEquipo],0)))=1,"-","P."&amp;CR40&amp;" ("&amp;COUNTIFS($CR$6:$CR$53,CR40,$BC$6:$BC$53,INDEX(T_Equipos[Grupo],MATCH(BD40,T_Equipos[NombreEquipo],0)))&amp;")")</f>
        <v>-</v>
      </c>
      <c r="CT40" s="770" t="str">
        <f t="shared" ca="1" si="51"/>
        <v>-</v>
      </c>
      <c r="CU40" s="770">
        <f ca="1">CR40+COUNTIFS($CS$6:$CS$53,CS40,$CT$6:CT$53,"&gt;"&amp;CT40,$BC$6:$BC$53,INDEX(T_Equipos[Grupo],MATCH(BD40,T_Equipos[NombreEquipo],0)))</f>
        <v>4</v>
      </c>
      <c r="CV40" s="769" t="str">
        <f ca="1">IF(COUNTIFS($CU$6:$CU$53,CU40,$BC$6:$BC$53,INDEX(T_Equipos[Grupo],MATCH(BD40,T_Equipos[NombreEquipo],0)))=1,"-","P."&amp;CU40&amp;" ("&amp;COUNTIFS($CU$6:$CU$53,CU40,$BC$6:$BC$53,INDEX(T_Equipos[Grupo],MATCH(BD40,T_Equipos[NombreEquipo],0)))&amp;")")</f>
        <v>-</v>
      </c>
      <c r="CW40" s="769" t="str">
        <f t="shared" ca="1" si="30"/>
        <v>-</v>
      </c>
      <c r="CX40" s="769">
        <f ca="1">CU40+COUNTIFS($CV$6:$CV$53,CV40,$CW$6:CW$53,"&gt;"&amp;CW40,$BC$6:$BC$53,INDEX(T_Equipos[Grupo],MATCH(BD40,T_Equipos[NombreEquipo],0)))</f>
        <v>4</v>
      </c>
      <c r="CY40" s="769" t="str">
        <f ca="1">IF(COUNTIFS($CX$6:$CX$53,CX40,$BC$6:$BC$53,INDEX(T_Equipos[Grupo],MATCH(BD40,T_Equipos[NombreEquipo],0)))=1,"-","P."&amp;CX40&amp;" ("&amp;COUNTIFS($CX$6:$CX$53,CX40,$BC$6:$BC$53,INDEX(T_Equipos[Grupo],MATCH(BD40,T_Equipos[NombreEquipo],0)))&amp;")")</f>
        <v>-</v>
      </c>
      <c r="CZ40" s="769" t="str">
        <f t="shared" ca="1" si="31"/>
        <v>-</v>
      </c>
      <c r="DA40" s="770">
        <f ca="1">CX40+COUNTIFS($CY$6:$CY$53,CY40,$CZ$6:CZ$53,"&gt;"&amp;CZ40,$BC$6:$BC$53,INDEX(T_Equipos[Grupo],MATCH(BD40,T_Equipos[NombreEquipo],0)))</f>
        <v>4</v>
      </c>
      <c r="DB40" s="769" t="str">
        <f ca="1">IF(COUNTIFS($DA$6:$DA$53,DA40,$BC$6:$BC$53,INDEX(T_Equipos[Grupo],MATCH(BD40,T_Equipos[NombreEquipo],0)))=1,"-","P."&amp;DA40&amp;" ("&amp;COUNTIFS($DA$6:$DA$53,DA40,$BC$6:$BC$53,INDEX(T_Equipos[Grupo],MATCH(BD40,T_Equipos[NombreEquipo],0)))&amp;")")</f>
        <v>-</v>
      </c>
      <c r="DC40" s="768" t="str">
        <f ca="1">IF(DB40="-","-",COUNTIFS(T_Equipos[Rank],"&lt;"&amp;INDEX(T_Equipos[Rank],MATCH(BD40,T_Equipos[NombreEquipo],0)),$BC$6:$BC$53,INDEX(T_Equipos[Grupo],MATCH(BD40,T_Equipos[NombreEquipo],0)))+1)</f>
        <v>-</v>
      </c>
      <c r="DD40" s="768">
        <f ca="1">DA40+COUNTIFS($DB$6:$DB$53,DB40,$DC$6:DC$53,"&lt;"&amp;DC40,$BC$6:$BC$53,INDEX(T_Equipos[Grupo],MATCH(BD40,T_Equipos[NombreEquipo],0)))</f>
        <v>4</v>
      </c>
      <c r="DE40" s="768"/>
      <c r="DF40" s="768">
        <f t="shared" ca="1" si="52"/>
        <v>4</v>
      </c>
      <c r="DG40" s="768" t="str">
        <f ca="1">IF(DB40="-","-",COUNTIFS(DF$6:DF$53,"&lt;"&amp;DF40,$BC$6:$BC$53,INDEX(T_Equipos[Grupo],MATCH(BD40,T_Equipos[NombreEquipo],0))))</f>
        <v>-</v>
      </c>
      <c r="DH40" s="768">
        <f ca="1">DA40+COUNTIFS(DB$6:DB$53,DB40,DG$6:DG$53,"&lt;"&amp;DG40,$BC$6:$BC$53,INDEX(T_Equipos[Grupo],MATCH(BD40,T_Equipos[NombreEquipo],0)))</f>
        <v>4</v>
      </c>
      <c r="DI40" s="756"/>
      <c r="DJ40" s="756">
        <f t="shared" ca="1" si="53"/>
        <v>3</v>
      </c>
      <c r="DK40" s="756">
        <f t="shared" ca="1" si="24"/>
        <v>12</v>
      </c>
      <c r="DL40" s="756">
        <f t="shared" ca="1" si="33"/>
        <v>1</v>
      </c>
      <c r="DM40" s="750" t="str">
        <f t="shared" ca="1" si="34"/>
        <v>3.1</v>
      </c>
      <c r="DN40" s="756" cm="1">
        <f t="array" aca="1" ref="DN40" ca="1">OFFSET(Horarios!$P$3,DJ40-1,0,DL40,1)</f>
        <v>3</v>
      </c>
      <c r="DO40" s="756"/>
      <c r="DP40" s="756" t="s">
        <v>440</v>
      </c>
      <c r="DQ40" s="756" t="str">
        <f t="shared" ca="1" si="35"/>
        <v>Senegal</v>
      </c>
      <c r="DR40" s="756"/>
      <c r="DS40" s="756"/>
      <c r="DT40" s="756" t="str">
        <f t="shared" ca="1" si="15"/>
        <v>Curazao-Costa de Marfil</v>
      </c>
      <c r="DU40" s="756"/>
      <c r="DV40" s="756"/>
      <c r="DW40" s="8"/>
    </row>
    <row r="41" spans="1:127" ht="17.149999999999999" customHeight="1" thickBot="1">
      <c r="A41" s="751"/>
      <c r="B41" s="751"/>
      <c r="C41" s="751"/>
      <c r="D41" s="756" t="str">
        <f t="shared" si="115"/>
        <v>Visitante</v>
      </c>
      <c r="E41" s="756" t="str">
        <f t="shared" ca="1" si="116"/>
        <v>-</v>
      </c>
      <c r="F41" s="756" t="str">
        <f t="shared" ca="1" si="117"/>
        <v>-</v>
      </c>
      <c r="G41" s="756"/>
      <c r="H41" s="756" t="str">
        <f t="shared" ca="1" si="118"/>
        <v>-</v>
      </c>
      <c r="I41" s="756" t="str">
        <f t="shared" ca="1" si="119"/>
        <v>-</v>
      </c>
      <c r="J41" s="756"/>
      <c r="K41" s="756" t="str">
        <f t="shared" ca="1" si="120"/>
        <v>-</v>
      </c>
      <c r="L41" s="756" t="str">
        <f t="shared" ca="1" si="121"/>
        <v>-</v>
      </c>
      <c r="M41" s="756"/>
      <c r="N41" s="756" t="str">
        <f t="shared" ca="1" si="122"/>
        <v>-</v>
      </c>
      <c r="O41" s="756" t="str">
        <f t="shared" ca="1" si="123"/>
        <v>-</v>
      </c>
      <c r="P41" s="756"/>
      <c r="Q41" s="756" t="str">
        <f t="shared" ca="1" si="124"/>
        <v>-</v>
      </c>
      <c r="R41" s="756" t="str">
        <f t="shared" ca="1" si="125"/>
        <v>-</v>
      </c>
      <c r="S41" s="756"/>
      <c r="T41" s="756" t="str">
        <f t="shared" ca="1" si="126"/>
        <v>-</v>
      </c>
      <c r="U41" s="756" t="str">
        <f t="shared" ca="1" si="127"/>
        <v>-</v>
      </c>
      <c r="V41" s="178"/>
      <c r="W41" s="846"/>
      <c r="X41" s="234">
        <f ca="1">Horarios!C41</f>
        <v>46198.583333333328</v>
      </c>
      <c r="Y41" s="235">
        <f ca="1">Horarios!C41</f>
        <v>46198.583333333328</v>
      </c>
      <c r="Z41" s="236" t="str">
        <f>$Z$8</f>
        <v>J3</v>
      </c>
      <c r="AA41" s="237" t="str">
        <f ca="1">A40</f>
        <v>Ecuador</v>
      </c>
      <c r="AB41" s="487" t="str" cm="1">
        <f t="array" aca="1" ref="AB41" ca="1">Ver_flag_local</f>
        <v/>
      </c>
      <c r="AC41" s="238">
        <v>2</v>
      </c>
      <c r="AD41" s="239">
        <v>3</v>
      </c>
      <c r="AE41" s="492" t="str" cm="1">
        <f t="array" aca="1" ref="AE41" ca="1">Ver_flag_visit</f>
        <v/>
      </c>
      <c r="AF41" s="240" t="str">
        <f ca="1">A37</f>
        <v>Alemania</v>
      </c>
      <c r="AG41" s="421">
        <f t="shared" si="128"/>
        <v>1</v>
      </c>
      <c r="AH41" s="202">
        <v>56</v>
      </c>
      <c r="AI41" s="19" t="str">
        <f t="shared" si="133"/>
        <v>4E</v>
      </c>
      <c r="AJ41" s="241">
        <v>4</v>
      </c>
      <c r="AK41" s="495" t="str" cm="1">
        <f t="array" aca="1" ref="AK41" ca="1">Ver_flag_visit</f>
        <v/>
      </c>
      <c r="AL41" s="242" t="str">
        <f ca="1">IFERROR(INDEX($BD$6:$BD$53,MATCH(AI41,$BN$6:$BN$53,0)),"")</f>
        <v>Curazao</v>
      </c>
      <c r="AM41" s="243">
        <f t="shared" ca="1" si="132"/>
        <v>0</v>
      </c>
      <c r="AN41" s="244">
        <f t="shared" ca="1" si="132"/>
        <v>3</v>
      </c>
      <c r="AO41" s="244">
        <f t="shared" ca="1" si="132"/>
        <v>0</v>
      </c>
      <c r="AP41" s="244">
        <f t="shared" ca="1" si="132"/>
        <v>0</v>
      </c>
      <c r="AQ41" s="244">
        <f t="shared" ca="1" si="132"/>
        <v>3</v>
      </c>
      <c r="AR41" s="244">
        <f t="shared" ca="1" si="132"/>
        <v>1</v>
      </c>
      <c r="AS41" s="244">
        <f t="shared" ca="1" si="132"/>
        <v>9</v>
      </c>
      <c r="AT41" s="245">
        <f t="shared" ca="1" si="132"/>
        <v>-8</v>
      </c>
      <c r="AU41" s="428">
        <f ca="1">INDEX($DL$6:$DL$53,MATCH(AI41,$DP$6:$DP$53,0))</f>
        <v>1</v>
      </c>
      <c r="AV41" s="223" t="str">
        <f ca="1">INDEX($BD$6:$BD$53,MATCH(AI41,$BM$6:$BM$53,0))</f>
        <v>Curazao</v>
      </c>
      <c r="AW41" s="435"/>
      <c r="AX41" s="224"/>
      <c r="AY41" s="246" t="str">
        <f ca="1">+A40</f>
        <v>Ecuador</v>
      </c>
      <c r="AZ41" s="247"/>
      <c r="BA41" s="181"/>
      <c r="BB41" s="756"/>
      <c r="BC41" s="768" t="str">
        <f ca="1">+INDEX(T_Equipos[Grupo],MATCH(WORLDCUP!BD41,T_Equipos[NombreEquipo],0))</f>
        <v>I</v>
      </c>
      <c r="BD41" s="756" t="str">
        <f ca="1">+Equipos!B37</f>
        <v>Noruega</v>
      </c>
      <c r="BE41" s="760">
        <f t="shared" ca="1" si="25"/>
        <v>4</v>
      </c>
      <c r="BF41" s="760">
        <f t="shared" ca="1" si="26"/>
        <v>3</v>
      </c>
      <c r="BG41" s="760">
        <f t="shared" ca="1" si="17"/>
        <v>1</v>
      </c>
      <c r="BH41" s="760">
        <f t="shared" ca="1" si="18"/>
        <v>1</v>
      </c>
      <c r="BI41" s="760">
        <f t="shared" ca="1" si="19"/>
        <v>1</v>
      </c>
      <c r="BJ41" s="760">
        <f t="shared" ca="1" si="20"/>
        <v>7</v>
      </c>
      <c r="BK41" s="760">
        <f t="shared" ca="1" si="21"/>
        <v>5</v>
      </c>
      <c r="BL41" s="760">
        <f t="shared" ca="1" si="27"/>
        <v>2</v>
      </c>
      <c r="BM41" s="760" t="str">
        <f t="shared" ca="1" si="22"/>
        <v>2I</v>
      </c>
      <c r="BN41" s="760" t="str">
        <f t="shared" ca="1" si="23"/>
        <v>2I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4</v>
      </c>
      <c r="BS41" s="769">
        <f ca="1">BP41+COUNTIFS($BQ$6:$BQ$53,BQ41,$BR$6:BR$53,"&gt;"&amp;BR41,$BC$6:$BC$53,INDEX(T_Equipos[Grupo],MATCH(BD41,T_Equipos[NombreEquipo],0)))</f>
        <v>2</v>
      </c>
      <c r="BT41" s="769" t="str">
        <f ca="1">IF(COUNTIFS($BS$6:$BS$53,BS41,$BC$6:$BC$53,INDEX(T_Equipos[Grupo],MATCH(BD41,T_Equipos[NombreEquipo],0)))=1,"-","P."&amp;BS41&amp;" ("&amp;COUNTIFS($BS$6:$BS$53,BS41,$BC$6:$BC$53,INDEX(T_Equipos[Grupo],MATCH(BD41,T_Equipos[NombreEquipo],0)))&amp;")")</f>
        <v>P.2 (2)</v>
      </c>
      <c r="BU41" s="770">
        <f t="shared" ca="1" si="36"/>
        <v>0</v>
      </c>
      <c r="BV41" s="770">
        <f t="shared" ca="1" si="37"/>
        <v>1</v>
      </c>
      <c r="BW41" s="770">
        <f t="shared" ca="1" si="38"/>
        <v>0</v>
      </c>
      <c r="BX41" s="770">
        <f t="shared" ca="1" si="39"/>
        <v>1</v>
      </c>
      <c r="BY41" s="770">
        <f ca="1">BS41+COUNTIFS($BT$6:$BT$53,BT41,$BX$6:BX$53,"&gt;"&amp;BX41,$BC$6:$BC$53,INDEX(T_Equipos[Grupo],MATCH(BD41,T_Equipos[NombreEquipo],0)))</f>
        <v>2</v>
      </c>
      <c r="BZ41" s="769" t="str">
        <f ca="1">IF(COUNTIFS($BY$6:$BY$53,BY41,$BC$6:$BC$53,INDEX(T_Equipos[Grupo],MATCH(BD41,T_Equipos[NombreEquipo],0)))=1,"-","P."&amp;BY41&amp;" ("&amp;COUNTIFS($BY$6:$BY$53,BY41,$BC$6:$BC$53,INDEX(T_Equipos[Grupo],MATCH(BD41,T_Equipos[NombreEquipo],0)))&amp;")")</f>
        <v>P.2 (2)</v>
      </c>
      <c r="CA41" s="770">
        <f t="shared" ca="1" si="40"/>
        <v>2</v>
      </c>
      <c r="CB41" s="770">
        <f t="shared" ca="1" si="41"/>
        <v>2</v>
      </c>
      <c r="CC41" s="770">
        <f t="shared" ca="1" si="42"/>
        <v>0</v>
      </c>
      <c r="CD41" s="770">
        <f ca="1">BY41+COUNTIFS($BZ$6:$BZ$53,BZ41,$CC$6:CC$53,"&gt;"&amp;CC41,$BC$6:$BC$53,INDEX(T_Equipos[Grupo],MATCH(BD41,T_Equipos[NombreEquipo],0)))</f>
        <v>2</v>
      </c>
      <c r="CE41" s="769" t="str">
        <f ca="1">IF(COUNTIFS($CD$6:$CD$53,CD41,$BC$6:$BC$53,INDEX(T_Equipos[Grupo],MATCH(BD41,T_Equipos[NombreEquipo],0)))=1,"-","P."&amp;CD41&amp;" ("&amp;COUNTIFS($CD$6:$CD$53,CD41,$BC$6:$BC$53,INDEX(T_Equipos[Grupo],MATCH(BD41,T_Equipos[NombreEquipo],0)))&amp;")")</f>
        <v>P.2 (2)</v>
      </c>
      <c r="CF41" s="770">
        <f t="shared" ca="1" si="43"/>
        <v>2</v>
      </c>
      <c r="CG41" s="770">
        <f ca="1">CD41+COUNTIFS($CE$6:$CE$53,CE41,$CF$6:CF$53,"&gt;"&amp;CF41,$BC$6:$BC$53,INDEX(T_Equipos[Grupo],MATCH(BD41,T_Equipos[NombreEquipo],0)))</f>
        <v>2</v>
      </c>
      <c r="CH41" s="769" t="str">
        <f ca="1">IF(COUNTIFS($CG$6:$CG$53,CG41,$BC$6:$BC$53,INDEX(T_Equipos[Grupo],MATCH(BD41,T_Equipos[NombreEquipo],0)))=1,"-","P."&amp;CG41&amp;" ("&amp;COUNTIFS($CG$6:$CG$53,CG41,$BC$6:$BC$53,INDEX(T_Equipos[Grupo],MATCH(BD41,T_Equipos[NombreEquipo],0)))&amp;")")</f>
        <v>P.2 (2)</v>
      </c>
      <c r="CI41" s="770">
        <f t="shared" ca="1" si="44"/>
        <v>0</v>
      </c>
      <c r="CJ41" s="770">
        <f t="shared" ca="1" si="45"/>
        <v>1</v>
      </c>
      <c r="CK41" s="770">
        <f t="shared" ca="1" si="46"/>
        <v>0</v>
      </c>
      <c r="CL41" s="770">
        <f t="shared" ca="1" si="47"/>
        <v>1</v>
      </c>
      <c r="CM41" s="770">
        <f ca="1">CG41+COUNTIFS($CH$6:$CH$53,CH41,$CL$6:CL$53,"&gt;"&amp;CL41,$BC$6:$BC$53,INDEX(T_Equipos[Grupo],MATCH(BD41,T_Equipos[NombreEquipo],0)))</f>
        <v>2</v>
      </c>
      <c r="CN41" s="769" t="str">
        <f ca="1">IF(COUNTIFS($CM$6:$CM$53,CM41,$BC$6:$BC$53,INDEX(T_Equipos[Grupo],MATCH(BD41,T_Equipos[NombreEquipo],0)))=1,"-","P."&amp;CM41&amp;" ("&amp;COUNTIFS($CM$6:$CM$53,CM41,$BC$6:$BC$53,INDEX(T_Equipos[Grupo],MATCH(BD41,T_Equipos[NombreEquipo],0)))&amp;")")</f>
        <v>P.2 (2)</v>
      </c>
      <c r="CO41" s="770">
        <f t="shared" ca="1" si="48"/>
        <v>2</v>
      </c>
      <c r="CP41" s="770">
        <f t="shared" ca="1" si="49"/>
        <v>2</v>
      </c>
      <c r="CQ41" s="770">
        <f t="shared" ca="1" si="50"/>
        <v>0</v>
      </c>
      <c r="CR41" s="770">
        <f ca="1">CM41+COUNTIFS($CN$6:$CN$53,CN41,$CQ$6:CQ$53,"&gt;"&amp;CQ41,$BC$6:$BC$53,INDEX(T_Equipos[Grupo],MATCH(BD41,T_Equipos[NombreEquipo],0)))</f>
        <v>2</v>
      </c>
      <c r="CS41" s="769" t="str">
        <f ca="1">IF(COUNTIFS($CR$6:$CR$53,CR41,$BC$6:$BC$53,INDEX(T_Equipos[Grupo],MATCH(BD41,T_Equipos[NombreEquipo],0)))=1,"-","P."&amp;CR41&amp;" ("&amp;COUNTIFS($CR$6:$CR$53,CR41,$BC$6:$BC$53,INDEX(T_Equipos[Grupo],MATCH(BD41,T_Equipos[NombreEquipo],0)))&amp;")")</f>
        <v>P.2 (2)</v>
      </c>
      <c r="CT41" s="770">
        <f t="shared" ca="1" si="51"/>
        <v>2</v>
      </c>
      <c r="CU41" s="770">
        <f ca="1">CR41+COUNTIFS($CS$6:$CS$53,CS41,$CT$6:CT$53,"&gt;"&amp;CT41,$BC$6:$BC$53,INDEX(T_Equipos[Grupo],MATCH(BD41,T_Equipos[NombreEquipo],0)))</f>
        <v>2</v>
      </c>
      <c r="CV41" s="769" t="str">
        <f ca="1">IF(COUNTIFS($CU$6:$CU$53,CU41,$BC$6:$BC$53,INDEX(T_Equipos[Grupo],MATCH(BD41,T_Equipos[NombreEquipo],0)))=1,"-","P."&amp;CU41&amp;" ("&amp;COUNTIFS($CU$6:$CU$53,CU41,$BC$6:$BC$53,INDEX(T_Equipos[Grupo],MATCH(BD41,T_Equipos[NombreEquipo],0)))&amp;")")</f>
        <v>P.2 (2)</v>
      </c>
      <c r="CW41" s="769">
        <f t="shared" ca="1" si="30"/>
        <v>2</v>
      </c>
      <c r="CX41" s="769">
        <f ca="1">CU41+COUNTIFS($CV$6:$CV$53,CV41,$CW$6:CW$53,"&gt;"&amp;CW41,$BC$6:$BC$53,INDEX(T_Equipos[Grupo],MATCH(BD41,T_Equipos[NombreEquipo],0)))</f>
        <v>2</v>
      </c>
      <c r="CY41" s="769" t="str">
        <f ca="1">IF(COUNTIFS($CX$6:$CX$53,CX41,$BC$6:$BC$53,INDEX(T_Equipos[Grupo],MATCH(BD41,T_Equipos[NombreEquipo],0)))=1,"-","P."&amp;CX41&amp;" ("&amp;COUNTIFS($CX$6:$CX$53,CX41,$BC$6:$BC$53,INDEX(T_Equipos[Grupo],MATCH(BD41,T_Equipos[NombreEquipo],0)))&amp;")")</f>
        <v>-</v>
      </c>
      <c r="CZ41" s="769" t="str">
        <f t="shared" ca="1" si="31"/>
        <v>-</v>
      </c>
      <c r="DA41" s="770">
        <f ca="1">CX41+COUNTIFS($CY$6:$CY$53,CY41,$CZ$6:CZ$53,"&gt;"&amp;CZ41,$BC$6:$BC$53,INDEX(T_Equipos[Grupo],MATCH(BD41,T_Equipos[NombreEquipo],0)))</f>
        <v>2</v>
      </c>
      <c r="DB41" s="769" t="str">
        <f ca="1">IF(COUNTIFS($DA$6:$DA$53,DA41,$BC$6:$BC$53,INDEX(T_Equipos[Grupo],MATCH(BD41,T_Equipos[NombreEquipo],0)))=1,"-","P."&amp;DA41&amp;" ("&amp;COUNTIFS($DA$6:$DA$53,DA41,$BC$6:$BC$53,INDEX(T_Equipos[Grupo],MATCH(BD41,T_Equipos[NombreEquipo],0)))&amp;")")</f>
        <v>-</v>
      </c>
      <c r="DC41" s="768" t="str">
        <f ca="1">IF(DB41="-","-",COUNTIFS(T_Equipos[Rank],"&lt;"&amp;INDEX(T_Equipos[Rank],MATCH(BD41,T_Equipos[NombreEquipo],0)),$BC$6:$BC$53,INDEX(T_Equipos[Grupo],MATCH(BD41,T_Equipos[NombreEquipo],0)))+1)</f>
        <v>-</v>
      </c>
      <c r="DD41" s="768">
        <f ca="1">DA41+COUNTIFS($DB$6:$DB$53,DB41,$DC$6:DC$53,"&lt;"&amp;DC41,$BC$6:$BC$53,INDEX(T_Equipos[Grupo],MATCH(BD41,T_Equipos[NombreEquipo],0)))</f>
        <v>2</v>
      </c>
      <c r="DE41" s="768"/>
      <c r="DF41" s="768">
        <f t="shared" ca="1" si="52"/>
        <v>2</v>
      </c>
      <c r="DG41" s="768" t="str">
        <f ca="1">IF(DB41="-","-",COUNTIFS(DF$6:DF$53,"&lt;"&amp;DF41,$BC$6:$BC$53,INDEX(T_Equipos[Grupo],MATCH(BD41,T_Equipos[NombreEquipo],0))))</f>
        <v>-</v>
      </c>
      <c r="DH41" s="768">
        <f ca="1">DA41+COUNTIFS(DB$6:DB$53,DB41,DG$6:DG$53,"&lt;"&amp;DG41,$BC$6:$BC$53,INDEX(T_Equipos[Grupo],MATCH(BD41,T_Equipos[NombreEquipo],0)))</f>
        <v>2</v>
      </c>
      <c r="DI41" s="756"/>
      <c r="DJ41" s="756">
        <f t="shared" ca="1" si="53"/>
        <v>4</v>
      </c>
      <c r="DK41" s="756">
        <f t="shared" ca="1" si="24"/>
        <v>12</v>
      </c>
      <c r="DL41" s="756">
        <f t="shared" ca="1" si="33"/>
        <v>1</v>
      </c>
      <c r="DM41" s="750" t="str">
        <f t="shared" ca="1" si="34"/>
        <v>4.1</v>
      </c>
      <c r="DN41" s="756" cm="1">
        <f t="array" aca="1" ref="DN41" ca="1">OFFSET(Horarios!$P$3,DJ41-1,0,DL41,1)</f>
        <v>4</v>
      </c>
      <c r="DO41" s="756"/>
      <c r="DP41" s="756" t="s">
        <v>675</v>
      </c>
      <c r="DQ41" s="756" t="str">
        <f t="shared" ca="1" si="35"/>
        <v>Irak</v>
      </c>
      <c r="DR41" s="756"/>
      <c r="DS41" s="756"/>
      <c r="DT41" s="756" t="str">
        <f t="shared" ca="1" si="15"/>
        <v>Ecuador-Alemania</v>
      </c>
      <c r="DU41" s="756"/>
      <c r="DV41" s="756"/>
      <c r="DW41" s="8"/>
    </row>
    <row r="42" spans="1:127" ht="15" thickBot="1">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9</v>
      </c>
      <c r="BF42" s="760">
        <f t="shared" ca="1" si="26"/>
        <v>3</v>
      </c>
      <c r="BG42" s="760">
        <f t="shared" ca="1" si="17"/>
        <v>3</v>
      </c>
      <c r="BH42" s="760">
        <f t="shared" ca="1" si="18"/>
        <v>0</v>
      </c>
      <c r="BI42" s="760">
        <f t="shared" ca="1" si="19"/>
        <v>0</v>
      </c>
      <c r="BJ42" s="760">
        <f t="shared" ca="1" si="20"/>
        <v>7</v>
      </c>
      <c r="BK42" s="760">
        <f t="shared" ca="1" si="21"/>
        <v>0</v>
      </c>
      <c r="BL42" s="760">
        <f t="shared" ca="1" si="27"/>
        <v>7</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9</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v>
      </c>
      <c r="BU42" s="770" t="str">
        <f t="shared" ca="1" si="36"/>
        <v>-</v>
      </c>
      <c r="BV42" s="770" t="str">
        <f t="shared" ca="1" si="37"/>
        <v>-</v>
      </c>
      <c r="BW42" s="770" t="str">
        <f t="shared" ca="1" si="38"/>
        <v>-</v>
      </c>
      <c r="BX42" s="770" t="str">
        <f t="shared" ca="1" si="39"/>
        <v>-</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v>
      </c>
      <c r="CA42" s="770" t="str">
        <f t="shared" ca="1" si="40"/>
        <v>-</v>
      </c>
      <c r="CB42" s="770" t="str">
        <f t="shared" ca="1" si="41"/>
        <v>-</v>
      </c>
      <c r="CC42" s="770" t="str">
        <f t="shared" ca="1" si="42"/>
        <v>-</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v>
      </c>
      <c r="CF42" s="770" t="str">
        <f t="shared" ca="1" si="43"/>
        <v>-</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v>
      </c>
      <c r="CI42" s="770" t="str">
        <f t="shared" ca="1" si="44"/>
        <v>-</v>
      </c>
      <c r="CJ42" s="770" t="str">
        <f t="shared" ca="1" si="45"/>
        <v>-</v>
      </c>
      <c r="CK42" s="770" t="str">
        <f t="shared" ca="1" si="46"/>
        <v>-</v>
      </c>
      <c r="CL42" s="770" t="str">
        <f t="shared" ca="1" si="47"/>
        <v>-</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v>
      </c>
      <c r="CO42" s="770" t="str">
        <f t="shared" ca="1" si="48"/>
        <v>-</v>
      </c>
      <c r="CP42" s="770" t="str">
        <f t="shared" ca="1" si="49"/>
        <v>-</v>
      </c>
      <c r="CQ42" s="770" t="str">
        <f t="shared" ca="1" si="50"/>
        <v>-</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v>
      </c>
      <c r="CT42" s="770" t="str">
        <f t="shared" ca="1" si="51"/>
        <v>-</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v>
      </c>
      <c r="CW42" s="769" t="str">
        <f t="shared" ca="1" si="30"/>
        <v>-</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v>
      </c>
      <c r="CZ42" s="769" t="str">
        <f t="shared" ca="1" si="31"/>
        <v>-</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v>
      </c>
      <c r="DC42" s="768" t="str">
        <f ca="1">IF(DB42="-","-",COUNTIFS(T_Equipos[Rank],"&lt;"&amp;INDEX(T_Equipos[Rank],MATCH(BD42,T_Equipos[NombreEquipo],0)),$BC$6:$BC$53,INDEX(T_Equipos[Grupo],MATCH(BD42,T_Equipos[NombreEquipo],0)))+1)</f>
        <v>-</v>
      </c>
      <c r="DD42" s="768">
        <f ca="1">DA42+COUNTIFS($DB$6:$DB$53,DB42,$DC$6:DC$53,"&lt;"&amp;DC42,$BC$6:$BC$53,INDEX(T_Equipos[Grupo],MATCH(BD42,T_Equipos[NombreEquipo],0)))</f>
        <v>1</v>
      </c>
      <c r="DE42" s="768"/>
      <c r="DF42" s="768">
        <f t="shared" ca="1" si="52"/>
        <v>1</v>
      </c>
      <c r="DG42" s="768" t="str">
        <f ca="1">IF(DB42="-","-",COUNTIFS(DF$6:DF$53,"&lt;"&amp;DF42,$BC$6:$BC$53,INDEX(T_Equipos[Grupo],MATCH(BD42,T_Equipos[NombreEquipo],0))))</f>
        <v>-</v>
      </c>
      <c r="DH42" s="768">
        <f ca="1">DA42+COUNTIFS(DB$6:DB$53,DB42,DG$6:DG$53,"&lt;"&amp;DG42,$BC$6:$BC$53,INDEX(T_Equipos[Grupo],MATCH(BD42,T_Equipos[NombreEquipo],0)))</f>
        <v>1</v>
      </c>
      <c r="DI42" s="756"/>
      <c r="DJ42" s="756">
        <f t="shared" ca="1" si="53"/>
        <v>1</v>
      </c>
      <c r="DK42" s="756">
        <f t="shared" ca="1" si="24"/>
        <v>12</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5" thickBot="1">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2</v>
      </c>
      <c r="BF43" s="760">
        <f t="shared" ca="1" si="26"/>
        <v>3</v>
      </c>
      <c r="BG43" s="760">
        <f t="shared" ca="1" si="17"/>
        <v>0</v>
      </c>
      <c r="BH43" s="760">
        <f t="shared" ca="1" si="18"/>
        <v>2</v>
      </c>
      <c r="BI43" s="760">
        <f t="shared" ca="1" si="19"/>
        <v>1</v>
      </c>
      <c r="BJ43" s="760">
        <f t="shared" ca="1" si="20"/>
        <v>1</v>
      </c>
      <c r="BK43" s="760">
        <f t="shared" ca="1" si="21"/>
        <v>3</v>
      </c>
      <c r="BL43" s="760">
        <f t="shared" ca="1" si="27"/>
        <v>-2</v>
      </c>
      <c r="BM43" s="760" t="str">
        <f t="shared" ca="1" si="22"/>
        <v>3J</v>
      </c>
      <c r="BN43" s="760" t="str">
        <f t="shared" ca="1" si="23"/>
        <v>3J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2</v>
      </c>
      <c r="BS43" s="769">
        <f ca="1">BP43+COUNTIFS($BQ$6:$BQ$53,BQ43,$BR$6:BR$53,"&gt;"&amp;BR43,$BC$6:$BC$53,INDEX(T_Equipos[Grupo],MATCH(BD43,T_Equipos[NombreEquipo],0)))</f>
        <v>3</v>
      </c>
      <c r="BT43" s="769" t="str">
        <f ca="1">IF(COUNTIFS($BS$6:$BS$53,BS43,$BC$6:$BC$53,INDEX(T_Equipos[Grupo],MATCH(BD43,T_Equipos[NombreEquipo],0)))=1,"-","P."&amp;BS43&amp;" ("&amp;COUNTIFS($BS$6:$BS$53,BS43,$BC$6:$BC$53,INDEX(T_Equipos[Grupo],MATCH(BD43,T_Equipos[NombreEquipo],0)))&amp;")")</f>
        <v>-</v>
      </c>
      <c r="BU43" s="770" t="str">
        <f t="shared" ca="1" si="36"/>
        <v>-</v>
      </c>
      <c r="BV43" s="770" t="str">
        <f t="shared" ca="1" si="37"/>
        <v>-</v>
      </c>
      <c r="BW43" s="770" t="str">
        <f t="shared" ca="1" si="38"/>
        <v>-</v>
      </c>
      <c r="BX43" s="770" t="str">
        <f t="shared" ca="1" si="39"/>
        <v>-</v>
      </c>
      <c r="BY43" s="770">
        <f ca="1">BS43+COUNTIFS($BT$6:$BT$53,BT43,$BX$6:BX$53,"&gt;"&amp;BX43,$BC$6:$BC$53,INDEX(T_Equipos[Grupo],MATCH(BD43,T_Equipos[NombreEquipo],0)))</f>
        <v>3</v>
      </c>
      <c r="BZ43" s="769" t="str">
        <f ca="1">IF(COUNTIFS($BY$6:$BY$53,BY43,$BC$6:$BC$53,INDEX(T_Equipos[Grupo],MATCH(BD43,T_Equipos[NombreEquipo],0)))=1,"-","P."&amp;BY43&amp;" ("&amp;COUNTIFS($BY$6:$BY$53,BY43,$BC$6:$BC$53,INDEX(T_Equipos[Grupo],MATCH(BD43,T_Equipos[NombreEquipo],0)))&amp;")")</f>
        <v>-</v>
      </c>
      <c r="CA43" s="770" t="str">
        <f t="shared" ca="1" si="40"/>
        <v>-</v>
      </c>
      <c r="CB43" s="770" t="str">
        <f t="shared" ca="1" si="41"/>
        <v>-</v>
      </c>
      <c r="CC43" s="770" t="str">
        <f t="shared" ca="1" si="42"/>
        <v>-</v>
      </c>
      <c r="CD43" s="770">
        <f ca="1">BY43+COUNTIFS($BZ$6:$BZ$53,BZ43,$CC$6:CC$53,"&gt;"&amp;CC43,$BC$6:$BC$53,INDEX(T_Equipos[Grupo],MATCH(BD43,T_Equipos[NombreEquipo],0)))</f>
        <v>3</v>
      </c>
      <c r="CE43" s="769" t="str">
        <f ca="1">IF(COUNTIFS($CD$6:$CD$53,CD43,$BC$6:$BC$53,INDEX(T_Equipos[Grupo],MATCH(BD43,T_Equipos[NombreEquipo],0)))=1,"-","P."&amp;CD43&amp;" ("&amp;COUNTIFS($CD$6:$CD$53,CD43,$BC$6:$BC$53,INDEX(T_Equipos[Grupo],MATCH(BD43,T_Equipos[NombreEquipo],0)))&amp;")")</f>
        <v>-</v>
      </c>
      <c r="CF43" s="770" t="str">
        <f t="shared" ca="1" si="43"/>
        <v>-</v>
      </c>
      <c r="CG43" s="770">
        <f ca="1">CD43+COUNTIFS($CE$6:$CE$53,CE43,$CF$6:CF$53,"&gt;"&amp;CF43,$BC$6:$BC$53,INDEX(T_Equipos[Grupo],MATCH(BD43,T_Equipos[NombreEquipo],0)))</f>
        <v>3</v>
      </c>
      <c r="CH43" s="769" t="str">
        <f ca="1">IF(COUNTIFS($CG$6:$CG$53,CG43,$BC$6:$BC$53,INDEX(T_Equipos[Grupo],MATCH(BD43,T_Equipos[NombreEquipo],0)))=1,"-","P."&amp;CG43&amp;" ("&amp;COUNTIFS($CG$6:$CG$53,CG43,$BC$6:$BC$53,INDEX(T_Equipos[Grupo],MATCH(BD43,T_Equipos[NombreEquipo],0)))&amp;")")</f>
        <v>-</v>
      </c>
      <c r="CI43" s="770" t="str">
        <f t="shared" ca="1" si="44"/>
        <v>-</v>
      </c>
      <c r="CJ43" s="770" t="str">
        <f t="shared" ca="1" si="45"/>
        <v>-</v>
      </c>
      <c r="CK43" s="770" t="str">
        <f t="shared" ca="1" si="46"/>
        <v>-</v>
      </c>
      <c r="CL43" s="770" t="str">
        <f t="shared" ca="1" si="47"/>
        <v>-</v>
      </c>
      <c r="CM43" s="770">
        <f ca="1">CG43+COUNTIFS($CH$6:$CH$53,CH43,$CL$6:CL$53,"&gt;"&amp;CL43,$BC$6:$BC$53,INDEX(T_Equipos[Grupo],MATCH(BD43,T_Equipos[NombreEquipo],0)))</f>
        <v>3</v>
      </c>
      <c r="CN43" s="769" t="str">
        <f ca="1">IF(COUNTIFS($CM$6:$CM$53,CM43,$BC$6:$BC$53,INDEX(T_Equipos[Grupo],MATCH(BD43,T_Equipos[NombreEquipo],0)))=1,"-","P."&amp;CM43&amp;" ("&amp;COUNTIFS($CM$6:$CM$53,CM43,$BC$6:$BC$53,INDEX(T_Equipos[Grupo],MATCH(BD43,T_Equipos[NombreEquipo],0)))&amp;")")</f>
        <v>-</v>
      </c>
      <c r="CO43" s="770" t="str">
        <f t="shared" ca="1" si="48"/>
        <v>-</v>
      </c>
      <c r="CP43" s="770" t="str">
        <f t="shared" ca="1" si="49"/>
        <v>-</v>
      </c>
      <c r="CQ43" s="770" t="str">
        <f t="shared" ca="1" si="50"/>
        <v>-</v>
      </c>
      <c r="CR43" s="770">
        <f ca="1">CM43+COUNTIFS($CN$6:$CN$53,CN43,$CQ$6:CQ$53,"&gt;"&amp;CQ43,$BC$6:$BC$53,INDEX(T_Equipos[Grupo],MATCH(BD43,T_Equipos[NombreEquipo],0)))</f>
        <v>3</v>
      </c>
      <c r="CS43" s="769" t="str">
        <f ca="1">IF(COUNTIFS($CR$6:$CR$53,CR43,$BC$6:$BC$53,INDEX(T_Equipos[Grupo],MATCH(BD43,T_Equipos[NombreEquipo],0)))=1,"-","P."&amp;CR43&amp;" ("&amp;COUNTIFS($CR$6:$CR$53,CR43,$BC$6:$BC$53,INDEX(T_Equipos[Grupo],MATCH(BD43,T_Equipos[NombreEquipo],0)))&amp;")")</f>
        <v>-</v>
      </c>
      <c r="CT43" s="770" t="str">
        <f t="shared" ca="1" si="51"/>
        <v>-</v>
      </c>
      <c r="CU43" s="770">
        <f ca="1">CR43+COUNTIFS($CS$6:$CS$53,CS43,$CT$6:CT$53,"&gt;"&amp;CT43,$BC$6:$BC$53,INDEX(T_Equipos[Grupo],MATCH(BD43,T_Equipos[NombreEquipo],0)))</f>
        <v>3</v>
      </c>
      <c r="CV43" s="769" t="str">
        <f ca="1">IF(COUNTIFS($CU$6:$CU$53,CU43,$BC$6:$BC$53,INDEX(T_Equipos[Grupo],MATCH(BD43,T_Equipos[NombreEquipo],0)))=1,"-","P."&amp;CU43&amp;" ("&amp;COUNTIFS($CU$6:$CU$53,CU43,$BC$6:$BC$53,INDEX(T_Equipos[Grupo],MATCH(BD43,T_Equipos[NombreEquipo],0)))&amp;")")</f>
        <v>-</v>
      </c>
      <c r="CW43" s="769" t="str">
        <f t="shared" ca="1" si="30"/>
        <v>-</v>
      </c>
      <c r="CX43" s="769">
        <f ca="1">CU43+COUNTIFS($CV$6:$CV$53,CV43,$CW$6:CW$53,"&gt;"&amp;CW43,$BC$6:$BC$53,INDEX(T_Equipos[Grupo],MATCH(BD43,T_Equipos[NombreEquipo],0)))</f>
        <v>3</v>
      </c>
      <c r="CY43" s="769" t="str">
        <f ca="1">IF(COUNTIFS($CX$6:$CX$53,CX43,$BC$6:$BC$53,INDEX(T_Equipos[Grupo],MATCH(BD43,T_Equipos[NombreEquipo],0)))=1,"-","P."&amp;CX43&amp;" ("&amp;COUNTIFS($CX$6:$CX$53,CX43,$BC$6:$BC$53,INDEX(T_Equipos[Grupo],MATCH(BD43,T_Equipos[NombreEquipo],0)))&amp;")")</f>
        <v>-</v>
      </c>
      <c r="CZ43" s="769" t="str">
        <f t="shared" ca="1" si="31"/>
        <v>-</v>
      </c>
      <c r="DA43" s="770">
        <f ca="1">CX43+COUNTIFS($CY$6:$CY$53,CY43,$CZ$6:CZ$53,"&gt;"&amp;CZ43,$BC$6:$BC$53,INDEX(T_Equipos[Grupo],MATCH(BD43,T_Equipos[NombreEquipo],0)))</f>
        <v>3</v>
      </c>
      <c r="DB43" s="769" t="str">
        <f ca="1">IF(COUNTIFS($DA$6:$DA$53,DA43,$BC$6:$BC$53,INDEX(T_Equipos[Grupo],MATCH(BD43,T_Equipos[NombreEquipo],0)))=1,"-","P."&amp;DA43&amp;" ("&amp;COUNTIFS($DA$6:$DA$53,DA43,$BC$6:$BC$53,INDEX(T_Equipos[Grupo],MATCH(BD43,T_Equipos[NombreEquipo],0)))&amp;")")</f>
        <v>-</v>
      </c>
      <c r="DC43" s="768" t="str">
        <f ca="1">IF(DB43="-","-",COUNTIFS(T_Equipos[Rank],"&lt;"&amp;INDEX(T_Equipos[Rank],MATCH(BD43,T_Equipos[NombreEquipo],0)),$BC$6:$BC$53,INDEX(T_Equipos[Grupo],MATCH(BD43,T_Equipos[NombreEquipo],0)))+1)</f>
        <v>-</v>
      </c>
      <c r="DD43" s="768">
        <f ca="1">DA43+COUNTIFS($DB$6:$DB$53,DB43,$DC$6:DC$53,"&lt;"&amp;DC43,$BC$6:$BC$53,INDEX(T_Equipos[Grupo],MATCH(BD43,T_Equipos[NombreEquipo],0)))</f>
        <v>3</v>
      </c>
      <c r="DE43" s="768"/>
      <c r="DF43" s="768">
        <f t="shared" ca="1" si="52"/>
        <v>3</v>
      </c>
      <c r="DG43" s="768" t="str">
        <f ca="1">IF(DB43="-","-",COUNTIFS(DF$6:DF$53,"&lt;"&amp;DF43,$BC$6:$BC$53,INDEX(T_Equipos[Grupo],MATCH(BD43,T_Equipos[NombreEquipo],0))))</f>
        <v>-</v>
      </c>
      <c r="DH43" s="768">
        <f ca="1">DA43+COUNTIFS(DB$6:DB$53,DB43,DG$6:DG$53,"&lt;"&amp;DG43,$BC$6:$BC$53,INDEX(T_Equipos[Grupo],MATCH(BD43,T_Equipos[NombreEquipo],0)))</f>
        <v>3</v>
      </c>
      <c r="DI43" s="756"/>
      <c r="DJ43" s="756">
        <f t="shared" ca="1" si="53"/>
        <v>2</v>
      </c>
      <c r="DK43" s="756">
        <f t="shared" ca="1" si="24"/>
        <v>12</v>
      </c>
      <c r="DL43" s="756">
        <f t="shared" ca="1" si="33"/>
        <v>1</v>
      </c>
      <c r="DM43" s="750" t="str">
        <f t="shared" ca="1" si="34"/>
        <v>2.1</v>
      </c>
      <c r="DN43" s="756" cm="1">
        <f t="array" aca="1" ref="DN43" ca="1">OFFSET(Horarios!$P$3,DJ43-1,0,DL43,1)</f>
        <v>2</v>
      </c>
      <c r="DO43" s="756"/>
      <c r="DP43" s="756" t="s">
        <v>677</v>
      </c>
      <c r="DQ43" s="756" t="str">
        <f t="shared" ca="1" si="35"/>
        <v>Austria</v>
      </c>
      <c r="DR43" s="756"/>
      <c r="DS43" s="756"/>
      <c r="DT43" s="756" t="str">
        <f t="shared" si="15"/>
        <v>Casa-Fuera</v>
      </c>
      <c r="DU43" s="756"/>
      <c r="DV43" s="756"/>
      <c r="DW43" s="8"/>
    </row>
    <row r="44" spans="1:127" ht="16" customHeight="1" thickBot="1">
      <c r="A44" s="753" t="s">
        <v>30</v>
      </c>
      <c r="B44" s="754" t="s">
        <v>4</v>
      </c>
      <c r="C44" s="755">
        <f>COUNTIF(Equipos!$C$2:$C$49,WORLDCUP!B44)</f>
        <v>4</v>
      </c>
      <c r="D44" s="756" t="str">
        <f t="shared" ref="D44:D50" si="136">IF(OR(AC44="",AD44=""),"Pendiente",IF(AC44&gt;AD44,"Local",IF(AC44&lt;AD44,"Visitante","Empate")))</f>
        <v>Empate</v>
      </c>
      <c r="E44" s="756" t="str">
        <f t="shared" ref="E44:E49" ca="1" si="137">IF(D44="Pendiente","-",INDEX($BT$6:$BT$53,MATCH($AA44,$BD$6:$BD$53,0)))</f>
        <v>P.1 (2)</v>
      </c>
      <c r="F44" s="756" t="str">
        <f t="shared" ref="F44:F49" ca="1" si="138">IF(D44="Pendiente","-",INDEX($BT$6:$BT$53,MATCH($AF44,$BD$6:$BD$53,0)))</f>
        <v>P.1 (2)</v>
      </c>
      <c r="G44" s="756"/>
      <c r="H44" s="756" t="str">
        <f t="shared" ref="H44:H49" ca="1" si="139">IF(D44="Pendiente","-",INDEX($BZ$6:$BZ$53,MATCH($AA44,$BD$6:$BD$53,0)))</f>
        <v>P.1 (2)</v>
      </c>
      <c r="I44" s="756" t="str">
        <f t="shared" ref="I44:I49" ca="1" si="140">IF(D44="Pendiente","-",INDEX($BZ$6:$BZ$53,MATCH($AF44,$BD$6:$BD$53,0)))</f>
        <v>P.1 (2)</v>
      </c>
      <c r="J44" s="756"/>
      <c r="K44" s="756" t="str">
        <f t="shared" ref="K44:K49" ca="1" si="141">IF(D44="Pendiente","-",INDEX($CE$6:$CE$53,MATCH($AA44,$BD$6:$BD$53,0)))</f>
        <v>P.1 (2)</v>
      </c>
      <c r="L44" s="756" t="str">
        <f t="shared" ref="L44:L49" ca="1" si="142">IF(D44="Pendiente","-",INDEX($CE$6:$CE$53,MATCH($AF44,$BD$6:$BD$53,0)))</f>
        <v>P.1 (2)</v>
      </c>
      <c r="M44" s="756"/>
      <c r="N44" s="756" t="str">
        <f t="shared" ref="N44:N49" ca="1" si="143">IF(D44="Pendiente","-",INDEX($CH$6:$CH$53,MATCH($AA44,$BD$6:$BD$53,0)))</f>
        <v>P.1 (2)</v>
      </c>
      <c r="O44" s="756" t="str">
        <f t="shared" ref="O44:O49" ca="1" si="144">IF(D44="Pendiente","-",INDEX($CH$6:$CH$53,MATCH($AF44,$BD$6:$BD$53,0)))</f>
        <v>P.1 (2)</v>
      </c>
      <c r="P44" s="756"/>
      <c r="Q44" s="756" t="str">
        <f t="shared" ref="Q44:Q49" ca="1" si="145">IF(D44="Pendiente","-",INDEX($CN$6:$CN$53,MATCH($AA44,$BD$6:$BD$53,0)))</f>
        <v>P.1 (2)</v>
      </c>
      <c r="R44" s="756" t="str">
        <f t="shared" ref="R44:R49" ca="1" si="146">IF(D44="Pendiente","-",INDEX($CN$6:$CN$53,MATCH($AF44,$BD$6:$BD$53,0)))</f>
        <v>P.1 (2)</v>
      </c>
      <c r="S44" s="756"/>
      <c r="T44" s="756" t="str">
        <f t="shared" ref="T44:T49" ca="1" si="147">IF(D44="Pendiente","-",INDEX($CS$6:$CS$53,MATCH($AA44,$BD$6:$BD$53,0)))</f>
        <v>P.1 (2)</v>
      </c>
      <c r="U44" s="756" t="str">
        <f t="shared" ref="U44:U49" ca="1" si="148">IF(D44="Pendiente","-",INDEX($CS$6:$CS$53,MATCH($AF44,$BD$6:$BD$53,0)))</f>
        <v>P.1 (2)</v>
      </c>
      <c r="V44" s="178"/>
      <c r="W44" s="808" t="s">
        <v>4</v>
      </c>
      <c r="X44" s="195">
        <f ca="1">Horarios!C44</f>
        <v>46187.583333333328</v>
      </c>
      <c r="Y44" s="196">
        <f ca="1">Horarios!C44</f>
        <v>46187.583333333328</v>
      </c>
      <c r="Z44" s="197" t="str">
        <f>$Z$4</f>
        <v>J1</v>
      </c>
      <c r="AA44" s="198" t="str">
        <f ca="1">A45</f>
        <v>Países Bajos</v>
      </c>
      <c r="AB44" s="486" t="str" cm="1">
        <f t="array" aca="1" ref="AB44" ca="1">Ver_flag_local</f>
        <v/>
      </c>
      <c r="AC44" s="199">
        <v>2</v>
      </c>
      <c r="AD44" s="200">
        <v>2</v>
      </c>
      <c r="AE44" s="491" t="str" cm="1">
        <f t="array" aca="1" ref="AE44" ca="1">Ver_flag_visit</f>
        <v/>
      </c>
      <c r="AF44" s="201" t="str">
        <f ca="1">A46</f>
        <v>Japón</v>
      </c>
      <c r="AG44" s="421">
        <f t="shared" ref="AG44:AG49" si="149">IF(NOT(OR(ISBLANK(AC44),ISBLANK(AD44))),1,0)</f>
        <v>1</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4</v>
      </c>
      <c r="BF44" s="760">
        <f t="shared" ca="1" si="26"/>
        <v>3</v>
      </c>
      <c r="BG44" s="760">
        <f t="shared" ca="1" si="17"/>
        <v>1</v>
      </c>
      <c r="BH44" s="760">
        <f t="shared" ca="1" si="18"/>
        <v>1</v>
      </c>
      <c r="BI44" s="760">
        <f t="shared" ca="1" si="19"/>
        <v>1</v>
      </c>
      <c r="BJ44" s="760">
        <f t="shared" ca="1" si="20"/>
        <v>1</v>
      </c>
      <c r="BK44" s="760">
        <f t="shared" ca="1" si="21"/>
        <v>1</v>
      </c>
      <c r="BL44" s="760">
        <f t="shared" ca="1" si="27"/>
        <v>0</v>
      </c>
      <c r="BM44" s="760" t="str">
        <f t="shared" ca="1" si="22"/>
        <v>2J</v>
      </c>
      <c r="BN44" s="760" t="str">
        <f t="shared" ca="1" si="23"/>
        <v>2J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4</v>
      </c>
      <c r="BS44" s="769">
        <f ca="1">BP44+COUNTIFS($BQ$6:$BQ$53,BQ44,$BR$6:BR$53,"&gt;"&amp;BR44,$BC$6:$BC$53,INDEX(T_Equipos[Grupo],MATCH(BD44,T_Equipos[NombreEquipo],0)))</f>
        <v>2</v>
      </c>
      <c r="BT44" s="769" t="str">
        <f ca="1">IF(COUNTIFS($BS$6:$BS$53,BS44,$BC$6:$BC$53,INDEX(T_Equipos[Grupo],MATCH(BD44,T_Equipos[NombreEquipo],0)))=1,"-","P."&amp;BS44&amp;" ("&amp;COUNTIFS($BS$6:$BS$53,BS44,$BC$6:$BC$53,INDEX(T_Equipos[Grupo],MATCH(BD44,T_Equipos[NombreEquipo],0)))&amp;")")</f>
        <v>-</v>
      </c>
      <c r="BU44" s="770" t="str">
        <f t="shared" ca="1" si="36"/>
        <v>-</v>
      </c>
      <c r="BV44" s="770" t="str">
        <f t="shared" ca="1" si="37"/>
        <v>-</v>
      </c>
      <c r="BW44" s="770" t="str">
        <f t="shared" ca="1" si="38"/>
        <v>-</v>
      </c>
      <c r="BX44" s="770" t="str">
        <f t="shared" ca="1" si="39"/>
        <v>-</v>
      </c>
      <c r="BY44" s="770">
        <f ca="1">BS44+COUNTIFS($BT$6:$BT$53,BT44,$BX$6:BX$53,"&gt;"&amp;BX44,$BC$6:$BC$53,INDEX(T_Equipos[Grupo],MATCH(BD44,T_Equipos[NombreEquipo],0)))</f>
        <v>2</v>
      </c>
      <c r="BZ44" s="769" t="str">
        <f ca="1">IF(COUNTIFS($BY$6:$BY$53,BY44,$BC$6:$BC$53,INDEX(T_Equipos[Grupo],MATCH(BD44,T_Equipos[NombreEquipo],0)))=1,"-","P."&amp;BY44&amp;" ("&amp;COUNTIFS($BY$6:$BY$53,BY44,$BC$6:$BC$53,INDEX(T_Equipos[Grupo],MATCH(BD44,T_Equipos[NombreEquipo],0)))&amp;")")</f>
        <v>-</v>
      </c>
      <c r="CA44" s="770" t="str">
        <f t="shared" ca="1" si="40"/>
        <v>-</v>
      </c>
      <c r="CB44" s="770" t="str">
        <f t="shared" ca="1" si="41"/>
        <v>-</v>
      </c>
      <c r="CC44" s="770" t="str">
        <f t="shared" ca="1" si="42"/>
        <v>-</v>
      </c>
      <c r="CD44" s="770">
        <f ca="1">BY44+COUNTIFS($BZ$6:$BZ$53,BZ44,$CC$6:CC$53,"&gt;"&amp;CC44,$BC$6:$BC$53,INDEX(T_Equipos[Grupo],MATCH(BD44,T_Equipos[NombreEquipo],0)))</f>
        <v>2</v>
      </c>
      <c r="CE44" s="769" t="str">
        <f ca="1">IF(COUNTIFS($CD$6:$CD$53,CD44,$BC$6:$BC$53,INDEX(T_Equipos[Grupo],MATCH(BD44,T_Equipos[NombreEquipo],0)))=1,"-","P."&amp;CD44&amp;" ("&amp;COUNTIFS($CD$6:$CD$53,CD44,$BC$6:$BC$53,INDEX(T_Equipos[Grupo],MATCH(BD44,T_Equipos[NombreEquipo],0)))&amp;")")</f>
        <v>-</v>
      </c>
      <c r="CF44" s="770" t="str">
        <f t="shared" ca="1" si="43"/>
        <v>-</v>
      </c>
      <c r="CG44" s="770">
        <f ca="1">CD44+COUNTIFS($CE$6:$CE$53,CE44,$CF$6:CF$53,"&gt;"&amp;CF44,$BC$6:$BC$53,INDEX(T_Equipos[Grupo],MATCH(BD44,T_Equipos[NombreEquipo],0)))</f>
        <v>2</v>
      </c>
      <c r="CH44" s="769" t="str">
        <f ca="1">IF(COUNTIFS($CG$6:$CG$53,CG44,$BC$6:$BC$53,INDEX(T_Equipos[Grupo],MATCH(BD44,T_Equipos[NombreEquipo],0)))=1,"-","P."&amp;CG44&amp;" ("&amp;COUNTIFS($CG$6:$CG$53,CG44,$BC$6:$BC$53,INDEX(T_Equipos[Grupo],MATCH(BD44,T_Equipos[NombreEquipo],0)))&amp;")")</f>
        <v>-</v>
      </c>
      <c r="CI44" s="770" t="str">
        <f t="shared" ca="1" si="44"/>
        <v>-</v>
      </c>
      <c r="CJ44" s="770" t="str">
        <f t="shared" ca="1" si="45"/>
        <v>-</v>
      </c>
      <c r="CK44" s="770" t="str">
        <f t="shared" ca="1" si="46"/>
        <v>-</v>
      </c>
      <c r="CL44" s="770" t="str">
        <f t="shared" ca="1" si="47"/>
        <v>-</v>
      </c>
      <c r="CM44" s="770">
        <f ca="1">CG44+COUNTIFS($CH$6:$CH$53,CH44,$CL$6:CL$53,"&gt;"&amp;CL44,$BC$6:$BC$53,INDEX(T_Equipos[Grupo],MATCH(BD44,T_Equipos[NombreEquipo],0)))</f>
        <v>2</v>
      </c>
      <c r="CN44" s="769" t="str">
        <f ca="1">IF(COUNTIFS($CM$6:$CM$53,CM44,$BC$6:$BC$53,INDEX(T_Equipos[Grupo],MATCH(BD44,T_Equipos[NombreEquipo],0)))=1,"-","P."&amp;CM44&amp;" ("&amp;COUNTIFS($CM$6:$CM$53,CM44,$BC$6:$BC$53,INDEX(T_Equipos[Grupo],MATCH(BD44,T_Equipos[NombreEquipo],0)))&amp;")")</f>
        <v>-</v>
      </c>
      <c r="CO44" s="770" t="str">
        <f t="shared" ca="1" si="48"/>
        <v>-</v>
      </c>
      <c r="CP44" s="770" t="str">
        <f t="shared" ca="1" si="49"/>
        <v>-</v>
      </c>
      <c r="CQ44" s="770" t="str">
        <f t="shared" ca="1" si="50"/>
        <v>-</v>
      </c>
      <c r="CR44" s="770">
        <f ca="1">CM44+COUNTIFS($CN$6:$CN$53,CN44,$CQ$6:CQ$53,"&gt;"&amp;CQ44,$BC$6:$BC$53,INDEX(T_Equipos[Grupo],MATCH(BD44,T_Equipos[NombreEquipo],0)))</f>
        <v>2</v>
      </c>
      <c r="CS44" s="769" t="str">
        <f ca="1">IF(COUNTIFS($CR$6:$CR$53,CR44,$BC$6:$BC$53,INDEX(T_Equipos[Grupo],MATCH(BD44,T_Equipos[NombreEquipo],0)))=1,"-","P."&amp;CR44&amp;" ("&amp;COUNTIFS($CR$6:$CR$53,CR44,$BC$6:$BC$53,INDEX(T_Equipos[Grupo],MATCH(BD44,T_Equipos[NombreEquipo],0)))&amp;")")</f>
        <v>-</v>
      </c>
      <c r="CT44" s="770" t="str">
        <f t="shared" ca="1" si="51"/>
        <v>-</v>
      </c>
      <c r="CU44" s="770">
        <f ca="1">CR44+COUNTIFS($CS$6:$CS$53,CS44,$CT$6:CT$53,"&gt;"&amp;CT44,$BC$6:$BC$53,INDEX(T_Equipos[Grupo],MATCH(BD44,T_Equipos[NombreEquipo],0)))</f>
        <v>2</v>
      </c>
      <c r="CV44" s="769" t="str">
        <f ca="1">IF(COUNTIFS($CU$6:$CU$53,CU44,$BC$6:$BC$53,INDEX(T_Equipos[Grupo],MATCH(BD44,T_Equipos[NombreEquipo],0)))=1,"-","P."&amp;CU44&amp;" ("&amp;COUNTIFS($CU$6:$CU$53,CU44,$BC$6:$BC$53,INDEX(T_Equipos[Grupo],MATCH(BD44,T_Equipos[NombreEquipo],0)))&amp;")")</f>
        <v>-</v>
      </c>
      <c r="CW44" s="769" t="str">
        <f t="shared" ca="1" si="30"/>
        <v>-</v>
      </c>
      <c r="CX44" s="769">
        <f ca="1">CU44+COUNTIFS($CV$6:$CV$53,CV44,$CW$6:CW$53,"&gt;"&amp;CW44,$BC$6:$BC$53,INDEX(T_Equipos[Grupo],MATCH(BD44,T_Equipos[NombreEquipo],0)))</f>
        <v>2</v>
      </c>
      <c r="CY44" s="769" t="str">
        <f ca="1">IF(COUNTIFS($CX$6:$CX$53,CX44,$BC$6:$BC$53,INDEX(T_Equipos[Grupo],MATCH(BD44,T_Equipos[NombreEquipo],0)))=1,"-","P."&amp;CX44&amp;" ("&amp;COUNTIFS($CX$6:$CX$53,CX44,$BC$6:$BC$53,INDEX(T_Equipos[Grupo],MATCH(BD44,T_Equipos[NombreEquipo],0)))&amp;")")</f>
        <v>-</v>
      </c>
      <c r="CZ44" s="769" t="str">
        <f t="shared" ca="1" si="31"/>
        <v>-</v>
      </c>
      <c r="DA44" s="770">
        <f ca="1">CX44+COUNTIFS($CY$6:$CY$53,CY44,$CZ$6:CZ$53,"&gt;"&amp;CZ44,$BC$6:$BC$53,INDEX(T_Equipos[Grupo],MATCH(BD44,T_Equipos[NombreEquipo],0)))</f>
        <v>2</v>
      </c>
      <c r="DB44" s="769" t="str">
        <f ca="1">IF(COUNTIFS($DA$6:$DA$53,DA44,$BC$6:$BC$53,INDEX(T_Equipos[Grupo],MATCH(BD44,T_Equipos[NombreEquipo],0)))=1,"-","P."&amp;DA44&amp;" ("&amp;COUNTIFS($DA$6:$DA$53,DA44,$BC$6:$BC$53,INDEX(T_Equipos[Grupo],MATCH(BD44,T_Equipos[NombreEquipo],0)))&amp;")")</f>
        <v>-</v>
      </c>
      <c r="DC44" s="768" t="str">
        <f ca="1">IF(DB44="-","-",COUNTIFS(T_Equipos[Rank],"&lt;"&amp;INDEX(T_Equipos[Rank],MATCH(BD44,T_Equipos[NombreEquipo],0)),$BC$6:$BC$53,INDEX(T_Equipos[Grupo],MATCH(BD44,T_Equipos[NombreEquipo],0)))+1)</f>
        <v>-</v>
      </c>
      <c r="DD44" s="768">
        <f ca="1">DA44+COUNTIFS($DB$6:$DB$53,DB44,$DC$6:DC$53,"&lt;"&amp;DC44,$BC$6:$BC$53,INDEX(T_Equipos[Grupo],MATCH(BD44,T_Equipos[NombreEquipo],0)))</f>
        <v>2</v>
      </c>
      <c r="DE44" s="768"/>
      <c r="DF44" s="768">
        <f t="shared" ca="1" si="52"/>
        <v>2</v>
      </c>
      <c r="DG44" s="768" t="str">
        <f ca="1">IF(DB44="-","-",COUNTIFS(DF$6:DF$53,"&lt;"&amp;DF44,$BC$6:$BC$53,INDEX(T_Equipos[Grupo],MATCH(BD44,T_Equipos[NombreEquipo],0))))</f>
        <v>-</v>
      </c>
      <c r="DH44" s="768">
        <f ca="1">DA44+COUNTIFS(DB$6:DB$53,DB44,DG$6:DG$53,"&lt;"&amp;DG44,$BC$6:$BC$53,INDEX(T_Equipos[Grupo],MATCH(BD44,T_Equipos[NombreEquipo],0)))</f>
        <v>2</v>
      </c>
      <c r="DI44" s="756"/>
      <c r="DJ44" s="756">
        <f t="shared" ca="1" si="53"/>
        <v>3</v>
      </c>
      <c r="DK44" s="756">
        <f t="shared" ca="1" si="24"/>
        <v>12</v>
      </c>
      <c r="DL44" s="756">
        <f t="shared" ca="1" si="33"/>
        <v>1</v>
      </c>
      <c r="DM44" s="750" t="str">
        <f t="shared" ca="1" si="34"/>
        <v>3.1</v>
      </c>
      <c r="DN44" s="756" cm="1">
        <f t="array" aca="1" ref="DN44" ca="1">OFFSET(Horarios!$P$3,DJ44-1,0,DL44,1)</f>
        <v>3</v>
      </c>
      <c r="DO44" s="756"/>
      <c r="DP44" s="756" t="s">
        <v>441</v>
      </c>
      <c r="DQ44" s="756" t="str">
        <f t="shared" ca="1" si="35"/>
        <v>Argelia</v>
      </c>
      <c r="DR44" s="756"/>
      <c r="DS44" s="756"/>
      <c r="DT44" s="756" t="str">
        <f t="shared" ca="1" si="15"/>
        <v>Países Bajos-Japón</v>
      </c>
      <c r="DU44" s="756"/>
      <c r="DV44" s="756"/>
      <c r="DW44" s="8"/>
    </row>
    <row r="45" spans="1:127" ht="16" customHeight="1">
      <c r="A45" s="757" t="str">
        <f ca="1">+Equipos!B22</f>
        <v>Países Bajos</v>
      </c>
      <c r="B45" s="754"/>
      <c r="C45" s="754"/>
      <c r="D45" s="756" t="str">
        <f t="shared" si="136"/>
        <v>Local</v>
      </c>
      <c r="E45" s="756" t="str">
        <f t="shared" ca="1" si="137"/>
        <v>-</v>
      </c>
      <c r="F45" s="756" t="str">
        <f t="shared" ca="1" si="138"/>
        <v>-</v>
      </c>
      <c r="G45" s="756"/>
      <c r="H45" s="756" t="str">
        <f t="shared" ca="1" si="139"/>
        <v>-</v>
      </c>
      <c r="I45" s="756" t="str">
        <f t="shared" ca="1" si="140"/>
        <v>-</v>
      </c>
      <c r="J45" s="756"/>
      <c r="K45" s="756" t="str">
        <f t="shared" ca="1" si="141"/>
        <v>-</v>
      </c>
      <c r="L45" s="756" t="str">
        <f t="shared" ca="1" si="142"/>
        <v>-</v>
      </c>
      <c r="M45" s="756"/>
      <c r="N45" s="756" t="str">
        <f t="shared" ca="1" si="143"/>
        <v>-</v>
      </c>
      <c r="O45" s="756" t="str">
        <f t="shared" ca="1" si="144"/>
        <v>-</v>
      </c>
      <c r="P45" s="756"/>
      <c r="Q45" s="756" t="str">
        <f t="shared" ca="1" si="145"/>
        <v>-</v>
      </c>
      <c r="R45" s="756" t="str">
        <f t="shared" ca="1" si="146"/>
        <v>-</v>
      </c>
      <c r="S45" s="756"/>
      <c r="T45" s="756" t="str">
        <f t="shared" ca="1" si="147"/>
        <v>-</v>
      </c>
      <c r="U45" s="756" t="str">
        <f t="shared" ca="1" si="148"/>
        <v>-</v>
      </c>
      <c r="V45" s="178"/>
      <c r="W45" s="808"/>
      <c r="X45" s="195">
        <f ca="1">Horarios!C45</f>
        <v>46187.833333333328</v>
      </c>
      <c r="Y45" s="196">
        <f ca="1">Horarios!C45</f>
        <v>46187.833333333328</v>
      </c>
      <c r="Z45" s="197" t="str">
        <f>$Z$4</f>
        <v>J1</v>
      </c>
      <c r="AA45" s="198" t="str">
        <f ca="1">A47</f>
        <v>Suecia</v>
      </c>
      <c r="AB45" s="486" t="str" cm="1">
        <f t="array" aca="1" ref="AB45" ca="1">Ver_flag_local</f>
        <v/>
      </c>
      <c r="AC45" s="199">
        <v>3</v>
      </c>
      <c r="AD45" s="200">
        <v>0</v>
      </c>
      <c r="AE45" s="491" t="str" cm="1">
        <f t="array" aca="1" ref="AE45" ca="1">Ver_flag_visit</f>
        <v/>
      </c>
      <c r="AF45" s="201" t="str">
        <f ca="1">A48</f>
        <v>Túnez</v>
      </c>
      <c r="AG45" s="421">
        <f t="shared" si="149"/>
        <v>1</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1</v>
      </c>
      <c r="BF45" s="760">
        <f t="shared" ca="1" si="26"/>
        <v>3</v>
      </c>
      <c r="BG45" s="760">
        <f t="shared" ca="1" si="17"/>
        <v>0</v>
      </c>
      <c r="BH45" s="760">
        <f t="shared" ca="1" si="18"/>
        <v>1</v>
      </c>
      <c r="BI45" s="760">
        <f t="shared" ca="1" si="19"/>
        <v>2</v>
      </c>
      <c r="BJ45" s="760">
        <f t="shared" ca="1" si="20"/>
        <v>1</v>
      </c>
      <c r="BK45" s="760">
        <f t="shared" ca="1" si="21"/>
        <v>6</v>
      </c>
      <c r="BL45" s="760">
        <f t="shared" ca="1" si="27"/>
        <v>-5</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1</v>
      </c>
      <c r="BS45" s="769">
        <f ca="1">BP45+COUNTIFS($BQ$6:$BQ$53,BQ45,$BR$6:BR$53,"&gt;"&amp;BR45,$BC$6:$BC$53,INDEX(T_Equipos[Grupo],MATCH(BD45,T_Equipos[NombreEquipo],0)))</f>
        <v>4</v>
      </c>
      <c r="BT45" s="769" t="str">
        <f ca="1">IF(COUNTIFS($BS$6:$BS$53,BS45,$BC$6:$BC$53,INDEX(T_Equipos[Grupo],MATCH(BD45,T_Equipos[NombreEquipo],0)))=1,"-","P."&amp;BS45&amp;" ("&amp;COUNTIFS($BS$6:$BS$53,BS45,$BC$6:$BC$53,INDEX(T_Equipos[Grupo],MATCH(BD45,T_Equipos[NombreEquipo],0)))&amp;")")</f>
        <v>-</v>
      </c>
      <c r="BU45" s="770" t="str">
        <f t="shared" ca="1" si="36"/>
        <v>-</v>
      </c>
      <c r="BV45" s="770" t="str">
        <f t="shared" ca="1" si="37"/>
        <v>-</v>
      </c>
      <c r="BW45" s="770" t="str">
        <f t="shared" ca="1" si="38"/>
        <v>-</v>
      </c>
      <c r="BX45" s="770" t="str">
        <f t="shared" ca="1" si="39"/>
        <v>-</v>
      </c>
      <c r="BY45" s="770">
        <f ca="1">BS45+COUNTIFS($BT$6:$BT$53,BT45,$BX$6:BX$53,"&gt;"&amp;BX45,$BC$6:$BC$53,INDEX(T_Equipos[Grupo],MATCH(BD45,T_Equipos[NombreEquipo],0)))</f>
        <v>4</v>
      </c>
      <c r="BZ45" s="769" t="str">
        <f ca="1">IF(COUNTIFS($BY$6:$BY$53,BY45,$BC$6:$BC$53,INDEX(T_Equipos[Grupo],MATCH(BD45,T_Equipos[NombreEquipo],0)))=1,"-","P."&amp;BY45&amp;" ("&amp;COUNTIFS($BY$6:$BY$53,BY45,$BC$6:$BC$53,INDEX(T_Equipos[Grupo],MATCH(BD45,T_Equipos[NombreEquipo],0)))&amp;")")</f>
        <v>-</v>
      </c>
      <c r="CA45" s="770" t="str">
        <f t="shared" ca="1" si="40"/>
        <v>-</v>
      </c>
      <c r="CB45" s="770" t="str">
        <f t="shared" ca="1" si="41"/>
        <v>-</v>
      </c>
      <c r="CC45" s="770" t="str">
        <f t="shared" ca="1" si="42"/>
        <v>-</v>
      </c>
      <c r="CD45" s="770">
        <f ca="1">BY45+COUNTIFS($BZ$6:$BZ$53,BZ45,$CC$6:CC$53,"&gt;"&amp;CC45,$BC$6:$BC$53,INDEX(T_Equipos[Grupo],MATCH(BD45,T_Equipos[NombreEquipo],0)))</f>
        <v>4</v>
      </c>
      <c r="CE45" s="769" t="str">
        <f ca="1">IF(COUNTIFS($CD$6:$CD$53,CD45,$BC$6:$BC$53,INDEX(T_Equipos[Grupo],MATCH(BD45,T_Equipos[NombreEquipo],0)))=1,"-","P."&amp;CD45&amp;" ("&amp;COUNTIFS($CD$6:$CD$53,CD45,$BC$6:$BC$53,INDEX(T_Equipos[Grupo],MATCH(BD45,T_Equipos[NombreEquipo],0)))&amp;")")</f>
        <v>-</v>
      </c>
      <c r="CF45" s="770" t="str">
        <f t="shared" ca="1" si="43"/>
        <v>-</v>
      </c>
      <c r="CG45" s="770">
        <f ca="1">CD45+COUNTIFS($CE$6:$CE$53,CE45,$CF$6:CF$53,"&gt;"&amp;CF45,$BC$6:$BC$53,INDEX(T_Equipos[Grupo],MATCH(BD45,T_Equipos[NombreEquipo],0)))</f>
        <v>4</v>
      </c>
      <c r="CH45" s="769" t="str">
        <f ca="1">IF(COUNTIFS($CG$6:$CG$53,CG45,$BC$6:$BC$53,INDEX(T_Equipos[Grupo],MATCH(BD45,T_Equipos[NombreEquipo],0)))=1,"-","P."&amp;CG45&amp;" ("&amp;COUNTIFS($CG$6:$CG$53,CG45,$BC$6:$BC$53,INDEX(T_Equipos[Grupo],MATCH(BD45,T_Equipos[NombreEquipo],0)))&amp;")")</f>
        <v>-</v>
      </c>
      <c r="CI45" s="770" t="str">
        <f t="shared" ca="1" si="44"/>
        <v>-</v>
      </c>
      <c r="CJ45" s="770" t="str">
        <f t="shared" ca="1" si="45"/>
        <v>-</v>
      </c>
      <c r="CK45" s="770" t="str">
        <f t="shared" ca="1" si="46"/>
        <v>-</v>
      </c>
      <c r="CL45" s="770" t="str">
        <f t="shared" ca="1" si="47"/>
        <v>-</v>
      </c>
      <c r="CM45" s="770">
        <f ca="1">CG45+COUNTIFS($CH$6:$CH$53,CH45,$CL$6:CL$53,"&gt;"&amp;CL45,$BC$6:$BC$53,INDEX(T_Equipos[Grupo],MATCH(BD45,T_Equipos[NombreEquipo],0)))</f>
        <v>4</v>
      </c>
      <c r="CN45" s="769" t="str">
        <f ca="1">IF(COUNTIFS($CM$6:$CM$53,CM45,$BC$6:$BC$53,INDEX(T_Equipos[Grupo],MATCH(BD45,T_Equipos[NombreEquipo],0)))=1,"-","P."&amp;CM45&amp;" ("&amp;COUNTIFS($CM$6:$CM$53,CM45,$BC$6:$BC$53,INDEX(T_Equipos[Grupo],MATCH(BD45,T_Equipos[NombreEquipo],0)))&amp;")")</f>
        <v>-</v>
      </c>
      <c r="CO45" s="770" t="str">
        <f t="shared" ca="1" si="48"/>
        <v>-</v>
      </c>
      <c r="CP45" s="770" t="str">
        <f t="shared" ca="1" si="49"/>
        <v>-</v>
      </c>
      <c r="CQ45" s="770" t="str">
        <f t="shared" ca="1" si="50"/>
        <v>-</v>
      </c>
      <c r="CR45" s="770">
        <f ca="1">CM45+COUNTIFS($CN$6:$CN$53,CN45,$CQ$6:CQ$53,"&gt;"&amp;CQ45,$BC$6:$BC$53,INDEX(T_Equipos[Grupo],MATCH(BD45,T_Equipos[NombreEquipo],0)))</f>
        <v>4</v>
      </c>
      <c r="CS45" s="769" t="str">
        <f ca="1">IF(COUNTIFS($CR$6:$CR$53,CR45,$BC$6:$BC$53,INDEX(T_Equipos[Grupo],MATCH(BD45,T_Equipos[NombreEquipo],0)))=1,"-","P."&amp;CR45&amp;" ("&amp;COUNTIFS($CR$6:$CR$53,CR45,$BC$6:$BC$53,INDEX(T_Equipos[Grupo],MATCH(BD45,T_Equipos[NombreEquipo],0)))&amp;")")</f>
        <v>-</v>
      </c>
      <c r="CT45" s="770" t="str">
        <f t="shared" ca="1" si="51"/>
        <v>-</v>
      </c>
      <c r="CU45" s="770">
        <f ca="1">CR45+COUNTIFS($CS$6:$CS$53,CS45,$CT$6:CT$53,"&gt;"&amp;CT45,$BC$6:$BC$53,INDEX(T_Equipos[Grupo],MATCH(BD45,T_Equipos[NombreEquipo],0)))</f>
        <v>4</v>
      </c>
      <c r="CV45" s="769" t="str">
        <f ca="1">IF(COUNTIFS($CU$6:$CU$53,CU45,$BC$6:$BC$53,INDEX(T_Equipos[Grupo],MATCH(BD45,T_Equipos[NombreEquipo],0)))=1,"-","P."&amp;CU45&amp;" ("&amp;COUNTIFS($CU$6:$CU$53,CU45,$BC$6:$BC$53,INDEX(T_Equipos[Grupo],MATCH(BD45,T_Equipos[NombreEquipo],0)))&amp;")")</f>
        <v>-</v>
      </c>
      <c r="CW45" s="769" t="str">
        <f t="shared" ca="1" si="30"/>
        <v>-</v>
      </c>
      <c r="CX45" s="769">
        <f ca="1">CU45+COUNTIFS($CV$6:$CV$53,CV45,$CW$6:CW$53,"&gt;"&amp;CW45,$BC$6:$BC$53,INDEX(T_Equipos[Grupo],MATCH(BD45,T_Equipos[NombreEquipo],0)))</f>
        <v>4</v>
      </c>
      <c r="CY45" s="769" t="str">
        <f ca="1">IF(COUNTIFS($CX$6:$CX$53,CX45,$BC$6:$BC$53,INDEX(T_Equipos[Grupo],MATCH(BD45,T_Equipos[NombreEquipo],0)))=1,"-","P."&amp;CX45&amp;" ("&amp;COUNTIFS($CX$6:$CX$53,CX45,$BC$6:$BC$53,INDEX(T_Equipos[Grupo],MATCH(BD45,T_Equipos[NombreEquipo],0)))&amp;")")</f>
        <v>-</v>
      </c>
      <c r="CZ45" s="769" t="str">
        <f t="shared" ca="1" si="31"/>
        <v>-</v>
      </c>
      <c r="DA45" s="770">
        <f ca="1">CX45+COUNTIFS($CY$6:$CY$53,CY45,$CZ$6:CZ$53,"&gt;"&amp;CZ45,$BC$6:$BC$53,INDEX(T_Equipos[Grupo],MATCH(BD45,T_Equipos[NombreEquipo],0)))</f>
        <v>4</v>
      </c>
      <c r="DB45" s="769" t="str">
        <f ca="1">IF(COUNTIFS($DA$6:$DA$53,DA45,$BC$6:$BC$53,INDEX(T_Equipos[Grupo],MATCH(BD45,T_Equipos[NombreEquipo],0)))=1,"-","P."&amp;DA45&amp;" ("&amp;COUNTIFS($DA$6:$DA$53,DA45,$BC$6:$BC$53,INDEX(T_Equipos[Grupo],MATCH(BD45,T_Equipos[NombreEquipo],0)))&amp;")")</f>
        <v>-</v>
      </c>
      <c r="DC45" s="768" t="str">
        <f ca="1">IF(DB45="-","-",COUNTIFS(T_Equipos[Rank],"&lt;"&amp;INDEX(T_Equipos[Rank],MATCH(BD45,T_Equipos[NombreEquipo],0)),$BC$6:$BC$53,INDEX(T_Equipos[Grupo],MATCH(BD45,T_Equipos[NombreEquipo],0)))+1)</f>
        <v>-</v>
      </c>
      <c r="DD45" s="768">
        <f ca="1">DA45+COUNTIFS($DB$6:$DB$53,DB45,$DC$6:DC$53,"&lt;"&amp;DC45,$BC$6:$BC$53,INDEX(T_Equipos[Grupo],MATCH(BD45,T_Equipos[NombreEquipo],0)))</f>
        <v>4</v>
      </c>
      <c r="DE45" s="768"/>
      <c r="DF45" s="768">
        <f t="shared" ca="1" si="52"/>
        <v>4</v>
      </c>
      <c r="DG45" s="768" t="str">
        <f ca="1">IF(DB45="-","-",COUNTIFS(DF$6:DF$53,"&lt;"&amp;DF45,$BC$6:$BC$53,INDEX(T_Equipos[Grupo],MATCH(BD45,T_Equipos[NombreEquipo],0))))</f>
        <v>-</v>
      </c>
      <c r="DH45" s="768">
        <f ca="1">DA45+COUNTIFS(DB$6:DB$53,DB45,DG$6:DG$53,"&lt;"&amp;DG45,$BC$6:$BC$53,INDEX(T_Equipos[Grupo],MATCH(BD45,T_Equipos[NombreEquipo],0)))</f>
        <v>4</v>
      </c>
      <c r="DI45" s="756"/>
      <c r="DJ45" s="756">
        <f t="shared" ca="1" si="53"/>
        <v>4</v>
      </c>
      <c r="DK45" s="756">
        <f t="shared" ca="1" si="24"/>
        <v>12</v>
      </c>
      <c r="DL45" s="756">
        <f t="shared" ca="1" si="33"/>
        <v>1</v>
      </c>
      <c r="DM45" s="750" t="str">
        <f t="shared" ca="1" si="34"/>
        <v>4.1</v>
      </c>
      <c r="DN45" s="756" cm="1">
        <f t="array" aca="1" ref="DN45" ca="1">OFFSET(Horarios!$P$3,DJ45-1,0,DL45,1)</f>
        <v>4</v>
      </c>
      <c r="DO45" s="756"/>
      <c r="DP45" s="756" t="s">
        <v>678</v>
      </c>
      <c r="DQ45" s="756" t="str">
        <f t="shared" ca="1" si="35"/>
        <v>Jordania</v>
      </c>
      <c r="DR45" s="756"/>
      <c r="DS45" s="756"/>
      <c r="DT45" s="756" t="str">
        <f t="shared" ca="1" si="15"/>
        <v>Suecia-Túnez</v>
      </c>
      <c r="DU45" s="756"/>
      <c r="DV45" s="756"/>
      <c r="DW45" s="8"/>
    </row>
    <row r="46" spans="1:127" ht="16" customHeight="1">
      <c r="A46" s="757" t="str">
        <f ca="1">+Equipos!B23</f>
        <v>Japón</v>
      </c>
      <c r="B46" s="754"/>
      <c r="C46" s="758"/>
      <c r="D46" s="756" t="str">
        <f t="shared" si="136"/>
        <v>Local</v>
      </c>
      <c r="E46" s="756" t="str">
        <f t="shared" ca="1" si="137"/>
        <v>P.1 (2)</v>
      </c>
      <c r="F46" s="756" t="str">
        <f t="shared" ca="1" si="138"/>
        <v>-</v>
      </c>
      <c r="G46" s="756"/>
      <c r="H46" s="756" t="str">
        <f t="shared" ca="1" si="139"/>
        <v>P.1 (2)</v>
      </c>
      <c r="I46" s="756" t="str">
        <f t="shared" ca="1" si="140"/>
        <v>-</v>
      </c>
      <c r="J46" s="756"/>
      <c r="K46" s="756" t="str">
        <f t="shared" ca="1" si="141"/>
        <v>P.1 (2)</v>
      </c>
      <c r="L46" s="756" t="str">
        <f t="shared" ca="1" si="142"/>
        <v>-</v>
      </c>
      <c r="M46" s="756"/>
      <c r="N46" s="756" t="str">
        <f t="shared" ca="1" si="143"/>
        <v>P.1 (2)</v>
      </c>
      <c r="O46" s="756" t="str">
        <f t="shared" ca="1" si="144"/>
        <v>-</v>
      </c>
      <c r="P46" s="756"/>
      <c r="Q46" s="756" t="str">
        <f t="shared" ca="1" si="145"/>
        <v>P.1 (2)</v>
      </c>
      <c r="R46" s="756" t="str">
        <f t="shared" ca="1" si="146"/>
        <v>-</v>
      </c>
      <c r="S46" s="756"/>
      <c r="T46" s="756" t="str">
        <f t="shared" ca="1" si="147"/>
        <v>P.1 (2)</v>
      </c>
      <c r="U46" s="756" t="str">
        <f t="shared" ca="1" si="148"/>
        <v>-</v>
      </c>
      <c r="V46" s="178"/>
      <c r="W46" s="808"/>
      <c r="X46" s="195">
        <f ca="1">Horarios!C46</f>
        <v>46193.458333333328</v>
      </c>
      <c r="Y46" s="196">
        <f ca="1">Horarios!C46</f>
        <v>46193.458333333328</v>
      </c>
      <c r="Z46" s="197" t="str">
        <f>$Z$6</f>
        <v>J2</v>
      </c>
      <c r="AA46" s="198" t="str">
        <f ca="1">A45</f>
        <v>Países Bajos</v>
      </c>
      <c r="AB46" s="486" t="str" cm="1">
        <f t="array" aca="1" ref="AB46" ca="1">Ver_flag_local</f>
        <v/>
      </c>
      <c r="AC46" s="199">
        <v>2</v>
      </c>
      <c r="AD46" s="200">
        <v>1</v>
      </c>
      <c r="AE46" s="491" t="str" cm="1">
        <f t="array" aca="1" ref="AE46" ca="1">Ver_flag_visit</f>
        <v/>
      </c>
      <c r="AF46" s="201" t="str">
        <f ca="1">A47</f>
        <v>Suecia</v>
      </c>
      <c r="AG46" s="421">
        <f t="shared" si="149"/>
        <v>1</v>
      </c>
      <c r="AH46" s="202">
        <v>35</v>
      </c>
      <c r="AI46" s="19" t="str">
        <f>AJ46&amp;$B$44</f>
        <v>1F</v>
      </c>
      <c r="AJ46" s="217">
        <v>1</v>
      </c>
      <c r="AK46" s="496" t="str" cm="1">
        <f t="array" aca="1" ref="AK46" ca="1">Ver_flag_visit</f>
        <v/>
      </c>
      <c r="AL46" s="218" t="str">
        <f ca="1">IFERROR(INDEX($BD$6:$BD$53,MATCH(AI46,$BN$6:$BN$53,0)),"")</f>
        <v>Japón</v>
      </c>
      <c r="AM46" s="219">
        <f t="shared" ref="AM46:AT49" ca="1" si="153">INDEX($BE$6:$BN$53,MATCH($AL46,$BD$6:$BD$53,0),MATCH(AM$5,$BE$5:$BN$5,0))</f>
        <v>7</v>
      </c>
      <c r="AN46" s="220">
        <f t="shared" ca="1" si="153"/>
        <v>3</v>
      </c>
      <c r="AO46" s="220">
        <f t="shared" ca="1" si="153"/>
        <v>2</v>
      </c>
      <c r="AP46" s="220">
        <f t="shared" ca="1" si="153"/>
        <v>1</v>
      </c>
      <c r="AQ46" s="220">
        <f t="shared" ca="1" si="153"/>
        <v>0</v>
      </c>
      <c r="AR46" s="220">
        <f t="shared" ca="1" si="153"/>
        <v>8</v>
      </c>
      <c r="AS46" s="220">
        <f t="shared" ca="1" si="153"/>
        <v>3</v>
      </c>
      <c r="AT46" s="221">
        <f t="shared" ca="1" si="153"/>
        <v>5</v>
      </c>
      <c r="AU46" s="428">
        <f ca="1">INDEX($DL$6:$DL$53,MATCH(AI46,$DP$6:$DP$53,0))</f>
        <v>1</v>
      </c>
      <c r="AV46" s="223" t="str">
        <f ca="1">INDEX($BD$6:$BD$53,MATCH(AI46,$BM$6:$BM$53,0))</f>
        <v>Japón</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9</v>
      </c>
      <c r="BF46" s="760">
        <f t="shared" ca="1" si="26"/>
        <v>3</v>
      </c>
      <c r="BG46" s="760">
        <f t="shared" ca="1" si="17"/>
        <v>3</v>
      </c>
      <c r="BH46" s="760">
        <f t="shared" ca="1" si="18"/>
        <v>0</v>
      </c>
      <c r="BI46" s="760">
        <f t="shared" ca="1" si="19"/>
        <v>0</v>
      </c>
      <c r="BJ46" s="760">
        <f t="shared" ca="1" si="20"/>
        <v>5</v>
      </c>
      <c r="BK46" s="760">
        <f t="shared" ca="1" si="21"/>
        <v>1</v>
      </c>
      <c r="BL46" s="760">
        <f t="shared" ca="1" si="27"/>
        <v>4</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9</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v>
      </c>
      <c r="BU46" s="770" t="str">
        <f t="shared" ca="1" si="36"/>
        <v>-</v>
      </c>
      <c r="BV46" s="770" t="str">
        <f t="shared" ca="1" si="37"/>
        <v>-</v>
      </c>
      <c r="BW46" s="770" t="str">
        <f t="shared" ca="1" si="38"/>
        <v>-</v>
      </c>
      <c r="BX46" s="770" t="str">
        <f t="shared" ca="1" si="39"/>
        <v>-</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v>
      </c>
      <c r="CA46" s="770" t="str">
        <f t="shared" ca="1" si="40"/>
        <v>-</v>
      </c>
      <c r="CB46" s="770" t="str">
        <f t="shared" ca="1" si="41"/>
        <v>-</v>
      </c>
      <c r="CC46" s="770" t="str">
        <f t="shared" ca="1" si="42"/>
        <v>-</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v>
      </c>
      <c r="CF46" s="770" t="str">
        <f t="shared" ca="1" si="43"/>
        <v>-</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v>
      </c>
      <c r="CI46" s="770" t="str">
        <f t="shared" ca="1" si="44"/>
        <v>-</v>
      </c>
      <c r="CJ46" s="770" t="str">
        <f t="shared" ca="1" si="45"/>
        <v>-</v>
      </c>
      <c r="CK46" s="770" t="str">
        <f t="shared" ca="1" si="46"/>
        <v>-</v>
      </c>
      <c r="CL46" s="770" t="str">
        <f t="shared" ca="1" si="47"/>
        <v>-</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v>
      </c>
      <c r="CO46" s="770" t="str">
        <f t="shared" ca="1" si="48"/>
        <v>-</v>
      </c>
      <c r="CP46" s="770" t="str">
        <f t="shared" ca="1" si="49"/>
        <v>-</v>
      </c>
      <c r="CQ46" s="770" t="str">
        <f t="shared" ca="1" si="50"/>
        <v>-</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v>
      </c>
      <c r="CT46" s="770" t="str">
        <f t="shared" ca="1" si="51"/>
        <v>-</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v>
      </c>
      <c r="CW46" s="769" t="str">
        <f t="shared" ca="1" si="30"/>
        <v>-</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v>
      </c>
      <c r="CZ46" s="769" t="str">
        <f t="shared" ca="1" si="31"/>
        <v>-</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v>
      </c>
      <c r="DC46" s="768" t="str">
        <f ca="1">IF(DB46="-","-",COUNTIFS(T_Equipos[Rank],"&lt;"&amp;INDEX(T_Equipos[Rank],MATCH(BD46,T_Equipos[NombreEquipo],0)),$BC$6:$BC$53,INDEX(T_Equipos[Grupo],MATCH(BD46,T_Equipos[NombreEquipo],0)))+1)</f>
        <v>-</v>
      </c>
      <c r="DD46" s="768">
        <f ca="1">DA46+COUNTIFS($DB$6:$DB$53,DB46,$DC$6:DC$53,"&lt;"&amp;DC46,$BC$6:$BC$53,INDEX(T_Equipos[Grupo],MATCH(BD46,T_Equipos[NombreEquipo],0)))</f>
        <v>1</v>
      </c>
      <c r="DE46" s="768"/>
      <c r="DF46" s="768">
        <f t="shared" ca="1" si="52"/>
        <v>1</v>
      </c>
      <c r="DG46" s="768" t="str">
        <f ca="1">IF(DB46="-","-",COUNTIFS(DF$6:DF$53,"&lt;"&amp;DF46,$BC$6:$BC$53,INDEX(T_Equipos[Grupo],MATCH(BD46,T_Equipos[NombreEquipo],0))))</f>
        <v>-</v>
      </c>
      <c r="DH46" s="768">
        <f ca="1">DA46+COUNTIFS(DB$6:DB$53,DB46,DG$6:DG$53,"&lt;"&amp;DG46,$BC$6:$BC$53,INDEX(T_Equipos[Grupo],MATCH(BD46,T_Equipos[NombreEquipo],0)))</f>
        <v>1</v>
      </c>
      <c r="DI46" s="756"/>
      <c r="DJ46" s="756">
        <f t="shared" ca="1" si="53"/>
        <v>1</v>
      </c>
      <c r="DK46" s="756">
        <f t="shared" ca="1" si="24"/>
        <v>12</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 customHeight="1">
      <c r="A47" s="757" t="str">
        <f ca="1">+Equipos!B24</f>
        <v>Suecia</v>
      </c>
      <c r="B47" s="754"/>
      <c r="C47" s="756"/>
      <c r="D47" s="756" t="str">
        <f t="shared" si="136"/>
        <v>Visitante</v>
      </c>
      <c r="E47" s="756" t="str">
        <f t="shared" ca="1" si="137"/>
        <v>-</v>
      </c>
      <c r="F47" s="756" t="str">
        <f t="shared" ca="1" si="138"/>
        <v>P.1 (2)</v>
      </c>
      <c r="G47" s="756"/>
      <c r="H47" s="756" t="str">
        <f t="shared" ca="1" si="139"/>
        <v>-</v>
      </c>
      <c r="I47" s="756" t="str">
        <f t="shared" ca="1" si="140"/>
        <v>P.1 (2)</v>
      </c>
      <c r="J47" s="756"/>
      <c r="K47" s="756" t="str">
        <f t="shared" ca="1" si="141"/>
        <v>-</v>
      </c>
      <c r="L47" s="756" t="str">
        <f t="shared" ca="1" si="142"/>
        <v>P.1 (2)</v>
      </c>
      <c r="M47" s="756"/>
      <c r="N47" s="756" t="str">
        <f t="shared" ca="1" si="143"/>
        <v>-</v>
      </c>
      <c r="O47" s="756" t="str">
        <f t="shared" ca="1" si="144"/>
        <v>P.1 (2)</v>
      </c>
      <c r="P47" s="756"/>
      <c r="Q47" s="756" t="str">
        <f t="shared" ca="1" si="145"/>
        <v>-</v>
      </c>
      <c r="R47" s="756" t="str">
        <f t="shared" ca="1" si="146"/>
        <v>P.1 (2)</v>
      </c>
      <c r="S47" s="756"/>
      <c r="T47" s="756" t="str">
        <f t="shared" ca="1" si="147"/>
        <v>-</v>
      </c>
      <c r="U47" s="756" t="str">
        <f t="shared" ca="1" si="148"/>
        <v>P.1 (2)</v>
      </c>
      <c r="V47" s="178"/>
      <c r="W47" s="808"/>
      <c r="X47" s="195">
        <f ca="1">Horarios!C47</f>
        <v>46193.916666666664</v>
      </c>
      <c r="Y47" s="196">
        <f ca="1">Horarios!C47</f>
        <v>46193.916666666664</v>
      </c>
      <c r="Z47" s="197" t="str">
        <f>$Z$6</f>
        <v>J2</v>
      </c>
      <c r="AA47" s="198" t="str">
        <f ca="1">A48</f>
        <v>Túnez</v>
      </c>
      <c r="AB47" s="486" t="str" cm="1">
        <f t="array" aca="1" ref="AB47" ca="1">Ver_flag_local</f>
        <v/>
      </c>
      <c r="AC47" s="199">
        <v>1</v>
      </c>
      <c r="AD47" s="200">
        <v>4</v>
      </c>
      <c r="AE47" s="491" t="str" cm="1">
        <f t="array" aca="1" ref="AE47" ca="1">Ver_flag_visit</f>
        <v/>
      </c>
      <c r="AF47" s="201" t="str">
        <f ca="1">A46</f>
        <v>Japón</v>
      </c>
      <c r="AG47" s="421">
        <f t="shared" si="149"/>
        <v>1</v>
      </c>
      <c r="AH47" s="202">
        <v>36</v>
      </c>
      <c r="AI47" s="19" t="str">
        <f t="shared" ref="AI47:AI49" si="154">AJ47&amp;$B$44</f>
        <v>2F</v>
      </c>
      <c r="AJ47" s="227">
        <v>2</v>
      </c>
      <c r="AK47" s="494" t="str" cm="1">
        <f t="array" aca="1" ref="AK47" ca="1">Ver_flag_visit</f>
        <v/>
      </c>
      <c r="AL47" s="228" t="str">
        <f ca="1">IFERROR(INDEX($BD$6:$BD$53,MATCH(AI47,$BN$6:$BN$53,0)),"")</f>
        <v>Países Bajos</v>
      </c>
      <c r="AM47" s="229">
        <f t="shared" ca="1" si="153"/>
        <v>7</v>
      </c>
      <c r="AN47" s="230">
        <f t="shared" ca="1" si="153"/>
        <v>3</v>
      </c>
      <c r="AO47" s="230">
        <f t="shared" ca="1" si="153"/>
        <v>2</v>
      </c>
      <c r="AP47" s="230">
        <f t="shared" ca="1" si="153"/>
        <v>1</v>
      </c>
      <c r="AQ47" s="230">
        <f t="shared" ca="1" si="153"/>
        <v>0</v>
      </c>
      <c r="AR47" s="230">
        <f t="shared" ca="1" si="153"/>
        <v>7</v>
      </c>
      <c r="AS47" s="230">
        <f t="shared" ca="1" si="153"/>
        <v>3</v>
      </c>
      <c r="AT47" s="231">
        <f t="shared" ca="1" si="153"/>
        <v>4</v>
      </c>
      <c r="AU47" s="428">
        <f ca="1">INDEX($DL$6:$DL$53,MATCH(AI47,$DP$6:$DP$53,0))</f>
        <v>1</v>
      </c>
      <c r="AV47" s="223" t="str">
        <f ca="1">INDEX($BD$6:$BD$53,MATCH(AI47,$BM$6:$BM$53,0))</f>
        <v>Países Bajos</v>
      </c>
      <c r="AW47" s="435"/>
      <c r="AX47" s="224"/>
      <c r="AY47" s="232" t="str">
        <f ca="1">+A46</f>
        <v>Japón</v>
      </c>
      <c r="AZ47" s="233"/>
      <c r="BA47" s="181"/>
      <c r="BB47" s="756"/>
      <c r="BC47" s="768" t="str">
        <f ca="1">+INDEX(T_Equipos[Grupo],MATCH(WORLDCUP!BD47,T_Equipos[NombreEquipo],0))</f>
        <v>K</v>
      </c>
      <c r="BD47" s="756" t="str">
        <f ca="1">+Equipos!B43</f>
        <v>RD Congo</v>
      </c>
      <c r="BE47" s="760">
        <f t="shared" ca="1" si="25"/>
        <v>4</v>
      </c>
      <c r="BF47" s="760">
        <f t="shared" ca="1" si="26"/>
        <v>3</v>
      </c>
      <c r="BG47" s="760">
        <f t="shared" ca="1" si="17"/>
        <v>1</v>
      </c>
      <c r="BH47" s="760">
        <f t="shared" ca="1" si="18"/>
        <v>1</v>
      </c>
      <c r="BI47" s="760">
        <f t="shared" ca="1" si="19"/>
        <v>1</v>
      </c>
      <c r="BJ47" s="760">
        <f t="shared" ca="1" si="20"/>
        <v>4</v>
      </c>
      <c r="BK47" s="760">
        <f t="shared" ca="1" si="21"/>
        <v>3</v>
      </c>
      <c r="BL47" s="760">
        <f t="shared" ca="1" si="27"/>
        <v>1</v>
      </c>
      <c r="BM47" s="760" t="str">
        <f t="shared" ca="1" si="22"/>
        <v>3K</v>
      </c>
      <c r="BN47" s="760" t="str">
        <f t="shared" ca="1" si="23"/>
        <v>3K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4</v>
      </c>
      <c r="BS47" s="769">
        <f ca="1">BP47+COUNTIFS($BQ$6:$BQ$53,BQ47,$BR$6:BR$53,"&gt;"&amp;BR47,$BC$6:$BC$53,INDEX(T_Equipos[Grupo],MATCH(BD47,T_Equipos[NombreEquipo],0)))</f>
        <v>2</v>
      </c>
      <c r="BT47" s="769" t="str">
        <f ca="1">IF(COUNTIFS($BS$6:$BS$53,BS47,$BC$6:$BC$53,INDEX(T_Equipos[Grupo],MATCH(BD47,T_Equipos[NombreEquipo],0)))=1,"-","P."&amp;BS47&amp;" ("&amp;COUNTIFS($BS$6:$BS$53,BS47,$BC$6:$BC$53,INDEX(T_Equipos[Grupo],MATCH(BD47,T_Equipos[NombreEquipo],0)))&amp;")")</f>
        <v>P.2 (2)</v>
      </c>
      <c r="BU47" s="770">
        <f t="shared" ca="1" si="36"/>
        <v>0</v>
      </c>
      <c r="BV47" s="770">
        <f t="shared" ca="1" si="37"/>
        <v>1</v>
      </c>
      <c r="BW47" s="770">
        <f t="shared" ca="1" si="38"/>
        <v>0</v>
      </c>
      <c r="BX47" s="770">
        <f t="shared" ca="1" si="39"/>
        <v>1</v>
      </c>
      <c r="BY47" s="770">
        <f ca="1">BS47+COUNTIFS($BT$6:$BT$53,BT47,$BX$6:BX$53,"&gt;"&amp;BX47,$BC$6:$BC$53,INDEX(T_Equipos[Grupo],MATCH(BD47,T_Equipos[NombreEquipo],0)))</f>
        <v>2</v>
      </c>
      <c r="BZ47" s="769" t="str">
        <f ca="1">IF(COUNTIFS($BY$6:$BY$53,BY47,$BC$6:$BC$53,INDEX(T_Equipos[Grupo],MATCH(BD47,T_Equipos[NombreEquipo],0)))=1,"-","P."&amp;BY47&amp;" ("&amp;COUNTIFS($BY$6:$BY$53,BY47,$BC$6:$BC$53,INDEX(T_Equipos[Grupo],MATCH(BD47,T_Equipos[NombreEquipo],0)))&amp;")")</f>
        <v>P.2 (2)</v>
      </c>
      <c r="CA47" s="770">
        <f t="shared" ca="1" si="40"/>
        <v>1</v>
      </c>
      <c r="CB47" s="770">
        <f t="shared" ca="1" si="41"/>
        <v>1</v>
      </c>
      <c r="CC47" s="770">
        <f t="shared" ca="1" si="42"/>
        <v>0</v>
      </c>
      <c r="CD47" s="770">
        <f ca="1">BY47+COUNTIFS($BZ$6:$BZ$53,BZ47,$CC$6:CC$53,"&gt;"&amp;CC47,$BC$6:$BC$53,INDEX(T_Equipos[Grupo],MATCH(BD47,T_Equipos[NombreEquipo],0)))</f>
        <v>2</v>
      </c>
      <c r="CE47" s="769" t="str">
        <f ca="1">IF(COUNTIFS($CD$6:$CD$53,CD47,$BC$6:$BC$53,INDEX(T_Equipos[Grupo],MATCH(BD47,T_Equipos[NombreEquipo],0)))=1,"-","P."&amp;CD47&amp;" ("&amp;COUNTIFS($CD$6:$CD$53,CD47,$BC$6:$BC$53,INDEX(T_Equipos[Grupo],MATCH(BD47,T_Equipos[NombreEquipo],0)))&amp;")")</f>
        <v>P.2 (2)</v>
      </c>
      <c r="CF47" s="770">
        <f t="shared" ca="1" si="43"/>
        <v>1</v>
      </c>
      <c r="CG47" s="770">
        <f ca="1">CD47+COUNTIFS($CE$6:$CE$53,CE47,$CF$6:CF$53,"&gt;"&amp;CF47,$BC$6:$BC$53,INDEX(T_Equipos[Grupo],MATCH(BD47,T_Equipos[NombreEquipo],0)))</f>
        <v>2</v>
      </c>
      <c r="CH47" s="769" t="str">
        <f ca="1">IF(COUNTIFS($CG$6:$CG$53,CG47,$BC$6:$BC$53,INDEX(T_Equipos[Grupo],MATCH(BD47,T_Equipos[NombreEquipo],0)))=1,"-","P."&amp;CG47&amp;" ("&amp;COUNTIFS($CG$6:$CG$53,CG47,$BC$6:$BC$53,INDEX(T_Equipos[Grupo],MATCH(BD47,T_Equipos[NombreEquipo],0)))&amp;")")</f>
        <v>P.2 (2)</v>
      </c>
      <c r="CI47" s="770">
        <f t="shared" ca="1" si="44"/>
        <v>0</v>
      </c>
      <c r="CJ47" s="770">
        <f t="shared" ca="1" si="45"/>
        <v>1</v>
      </c>
      <c r="CK47" s="770">
        <f t="shared" ca="1" si="46"/>
        <v>0</v>
      </c>
      <c r="CL47" s="770">
        <f t="shared" ca="1" si="47"/>
        <v>1</v>
      </c>
      <c r="CM47" s="770">
        <f ca="1">CG47+COUNTIFS($CH$6:$CH$53,CH47,$CL$6:CL$53,"&gt;"&amp;CL47,$BC$6:$BC$53,INDEX(T_Equipos[Grupo],MATCH(BD47,T_Equipos[NombreEquipo],0)))</f>
        <v>2</v>
      </c>
      <c r="CN47" s="769" t="str">
        <f ca="1">IF(COUNTIFS($CM$6:$CM$53,CM47,$BC$6:$BC$53,INDEX(T_Equipos[Grupo],MATCH(BD47,T_Equipos[NombreEquipo],0)))=1,"-","P."&amp;CM47&amp;" ("&amp;COUNTIFS($CM$6:$CM$53,CM47,$BC$6:$BC$53,INDEX(T_Equipos[Grupo],MATCH(BD47,T_Equipos[NombreEquipo],0)))&amp;")")</f>
        <v>P.2 (2)</v>
      </c>
      <c r="CO47" s="770">
        <f t="shared" ca="1" si="48"/>
        <v>1</v>
      </c>
      <c r="CP47" s="770">
        <f t="shared" ca="1" si="49"/>
        <v>1</v>
      </c>
      <c r="CQ47" s="770">
        <f t="shared" ca="1" si="50"/>
        <v>0</v>
      </c>
      <c r="CR47" s="770">
        <f ca="1">CM47+COUNTIFS($CN$6:$CN$53,CN47,$CQ$6:CQ$53,"&gt;"&amp;CQ47,$BC$6:$BC$53,INDEX(T_Equipos[Grupo],MATCH(BD47,T_Equipos[NombreEquipo],0)))</f>
        <v>2</v>
      </c>
      <c r="CS47" s="769" t="str">
        <f ca="1">IF(COUNTIFS($CR$6:$CR$53,CR47,$BC$6:$BC$53,INDEX(T_Equipos[Grupo],MATCH(BD47,T_Equipos[NombreEquipo],0)))=1,"-","P."&amp;CR47&amp;" ("&amp;COUNTIFS($CR$6:$CR$53,CR47,$BC$6:$BC$53,INDEX(T_Equipos[Grupo],MATCH(BD47,T_Equipos[NombreEquipo],0)))&amp;")")</f>
        <v>P.2 (2)</v>
      </c>
      <c r="CT47" s="770">
        <f t="shared" ca="1" si="51"/>
        <v>1</v>
      </c>
      <c r="CU47" s="770">
        <f ca="1">CR47+COUNTIFS($CS$6:$CS$53,CS47,$CT$6:CT$53,"&gt;"&amp;CT47,$BC$6:$BC$53,INDEX(T_Equipos[Grupo],MATCH(BD47,T_Equipos[NombreEquipo],0)))</f>
        <v>2</v>
      </c>
      <c r="CV47" s="769" t="str">
        <f ca="1">IF(COUNTIFS($CU$6:$CU$53,CU47,$BC$6:$BC$53,INDEX(T_Equipos[Grupo],MATCH(BD47,T_Equipos[NombreEquipo],0)))=1,"-","P."&amp;CU47&amp;" ("&amp;COUNTIFS($CU$6:$CU$53,CU47,$BC$6:$BC$53,INDEX(T_Equipos[Grupo],MATCH(BD47,T_Equipos[NombreEquipo],0)))&amp;")")</f>
        <v>P.2 (2)</v>
      </c>
      <c r="CW47" s="769">
        <f t="shared" ca="1" si="30"/>
        <v>1</v>
      </c>
      <c r="CX47" s="769">
        <f ca="1">CU47+COUNTIFS($CV$6:$CV$53,CV47,$CW$6:CW$53,"&gt;"&amp;CW47,$BC$6:$BC$53,INDEX(T_Equipos[Grupo],MATCH(BD47,T_Equipos[NombreEquipo],0)))</f>
        <v>3</v>
      </c>
      <c r="CY47" s="769" t="str">
        <f ca="1">IF(COUNTIFS($CX$6:$CX$53,CX47,$BC$6:$BC$53,INDEX(T_Equipos[Grupo],MATCH(BD47,T_Equipos[NombreEquipo],0)))=1,"-","P."&amp;CX47&amp;" ("&amp;COUNTIFS($CX$6:$CX$53,CX47,$BC$6:$BC$53,INDEX(T_Equipos[Grupo],MATCH(BD47,T_Equipos[NombreEquipo],0)))&amp;")")</f>
        <v>-</v>
      </c>
      <c r="CZ47" s="769" t="str">
        <f t="shared" ca="1" si="31"/>
        <v>-</v>
      </c>
      <c r="DA47" s="770">
        <f ca="1">CX47+COUNTIFS($CY$6:$CY$53,CY47,$CZ$6:CZ$53,"&gt;"&amp;CZ47,$BC$6:$BC$53,INDEX(T_Equipos[Grupo],MATCH(BD47,T_Equipos[NombreEquipo],0)))</f>
        <v>3</v>
      </c>
      <c r="DB47" s="769" t="str">
        <f ca="1">IF(COUNTIFS($DA$6:$DA$53,DA47,$BC$6:$BC$53,INDEX(T_Equipos[Grupo],MATCH(BD47,T_Equipos[NombreEquipo],0)))=1,"-","P."&amp;DA47&amp;" ("&amp;COUNTIFS($DA$6:$DA$53,DA47,$BC$6:$BC$53,INDEX(T_Equipos[Grupo],MATCH(BD47,T_Equipos[NombreEquipo],0)))&amp;")")</f>
        <v>-</v>
      </c>
      <c r="DC47" s="768" t="str">
        <f ca="1">IF(DB47="-","-",COUNTIFS(T_Equipos[Rank],"&lt;"&amp;INDEX(T_Equipos[Rank],MATCH(BD47,T_Equipos[NombreEquipo],0)),$BC$6:$BC$53,INDEX(T_Equipos[Grupo],MATCH(BD47,T_Equipos[NombreEquipo],0)))+1)</f>
        <v>-</v>
      </c>
      <c r="DD47" s="768">
        <f ca="1">DA47+COUNTIFS($DB$6:$DB$53,DB47,$DC$6:DC$53,"&lt;"&amp;DC47,$BC$6:$BC$53,INDEX(T_Equipos[Grupo],MATCH(BD47,T_Equipos[NombreEquipo],0)))</f>
        <v>3</v>
      </c>
      <c r="DE47" s="768"/>
      <c r="DF47" s="768">
        <f t="shared" ca="1" si="52"/>
        <v>3</v>
      </c>
      <c r="DG47" s="768" t="str">
        <f ca="1">IF(DB47="-","-",COUNTIFS(DF$6:DF$53,"&lt;"&amp;DF47,$BC$6:$BC$53,INDEX(T_Equipos[Grupo],MATCH(BD47,T_Equipos[NombreEquipo],0))))</f>
        <v>-</v>
      </c>
      <c r="DH47" s="768">
        <f ca="1">DA47+COUNTIFS(DB$6:DB$53,DB47,DG$6:DG$53,"&lt;"&amp;DG47,$BC$6:$BC$53,INDEX(T_Equipos[Grupo],MATCH(BD47,T_Equipos[NombreEquipo],0)))</f>
        <v>3</v>
      </c>
      <c r="DI47" s="756"/>
      <c r="DJ47" s="756">
        <f t="shared" ca="1" si="53"/>
        <v>2</v>
      </c>
      <c r="DK47" s="756">
        <f t="shared" ca="1" si="24"/>
        <v>12</v>
      </c>
      <c r="DL47" s="756">
        <f t="shared" ca="1" si="33"/>
        <v>1</v>
      </c>
      <c r="DM47" s="750" t="str">
        <f t="shared" ca="1" si="34"/>
        <v>2.1</v>
      </c>
      <c r="DN47" s="756" cm="1">
        <f t="array" aca="1" ref="DN47" ca="1">OFFSET(Horarios!$P$3,DJ47-1,0,DL47,1)</f>
        <v>2</v>
      </c>
      <c r="DO47" s="756"/>
      <c r="DP47" s="756" t="s">
        <v>680</v>
      </c>
      <c r="DQ47" s="756" t="str">
        <f t="shared" ca="1" si="35"/>
        <v>Colombia</v>
      </c>
      <c r="DR47" s="756"/>
      <c r="DS47" s="756"/>
      <c r="DT47" s="756" t="str">
        <f t="shared" ca="1" si="15"/>
        <v>Túnez-Japón</v>
      </c>
      <c r="DU47" s="756"/>
      <c r="DV47" s="756"/>
      <c r="DW47" s="8"/>
    </row>
    <row r="48" spans="1:127" ht="16" customHeight="1">
      <c r="A48" s="757" t="str">
        <f ca="1">+Equipos!B25</f>
        <v>Túnez</v>
      </c>
      <c r="B48" s="754"/>
      <c r="C48" s="756"/>
      <c r="D48" s="756" t="str">
        <f t="shared" si="136"/>
        <v>Local</v>
      </c>
      <c r="E48" s="756" t="str">
        <f t="shared" ca="1" si="137"/>
        <v>P.1 (2)</v>
      </c>
      <c r="F48" s="756" t="str">
        <f t="shared" ca="1" si="138"/>
        <v>-</v>
      </c>
      <c r="G48" s="756"/>
      <c r="H48" s="756" t="str">
        <f t="shared" ca="1" si="139"/>
        <v>P.1 (2)</v>
      </c>
      <c r="I48" s="756" t="str">
        <f t="shared" ca="1" si="140"/>
        <v>-</v>
      </c>
      <c r="J48" s="756"/>
      <c r="K48" s="756" t="str">
        <f t="shared" ca="1" si="141"/>
        <v>P.1 (2)</v>
      </c>
      <c r="L48" s="756" t="str">
        <f t="shared" ca="1" si="142"/>
        <v>-</v>
      </c>
      <c r="M48" s="756"/>
      <c r="N48" s="756" t="str">
        <f t="shared" ca="1" si="143"/>
        <v>P.1 (2)</v>
      </c>
      <c r="O48" s="756" t="str">
        <f t="shared" ca="1" si="144"/>
        <v>-</v>
      </c>
      <c r="P48" s="756"/>
      <c r="Q48" s="756" t="str">
        <f t="shared" ca="1" si="145"/>
        <v>P.1 (2)</v>
      </c>
      <c r="R48" s="756" t="str">
        <f t="shared" ca="1" si="146"/>
        <v>-</v>
      </c>
      <c r="S48" s="756"/>
      <c r="T48" s="756" t="str">
        <f t="shared" ca="1" si="147"/>
        <v>P.1 (2)</v>
      </c>
      <c r="U48" s="756" t="str">
        <f t="shared" ca="1" si="148"/>
        <v>-</v>
      </c>
      <c r="V48" s="178"/>
      <c r="W48" s="808"/>
      <c r="X48" s="195">
        <f ca="1">Horarios!C48</f>
        <v>46198.708333333328</v>
      </c>
      <c r="Y48" s="196">
        <f ca="1">Horarios!C48</f>
        <v>46198.708333333328</v>
      </c>
      <c r="Z48" s="197" t="str">
        <f>$Z$8</f>
        <v>J3</v>
      </c>
      <c r="AA48" s="198" t="str">
        <f ca="1">A46</f>
        <v>Japón</v>
      </c>
      <c r="AB48" s="486" t="str" cm="1">
        <f t="array" aca="1" ref="AB48" ca="1">Ver_flag_local</f>
        <v/>
      </c>
      <c r="AC48" s="199">
        <v>2</v>
      </c>
      <c r="AD48" s="200">
        <v>0</v>
      </c>
      <c r="AE48" s="491" t="str" cm="1">
        <f t="array" aca="1" ref="AE48" ca="1">Ver_flag_visit</f>
        <v/>
      </c>
      <c r="AF48" s="201" t="str">
        <f ca="1">A47</f>
        <v>Suecia</v>
      </c>
      <c r="AG48" s="421">
        <f t="shared" si="149"/>
        <v>1</v>
      </c>
      <c r="AH48" s="202">
        <v>57</v>
      </c>
      <c r="AI48" s="19" t="str">
        <f t="shared" si="154"/>
        <v>3F</v>
      </c>
      <c r="AJ48" s="227">
        <v>3</v>
      </c>
      <c r="AK48" s="494" t="str" cm="1">
        <f t="array" aca="1" ref="AK48" ca="1">Ver_flag_visit</f>
        <v/>
      </c>
      <c r="AL48" s="228" t="str">
        <f ca="1">IFERROR(INDEX($BD$6:$BD$53,MATCH(AI48,$BN$6:$BN$53,0)),"")</f>
        <v>Suecia</v>
      </c>
      <c r="AM48" s="229">
        <f t="shared" ca="1" si="153"/>
        <v>3</v>
      </c>
      <c r="AN48" s="230">
        <f t="shared" ca="1" si="153"/>
        <v>3</v>
      </c>
      <c r="AO48" s="230">
        <f t="shared" ca="1" si="153"/>
        <v>1</v>
      </c>
      <c r="AP48" s="230">
        <f t="shared" ca="1" si="153"/>
        <v>0</v>
      </c>
      <c r="AQ48" s="230">
        <f t="shared" ca="1" si="153"/>
        <v>2</v>
      </c>
      <c r="AR48" s="230">
        <f t="shared" ca="1" si="153"/>
        <v>4</v>
      </c>
      <c r="AS48" s="230">
        <f t="shared" ca="1" si="153"/>
        <v>4</v>
      </c>
      <c r="AT48" s="231">
        <f t="shared" ca="1" si="153"/>
        <v>0</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3</v>
      </c>
      <c r="BG48" s="760">
        <f t="shared" ca="1" si="17"/>
        <v>0</v>
      </c>
      <c r="BH48" s="760">
        <f t="shared" ca="1" si="18"/>
        <v>0</v>
      </c>
      <c r="BI48" s="760">
        <f t="shared" ca="1" si="19"/>
        <v>3</v>
      </c>
      <c r="BJ48" s="760">
        <f t="shared" ca="1" si="20"/>
        <v>0</v>
      </c>
      <c r="BK48" s="760">
        <f t="shared" ca="1" si="21"/>
        <v>7</v>
      </c>
      <c r="BL48" s="760">
        <f t="shared" ca="1" si="27"/>
        <v>-7</v>
      </c>
      <c r="BM48" s="760" t="str">
        <f t="shared" ca="1" si="22"/>
        <v>4K</v>
      </c>
      <c r="BN48" s="760" t="str">
        <f t="shared" ca="1" si="23"/>
        <v>4K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4</v>
      </c>
      <c r="BT48" s="769" t="str">
        <f ca="1">IF(COUNTIFS($BS$6:$BS$53,BS48,$BC$6:$BC$53,INDEX(T_Equipos[Grupo],MATCH(BD48,T_Equipos[NombreEquipo],0)))=1,"-","P."&amp;BS48&amp;" ("&amp;COUNTIFS($BS$6:$BS$53,BS48,$BC$6:$BC$53,INDEX(T_Equipos[Grupo],MATCH(BD48,T_Equipos[NombreEquipo],0)))&amp;")")</f>
        <v>-</v>
      </c>
      <c r="BU48" s="770" t="str">
        <f t="shared" ca="1" si="36"/>
        <v>-</v>
      </c>
      <c r="BV48" s="770" t="str">
        <f t="shared" ca="1" si="37"/>
        <v>-</v>
      </c>
      <c r="BW48" s="770" t="str">
        <f t="shared" ca="1" si="38"/>
        <v>-</v>
      </c>
      <c r="BX48" s="770" t="str">
        <f t="shared" ca="1" si="39"/>
        <v>-</v>
      </c>
      <c r="BY48" s="770">
        <f ca="1">BS48+COUNTIFS($BT$6:$BT$53,BT48,$BX$6:BX$53,"&gt;"&amp;BX48,$BC$6:$BC$53,INDEX(T_Equipos[Grupo],MATCH(BD48,T_Equipos[NombreEquipo],0)))</f>
        <v>4</v>
      </c>
      <c r="BZ48" s="769" t="str">
        <f ca="1">IF(COUNTIFS($BY$6:$BY$53,BY48,$BC$6:$BC$53,INDEX(T_Equipos[Grupo],MATCH(BD48,T_Equipos[NombreEquipo],0)))=1,"-","P."&amp;BY48&amp;" ("&amp;COUNTIFS($BY$6:$BY$53,BY48,$BC$6:$BC$53,INDEX(T_Equipos[Grupo],MATCH(BD48,T_Equipos[NombreEquipo],0)))&amp;")")</f>
        <v>-</v>
      </c>
      <c r="CA48" s="770" t="str">
        <f t="shared" ca="1" si="40"/>
        <v>-</v>
      </c>
      <c r="CB48" s="770" t="str">
        <f t="shared" ca="1" si="41"/>
        <v>-</v>
      </c>
      <c r="CC48" s="770" t="str">
        <f t="shared" ca="1" si="42"/>
        <v>-</v>
      </c>
      <c r="CD48" s="770">
        <f ca="1">BY48+COUNTIFS($BZ$6:$BZ$53,BZ48,$CC$6:CC$53,"&gt;"&amp;CC48,$BC$6:$BC$53,INDEX(T_Equipos[Grupo],MATCH(BD48,T_Equipos[NombreEquipo],0)))</f>
        <v>4</v>
      </c>
      <c r="CE48" s="769" t="str">
        <f ca="1">IF(COUNTIFS($CD$6:$CD$53,CD48,$BC$6:$BC$53,INDEX(T_Equipos[Grupo],MATCH(BD48,T_Equipos[NombreEquipo],0)))=1,"-","P."&amp;CD48&amp;" ("&amp;COUNTIFS($CD$6:$CD$53,CD48,$BC$6:$BC$53,INDEX(T_Equipos[Grupo],MATCH(BD48,T_Equipos[NombreEquipo],0)))&amp;")")</f>
        <v>-</v>
      </c>
      <c r="CF48" s="770" t="str">
        <f t="shared" ca="1" si="43"/>
        <v>-</v>
      </c>
      <c r="CG48" s="770">
        <f ca="1">CD48+COUNTIFS($CE$6:$CE$53,CE48,$CF$6:CF$53,"&gt;"&amp;CF48,$BC$6:$BC$53,INDEX(T_Equipos[Grupo],MATCH(BD48,T_Equipos[NombreEquipo],0)))</f>
        <v>4</v>
      </c>
      <c r="CH48" s="769" t="str">
        <f ca="1">IF(COUNTIFS($CG$6:$CG$53,CG48,$BC$6:$BC$53,INDEX(T_Equipos[Grupo],MATCH(BD48,T_Equipos[NombreEquipo],0)))=1,"-","P."&amp;CG48&amp;" ("&amp;COUNTIFS($CG$6:$CG$53,CG48,$BC$6:$BC$53,INDEX(T_Equipos[Grupo],MATCH(BD48,T_Equipos[NombreEquipo],0)))&amp;")")</f>
        <v>-</v>
      </c>
      <c r="CI48" s="770" t="str">
        <f t="shared" ca="1" si="44"/>
        <v>-</v>
      </c>
      <c r="CJ48" s="770" t="str">
        <f t="shared" ca="1" si="45"/>
        <v>-</v>
      </c>
      <c r="CK48" s="770" t="str">
        <f t="shared" ca="1" si="46"/>
        <v>-</v>
      </c>
      <c r="CL48" s="770" t="str">
        <f t="shared" ca="1" si="47"/>
        <v>-</v>
      </c>
      <c r="CM48" s="770">
        <f ca="1">CG48+COUNTIFS($CH$6:$CH$53,CH48,$CL$6:CL$53,"&gt;"&amp;CL48,$BC$6:$BC$53,INDEX(T_Equipos[Grupo],MATCH(BD48,T_Equipos[NombreEquipo],0)))</f>
        <v>4</v>
      </c>
      <c r="CN48" s="769" t="str">
        <f ca="1">IF(COUNTIFS($CM$6:$CM$53,CM48,$BC$6:$BC$53,INDEX(T_Equipos[Grupo],MATCH(BD48,T_Equipos[NombreEquipo],0)))=1,"-","P."&amp;CM48&amp;" ("&amp;COUNTIFS($CM$6:$CM$53,CM48,$BC$6:$BC$53,INDEX(T_Equipos[Grupo],MATCH(BD48,T_Equipos[NombreEquipo],0)))&amp;")")</f>
        <v>-</v>
      </c>
      <c r="CO48" s="770" t="str">
        <f t="shared" ca="1" si="48"/>
        <v>-</v>
      </c>
      <c r="CP48" s="770" t="str">
        <f t="shared" ca="1" si="49"/>
        <v>-</v>
      </c>
      <c r="CQ48" s="770" t="str">
        <f t="shared" ca="1" si="50"/>
        <v>-</v>
      </c>
      <c r="CR48" s="770">
        <f ca="1">CM48+COUNTIFS($CN$6:$CN$53,CN48,$CQ$6:CQ$53,"&gt;"&amp;CQ48,$BC$6:$BC$53,INDEX(T_Equipos[Grupo],MATCH(BD48,T_Equipos[NombreEquipo],0)))</f>
        <v>4</v>
      </c>
      <c r="CS48" s="769" t="str">
        <f ca="1">IF(COUNTIFS($CR$6:$CR$53,CR48,$BC$6:$BC$53,INDEX(T_Equipos[Grupo],MATCH(BD48,T_Equipos[NombreEquipo],0)))=1,"-","P."&amp;CR48&amp;" ("&amp;COUNTIFS($CR$6:$CR$53,CR48,$BC$6:$BC$53,INDEX(T_Equipos[Grupo],MATCH(BD48,T_Equipos[NombreEquipo],0)))&amp;")")</f>
        <v>-</v>
      </c>
      <c r="CT48" s="770" t="str">
        <f t="shared" ca="1" si="51"/>
        <v>-</v>
      </c>
      <c r="CU48" s="770">
        <f ca="1">CR48+COUNTIFS($CS$6:$CS$53,CS48,$CT$6:CT$53,"&gt;"&amp;CT48,$BC$6:$BC$53,INDEX(T_Equipos[Grupo],MATCH(BD48,T_Equipos[NombreEquipo],0)))</f>
        <v>4</v>
      </c>
      <c r="CV48" s="769" t="str">
        <f ca="1">IF(COUNTIFS($CU$6:$CU$53,CU48,$BC$6:$BC$53,INDEX(T_Equipos[Grupo],MATCH(BD48,T_Equipos[NombreEquipo],0)))=1,"-","P."&amp;CU48&amp;" ("&amp;COUNTIFS($CU$6:$CU$53,CU48,$BC$6:$BC$53,INDEX(T_Equipos[Grupo],MATCH(BD48,T_Equipos[NombreEquipo],0)))&amp;")")</f>
        <v>-</v>
      </c>
      <c r="CW48" s="769" t="str">
        <f t="shared" ca="1" si="30"/>
        <v>-</v>
      </c>
      <c r="CX48" s="769">
        <f ca="1">CU48+COUNTIFS($CV$6:$CV$53,CV48,$CW$6:CW$53,"&gt;"&amp;CW48,$BC$6:$BC$53,INDEX(T_Equipos[Grupo],MATCH(BD48,T_Equipos[NombreEquipo],0)))</f>
        <v>4</v>
      </c>
      <c r="CY48" s="769" t="str">
        <f ca="1">IF(COUNTIFS($CX$6:$CX$53,CX48,$BC$6:$BC$53,INDEX(T_Equipos[Grupo],MATCH(BD48,T_Equipos[NombreEquipo],0)))=1,"-","P."&amp;CX48&amp;" ("&amp;COUNTIFS($CX$6:$CX$53,CX48,$BC$6:$BC$53,INDEX(T_Equipos[Grupo],MATCH(BD48,T_Equipos[NombreEquipo],0)))&amp;")")</f>
        <v>-</v>
      </c>
      <c r="CZ48" s="769" t="str">
        <f t="shared" ca="1" si="31"/>
        <v>-</v>
      </c>
      <c r="DA48" s="770">
        <f ca="1">CX48+COUNTIFS($CY$6:$CY$53,CY48,$CZ$6:CZ$53,"&gt;"&amp;CZ48,$BC$6:$BC$53,INDEX(T_Equipos[Grupo],MATCH(BD48,T_Equipos[NombreEquipo],0)))</f>
        <v>4</v>
      </c>
      <c r="DB48" s="769" t="str">
        <f ca="1">IF(COUNTIFS($DA$6:$DA$53,DA48,$BC$6:$BC$53,INDEX(T_Equipos[Grupo],MATCH(BD48,T_Equipos[NombreEquipo],0)))=1,"-","P."&amp;DA48&amp;" ("&amp;COUNTIFS($DA$6:$DA$53,DA48,$BC$6:$BC$53,INDEX(T_Equipos[Grupo],MATCH(BD48,T_Equipos[NombreEquipo],0)))&amp;")")</f>
        <v>-</v>
      </c>
      <c r="DC48" s="768" t="str">
        <f ca="1">IF(DB48="-","-",COUNTIFS(T_Equipos[Rank],"&lt;"&amp;INDEX(T_Equipos[Rank],MATCH(BD48,T_Equipos[NombreEquipo],0)),$BC$6:$BC$53,INDEX(T_Equipos[Grupo],MATCH(BD48,T_Equipos[NombreEquipo],0)))+1)</f>
        <v>-</v>
      </c>
      <c r="DD48" s="768">
        <f ca="1">DA48+COUNTIFS($DB$6:$DB$53,DB48,$DC$6:DC$53,"&lt;"&amp;DC48,$BC$6:$BC$53,INDEX(T_Equipos[Grupo],MATCH(BD48,T_Equipos[NombreEquipo],0)))</f>
        <v>4</v>
      </c>
      <c r="DE48" s="768"/>
      <c r="DF48" s="768">
        <f t="shared" ca="1" si="52"/>
        <v>4</v>
      </c>
      <c r="DG48" s="768" t="str">
        <f ca="1">IF(DB48="-","-",COUNTIFS(DF$6:DF$53,"&lt;"&amp;DF48,$BC$6:$BC$53,INDEX(T_Equipos[Grupo],MATCH(BD48,T_Equipos[NombreEquipo],0))))</f>
        <v>-</v>
      </c>
      <c r="DH48" s="768">
        <f ca="1">DA48+COUNTIFS(DB$6:DB$53,DB48,DG$6:DG$53,"&lt;"&amp;DG48,$BC$6:$BC$53,INDEX(T_Equipos[Grupo],MATCH(BD48,T_Equipos[NombreEquipo],0)))</f>
        <v>4</v>
      </c>
      <c r="DI48" s="756"/>
      <c r="DJ48" s="756">
        <f t="shared" ca="1" si="53"/>
        <v>3</v>
      </c>
      <c r="DK48" s="756">
        <f t="shared" ca="1" si="24"/>
        <v>12</v>
      </c>
      <c r="DL48" s="756">
        <f t="shared" ca="1" si="33"/>
        <v>1</v>
      </c>
      <c r="DM48" s="750" t="str">
        <f t="shared" ca="1" si="34"/>
        <v>3.1</v>
      </c>
      <c r="DN48" s="756" cm="1">
        <f t="array" aca="1" ref="DN48" ca="1">OFFSET(Horarios!$P$3,DJ48-1,0,DL48,1)</f>
        <v>3</v>
      </c>
      <c r="DO48" s="756"/>
      <c r="DP48" s="756" t="s">
        <v>442</v>
      </c>
      <c r="DQ48" s="756" t="str">
        <f t="shared" ca="1" si="35"/>
        <v>RD Congo</v>
      </c>
      <c r="DR48" s="756"/>
      <c r="DS48" s="756"/>
      <c r="DT48" s="756" t="str">
        <f t="shared" ca="1" si="15"/>
        <v>Japón-Suecia</v>
      </c>
      <c r="DU48" s="756"/>
      <c r="DV48" s="756"/>
      <c r="DW48" s="8"/>
    </row>
    <row r="49" spans="1:127" ht="17.149999999999999" customHeight="1" thickBot="1">
      <c r="A49" s="751"/>
      <c r="B49" s="751"/>
      <c r="C49" s="751"/>
      <c r="D49" s="756" t="str">
        <f t="shared" si="136"/>
        <v>Visitante</v>
      </c>
      <c r="E49" s="756" t="str">
        <f t="shared" ca="1" si="137"/>
        <v>-</v>
      </c>
      <c r="F49" s="756" t="str">
        <f t="shared" ca="1" si="138"/>
        <v>P.1 (2)</v>
      </c>
      <c r="G49" s="756"/>
      <c r="H49" s="756" t="str">
        <f t="shared" ca="1" si="139"/>
        <v>-</v>
      </c>
      <c r="I49" s="756" t="str">
        <f t="shared" ca="1" si="140"/>
        <v>P.1 (2)</v>
      </c>
      <c r="J49" s="756"/>
      <c r="K49" s="756" t="str">
        <f t="shared" ca="1" si="141"/>
        <v>-</v>
      </c>
      <c r="L49" s="756" t="str">
        <f t="shared" ca="1" si="142"/>
        <v>P.1 (2)</v>
      </c>
      <c r="M49" s="756"/>
      <c r="N49" s="756" t="str">
        <f t="shared" ca="1" si="143"/>
        <v>-</v>
      </c>
      <c r="O49" s="756" t="str">
        <f t="shared" ca="1" si="144"/>
        <v>P.1 (2)</v>
      </c>
      <c r="P49" s="756"/>
      <c r="Q49" s="756" t="str">
        <f t="shared" ca="1" si="145"/>
        <v>-</v>
      </c>
      <c r="R49" s="756" t="str">
        <f t="shared" ca="1" si="146"/>
        <v>P.1 (2)</v>
      </c>
      <c r="S49" s="756"/>
      <c r="T49" s="756" t="str">
        <f t="shared" ca="1" si="147"/>
        <v>-</v>
      </c>
      <c r="U49" s="756" t="str">
        <f t="shared" ca="1" si="148"/>
        <v>P.1 (2)</v>
      </c>
      <c r="V49" s="178"/>
      <c r="W49" s="809"/>
      <c r="X49" s="234">
        <f ca="1">Horarios!C49</f>
        <v>46198.708333333328</v>
      </c>
      <c r="Y49" s="235">
        <f ca="1">Horarios!C49</f>
        <v>46198.708333333328</v>
      </c>
      <c r="Z49" s="236" t="str">
        <f>$Z$8</f>
        <v>J3</v>
      </c>
      <c r="AA49" s="237" t="str">
        <f ca="1">A48</f>
        <v>Túnez</v>
      </c>
      <c r="AB49" s="487" t="str" cm="1">
        <f t="array" aca="1" ref="AB49" ca="1">Ver_flag_local</f>
        <v/>
      </c>
      <c r="AC49" s="238">
        <v>0</v>
      </c>
      <c r="AD49" s="239">
        <v>3</v>
      </c>
      <c r="AE49" s="492" t="str" cm="1">
        <f t="array" aca="1" ref="AE49" ca="1">Ver_flag_visit</f>
        <v/>
      </c>
      <c r="AF49" s="240" t="str">
        <f ca="1">A45</f>
        <v>Países Bajos</v>
      </c>
      <c r="AG49" s="421">
        <f t="shared" si="149"/>
        <v>1</v>
      </c>
      <c r="AH49" s="202">
        <v>58</v>
      </c>
      <c r="AI49" s="19" t="str">
        <f t="shared" si="154"/>
        <v>4F</v>
      </c>
      <c r="AJ49" s="241">
        <v>4</v>
      </c>
      <c r="AK49" s="495" t="str" cm="1">
        <f t="array" aca="1" ref="AK49" ca="1">Ver_flag_visit</f>
        <v/>
      </c>
      <c r="AL49" s="242" t="str">
        <f ca="1">IFERROR(INDEX($BD$6:$BD$53,MATCH(AI49,$BN$6:$BN$53,0)),"")</f>
        <v>Túnez</v>
      </c>
      <c r="AM49" s="243">
        <f t="shared" ca="1" si="153"/>
        <v>0</v>
      </c>
      <c r="AN49" s="244">
        <f t="shared" ca="1" si="153"/>
        <v>3</v>
      </c>
      <c r="AO49" s="244">
        <f t="shared" ca="1" si="153"/>
        <v>0</v>
      </c>
      <c r="AP49" s="244">
        <f t="shared" ca="1" si="153"/>
        <v>0</v>
      </c>
      <c r="AQ49" s="244">
        <f t="shared" ca="1" si="153"/>
        <v>3</v>
      </c>
      <c r="AR49" s="244">
        <f t="shared" ca="1" si="153"/>
        <v>1</v>
      </c>
      <c r="AS49" s="244">
        <f t="shared" ca="1" si="153"/>
        <v>10</v>
      </c>
      <c r="AT49" s="245">
        <f t="shared" ca="1" si="153"/>
        <v>-9</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4</v>
      </c>
      <c r="BF49" s="760">
        <f t="shared" ca="1" si="26"/>
        <v>3</v>
      </c>
      <c r="BG49" s="760">
        <f t="shared" ca="1" si="17"/>
        <v>1</v>
      </c>
      <c r="BH49" s="760">
        <f t="shared" ca="1" si="18"/>
        <v>1</v>
      </c>
      <c r="BI49" s="760">
        <f t="shared" ca="1" si="19"/>
        <v>1</v>
      </c>
      <c r="BJ49" s="760">
        <f t="shared" ca="1" si="20"/>
        <v>5</v>
      </c>
      <c r="BK49" s="760">
        <f t="shared" ca="1" si="21"/>
        <v>3</v>
      </c>
      <c r="BL49" s="760">
        <f t="shared" ca="1" si="27"/>
        <v>2</v>
      </c>
      <c r="BM49" s="760" t="str">
        <f t="shared" ca="1" si="22"/>
        <v>2K</v>
      </c>
      <c r="BN49" s="760" t="str">
        <f t="shared" ca="1" si="23"/>
        <v>2K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4</v>
      </c>
      <c r="BS49" s="769">
        <f ca="1">BP49+COUNTIFS($BQ$6:$BQ$53,BQ49,$BR$6:BR$53,"&gt;"&amp;BR49,$BC$6:$BC$53,INDEX(T_Equipos[Grupo],MATCH(BD49,T_Equipos[NombreEquipo],0)))</f>
        <v>2</v>
      </c>
      <c r="BT49" s="769" t="str">
        <f ca="1">IF(COUNTIFS($BS$6:$BS$53,BS49,$BC$6:$BC$53,INDEX(T_Equipos[Grupo],MATCH(BD49,T_Equipos[NombreEquipo],0)))=1,"-","P."&amp;BS49&amp;" ("&amp;COUNTIFS($BS$6:$BS$53,BS49,$BC$6:$BC$53,INDEX(T_Equipos[Grupo],MATCH(BD49,T_Equipos[NombreEquipo],0)))&amp;")")</f>
        <v>P.2 (2)</v>
      </c>
      <c r="BU49" s="770">
        <f t="shared" ca="1" si="36"/>
        <v>0</v>
      </c>
      <c r="BV49" s="770">
        <f t="shared" ca="1" si="37"/>
        <v>1</v>
      </c>
      <c r="BW49" s="770">
        <f t="shared" ca="1" si="38"/>
        <v>0</v>
      </c>
      <c r="BX49" s="770">
        <f t="shared" ca="1" si="39"/>
        <v>1</v>
      </c>
      <c r="BY49" s="770">
        <f ca="1">BS49+COUNTIFS($BT$6:$BT$53,BT49,$BX$6:BX$53,"&gt;"&amp;BX49,$BC$6:$BC$53,INDEX(T_Equipos[Grupo],MATCH(BD49,T_Equipos[NombreEquipo],0)))</f>
        <v>2</v>
      </c>
      <c r="BZ49" s="769" t="str">
        <f ca="1">IF(COUNTIFS($BY$6:$BY$53,BY49,$BC$6:$BC$53,INDEX(T_Equipos[Grupo],MATCH(BD49,T_Equipos[NombreEquipo],0)))=1,"-","P."&amp;BY49&amp;" ("&amp;COUNTIFS($BY$6:$BY$53,BY49,$BC$6:$BC$53,INDEX(T_Equipos[Grupo],MATCH(BD49,T_Equipos[NombreEquipo],0)))&amp;")")</f>
        <v>P.2 (2)</v>
      </c>
      <c r="CA49" s="770">
        <f t="shared" ca="1" si="40"/>
        <v>1</v>
      </c>
      <c r="CB49" s="770">
        <f t="shared" ca="1" si="41"/>
        <v>1</v>
      </c>
      <c r="CC49" s="770">
        <f t="shared" ca="1" si="42"/>
        <v>0</v>
      </c>
      <c r="CD49" s="770">
        <f ca="1">BY49+COUNTIFS($BZ$6:$BZ$53,BZ49,$CC$6:CC$53,"&gt;"&amp;CC49,$BC$6:$BC$53,INDEX(T_Equipos[Grupo],MATCH(BD49,T_Equipos[NombreEquipo],0)))</f>
        <v>2</v>
      </c>
      <c r="CE49" s="769" t="str">
        <f ca="1">IF(COUNTIFS($CD$6:$CD$53,CD49,$BC$6:$BC$53,INDEX(T_Equipos[Grupo],MATCH(BD49,T_Equipos[NombreEquipo],0)))=1,"-","P."&amp;CD49&amp;" ("&amp;COUNTIFS($CD$6:$CD$53,CD49,$BC$6:$BC$53,INDEX(T_Equipos[Grupo],MATCH(BD49,T_Equipos[NombreEquipo],0)))&amp;")")</f>
        <v>P.2 (2)</v>
      </c>
      <c r="CF49" s="770">
        <f t="shared" ca="1" si="43"/>
        <v>1</v>
      </c>
      <c r="CG49" s="770">
        <f ca="1">CD49+COUNTIFS($CE$6:$CE$53,CE49,$CF$6:CF$53,"&gt;"&amp;CF49,$BC$6:$BC$53,INDEX(T_Equipos[Grupo],MATCH(BD49,T_Equipos[NombreEquipo],0)))</f>
        <v>2</v>
      </c>
      <c r="CH49" s="769" t="str">
        <f ca="1">IF(COUNTIFS($CG$6:$CG$53,CG49,$BC$6:$BC$53,INDEX(T_Equipos[Grupo],MATCH(BD49,T_Equipos[NombreEquipo],0)))=1,"-","P."&amp;CG49&amp;" ("&amp;COUNTIFS($CG$6:$CG$53,CG49,$BC$6:$BC$53,INDEX(T_Equipos[Grupo],MATCH(BD49,T_Equipos[NombreEquipo],0)))&amp;")")</f>
        <v>P.2 (2)</v>
      </c>
      <c r="CI49" s="770">
        <f t="shared" ca="1" si="44"/>
        <v>0</v>
      </c>
      <c r="CJ49" s="770">
        <f t="shared" ca="1" si="45"/>
        <v>1</v>
      </c>
      <c r="CK49" s="770">
        <f t="shared" ca="1" si="46"/>
        <v>0</v>
      </c>
      <c r="CL49" s="770">
        <f t="shared" ca="1" si="47"/>
        <v>1</v>
      </c>
      <c r="CM49" s="770">
        <f ca="1">CG49+COUNTIFS($CH$6:$CH$53,CH49,$CL$6:CL$53,"&gt;"&amp;CL49,$BC$6:$BC$53,INDEX(T_Equipos[Grupo],MATCH(BD49,T_Equipos[NombreEquipo],0)))</f>
        <v>2</v>
      </c>
      <c r="CN49" s="769" t="str">
        <f ca="1">IF(COUNTIFS($CM$6:$CM$53,CM49,$BC$6:$BC$53,INDEX(T_Equipos[Grupo],MATCH(BD49,T_Equipos[NombreEquipo],0)))=1,"-","P."&amp;CM49&amp;" ("&amp;COUNTIFS($CM$6:$CM$53,CM49,$BC$6:$BC$53,INDEX(T_Equipos[Grupo],MATCH(BD49,T_Equipos[NombreEquipo],0)))&amp;")")</f>
        <v>P.2 (2)</v>
      </c>
      <c r="CO49" s="770">
        <f t="shared" ca="1" si="48"/>
        <v>1</v>
      </c>
      <c r="CP49" s="770">
        <f t="shared" ca="1" si="49"/>
        <v>1</v>
      </c>
      <c r="CQ49" s="770">
        <f t="shared" ca="1" si="50"/>
        <v>0</v>
      </c>
      <c r="CR49" s="770">
        <f ca="1">CM49+COUNTIFS($CN$6:$CN$53,CN49,$CQ$6:CQ$53,"&gt;"&amp;CQ49,$BC$6:$BC$53,INDEX(T_Equipos[Grupo],MATCH(BD49,T_Equipos[NombreEquipo],0)))</f>
        <v>2</v>
      </c>
      <c r="CS49" s="769" t="str">
        <f ca="1">IF(COUNTIFS($CR$6:$CR$53,CR49,$BC$6:$BC$53,INDEX(T_Equipos[Grupo],MATCH(BD49,T_Equipos[NombreEquipo],0)))=1,"-","P."&amp;CR49&amp;" ("&amp;COUNTIFS($CR$6:$CR$53,CR49,$BC$6:$BC$53,INDEX(T_Equipos[Grupo],MATCH(BD49,T_Equipos[NombreEquipo],0)))&amp;")")</f>
        <v>P.2 (2)</v>
      </c>
      <c r="CT49" s="770">
        <f t="shared" ca="1" si="51"/>
        <v>1</v>
      </c>
      <c r="CU49" s="770">
        <f ca="1">CR49+COUNTIFS($CS$6:$CS$53,CS49,$CT$6:CT$53,"&gt;"&amp;CT49,$BC$6:$BC$53,INDEX(T_Equipos[Grupo],MATCH(BD49,T_Equipos[NombreEquipo],0)))</f>
        <v>2</v>
      </c>
      <c r="CV49" s="769" t="str">
        <f ca="1">IF(COUNTIFS($CU$6:$CU$53,CU49,$BC$6:$BC$53,INDEX(T_Equipos[Grupo],MATCH(BD49,T_Equipos[NombreEquipo],0)))=1,"-","P."&amp;CU49&amp;" ("&amp;COUNTIFS($CU$6:$CU$53,CU49,$BC$6:$BC$53,INDEX(T_Equipos[Grupo],MATCH(BD49,T_Equipos[NombreEquipo],0)))&amp;")")</f>
        <v>P.2 (2)</v>
      </c>
      <c r="CW49" s="769">
        <f t="shared" ca="1" si="30"/>
        <v>2</v>
      </c>
      <c r="CX49" s="769">
        <f ca="1">CU49+COUNTIFS($CV$6:$CV$53,CV49,$CW$6:CW$53,"&gt;"&amp;CW49,$BC$6:$BC$53,INDEX(T_Equipos[Grupo],MATCH(BD49,T_Equipos[NombreEquipo],0)))</f>
        <v>2</v>
      </c>
      <c r="CY49" s="769" t="str">
        <f ca="1">IF(COUNTIFS($CX$6:$CX$53,CX49,$BC$6:$BC$53,INDEX(T_Equipos[Grupo],MATCH(BD49,T_Equipos[NombreEquipo],0)))=1,"-","P."&amp;CX49&amp;" ("&amp;COUNTIFS($CX$6:$CX$53,CX49,$BC$6:$BC$53,INDEX(T_Equipos[Grupo],MATCH(BD49,T_Equipos[NombreEquipo],0)))&amp;")")</f>
        <v>-</v>
      </c>
      <c r="CZ49" s="769" t="str">
        <f t="shared" ca="1" si="31"/>
        <v>-</v>
      </c>
      <c r="DA49" s="770">
        <f ca="1">CX49+COUNTIFS($CY$6:$CY$53,CY49,$CZ$6:CZ$53,"&gt;"&amp;CZ49,$BC$6:$BC$53,INDEX(T_Equipos[Grupo],MATCH(BD49,T_Equipos[NombreEquipo],0)))</f>
        <v>2</v>
      </c>
      <c r="DB49" s="769" t="str">
        <f ca="1">IF(COUNTIFS($DA$6:$DA$53,DA49,$BC$6:$BC$53,INDEX(T_Equipos[Grupo],MATCH(BD49,T_Equipos[NombreEquipo],0)))=1,"-","P."&amp;DA49&amp;" ("&amp;COUNTIFS($DA$6:$DA$53,DA49,$BC$6:$BC$53,INDEX(T_Equipos[Grupo],MATCH(BD49,T_Equipos[NombreEquipo],0)))&amp;")")</f>
        <v>-</v>
      </c>
      <c r="DC49" s="768" t="str">
        <f ca="1">IF(DB49="-","-",COUNTIFS(T_Equipos[Rank],"&lt;"&amp;INDEX(T_Equipos[Rank],MATCH(BD49,T_Equipos[NombreEquipo],0)),$BC$6:$BC$53,INDEX(T_Equipos[Grupo],MATCH(BD49,T_Equipos[NombreEquipo],0)))+1)</f>
        <v>-</v>
      </c>
      <c r="DD49" s="768">
        <f ca="1">DA49+COUNTIFS($DB$6:$DB$53,DB49,$DC$6:DC$53,"&lt;"&amp;DC49,$BC$6:$BC$53,INDEX(T_Equipos[Grupo],MATCH(BD49,T_Equipos[NombreEquipo],0)))</f>
        <v>2</v>
      </c>
      <c r="DE49" s="768"/>
      <c r="DF49" s="768">
        <f t="shared" ca="1" si="52"/>
        <v>2</v>
      </c>
      <c r="DG49" s="768" t="str">
        <f ca="1">IF(DB49="-","-",COUNTIFS(DF$6:DF$53,"&lt;"&amp;DF49,$BC$6:$BC$53,INDEX(T_Equipos[Grupo],MATCH(BD49,T_Equipos[NombreEquipo],0))))</f>
        <v>-</v>
      </c>
      <c r="DH49" s="768">
        <f ca="1">DA49+COUNTIFS(DB$6:DB$53,DB49,DG$6:DG$53,"&lt;"&amp;DG49,$BC$6:$BC$53,INDEX(T_Equipos[Grupo],MATCH(BD49,T_Equipos[NombreEquipo],0)))</f>
        <v>2</v>
      </c>
      <c r="DI49" s="756"/>
      <c r="DJ49" s="756">
        <f t="shared" ca="1" si="53"/>
        <v>4</v>
      </c>
      <c r="DK49" s="756">
        <f t="shared" ca="1" si="24"/>
        <v>12</v>
      </c>
      <c r="DL49" s="756">
        <f t="shared" ca="1" si="33"/>
        <v>1</v>
      </c>
      <c r="DM49" s="750" t="str">
        <f t="shared" ca="1" si="34"/>
        <v>4.1</v>
      </c>
      <c r="DN49" s="756" cm="1">
        <f t="array" aca="1" ref="DN49" ca="1">OFFSET(Horarios!$P$3,DJ49-1,0,DL49,1)</f>
        <v>4</v>
      </c>
      <c r="DO49" s="756"/>
      <c r="DP49" s="756" t="s">
        <v>681</v>
      </c>
      <c r="DQ49" s="756" t="str">
        <f t="shared" ca="1" si="35"/>
        <v>Uzbekistán</v>
      </c>
      <c r="DR49" s="756"/>
      <c r="DS49" s="756"/>
      <c r="DT49" s="756" t="str">
        <f t="shared" ca="1" si="15"/>
        <v>Túnez-Países Bajos</v>
      </c>
      <c r="DU49" s="756"/>
      <c r="DV49" s="756"/>
      <c r="DW49" s="8"/>
    </row>
    <row r="50" spans="1:127" ht="15" thickBot="1">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7</v>
      </c>
      <c r="BF50" s="760">
        <f t="shared" ca="1" si="26"/>
        <v>3</v>
      </c>
      <c r="BG50" s="760">
        <f t="shared" ca="1" si="17"/>
        <v>2</v>
      </c>
      <c r="BH50" s="760">
        <f t="shared" ca="1" si="18"/>
        <v>1</v>
      </c>
      <c r="BI50" s="760">
        <f t="shared" ca="1" si="19"/>
        <v>0</v>
      </c>
      <c r="BJ50" s="760">
        <f t="shared" ca="1" si="20"/>
        <v>9</v>
      </c>
      <c r="BK50" s="760">
        <f t="shared" ca="1" si="21"/>
        <v>2</v>
      </c>
      <c r="BL50" s="760">
        <f t="shared" ca="1" si="27"/>
        <v>7</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7</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v>
      </c>
      <c r="BU50" s="770" t="str">
        <f t="shared" ca="1" si="36"/>
        <v>-</v>
      </c>
      <c r="BV50" s="770" t="str">
        <f t="shared" ca="1" si="37"/>
        <v>-</v>
      </c>
      <c r="BW50" s="770" t="str">
        <f t="shared" ca="1" si="38"/>
        <v>-</v>
      </c>
      <c r="BX50" s="770" t="str">
        <f t="shared" ca="1" si="39"/>
        <v>-</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v>
      </c>
      <c r="CA50" s="770" t="str">
        <f t="shared" ca="1" si="40"/>
        <v>-</v>
      </c>
      <c r="CB50" s="770" t="str">
        <f t="shared" ca="1" si="41"/>
        <v>-</v>
      </c>
      <c r="CC50" s="770" t="str">
        <f t="shared" ca="1" si="42"/>
        <v>-</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v>
      </c>
      <c r="CF50" s="770" t="str">
        <f t="shared" ca="1" si="43"/>
        <v>-</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v>
      </c>
      <c r="CI50" s="770" t="str">
        <f t="shared" ca="1" si="44"/>
        <v>-</v>
      </c>
      <c r="CJ50" s="770" t="str">
        <f t="shared" ca="1" si="45"/>
        <v>-</v>
      </c>
      <c r="CK50" s="770" t="str">
        <f t="shared" ca="1" si="46"/>
        <v>-</v>
      </c>
      <c r="CL50" s="770" t="str">
        <f t="shared" ca="1" si="47"/>
        <v>-</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v>
      </c>
      <c r="CO50" s="770" t="str">
        <f t="shared" ca="1" si="48"/>
        <v>-</v>
      </c>
      <c r="CP50" s="770" t="str">
        <f t="shared" ca="1" si="49"/>
        <v>-</v>
      </c>
      <c r="CQ50" s="770" t="str">
        <f t="shared" ca="1" si="50"/>
        <v>-</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v>
      </c>
      <c r="CT50" s="770" t="str">
        <f t="shared" ca="1" si="51"/>
        <v>-</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v>
      </c>
      <c r="CW50" s="769" t="str">
        <f t="shared" ca="1" si="30"/>
        <v>-</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v>
      </c>
      <c r="CZ50" s="769" t="str">
        <f t="shared" ca="1" si="31"/>
        <v>-</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v>
      </c>
      <c r="DC50" s="768" t="str">
        <f ca="1">IF(DB50="-","-",COUNTIFS(T_Equipos[Rank],"&lt;"&amp;INDEX(T_Equipos[Rank],MATCH(BD50,T_Equipos[NombreEquipo],0)),$BC$6:$BC$53,INDEX(T_Equipos[Grupo],MATCH(BD50,T_Equipos[NombreEquipo],0)))+1)</f>
        <v>-</v>
      </c>
      <c r="DD50" s="768">
        <f ca="1">DA50+COUNTIFS($DB$6:$DB$53,DB50,$DC$6:DC$53,"&lt;"&amp;DC50,$BC$6:$BC$53,INDEX(T_Equipos[Grupo],MATCH(BD50,T_Equipos[NombreEquipo],0)))</f>
        <v>1</v>
      </c>
      <c r="DE50" s="768"/>
      <c r="DF50" s="768">
        <f t="shared" ca="1" si="52"/>
        <v>1</v>
      </c>
      <c r="DG50" s="768" t="str">
        <f ca="1">IF(DB50="-","-",COUNTIFS(DF$6:DF$53,"&lt;"&amp;DF50,$BC$6:$BC$53,INDEX(T_Equipos[Grupo],MATCH(BD50,T_Equipos[NombreEquipo],0))))</f>
        <v>-</v>
      </c>
      <c r="DH50" s="768">
        <f ca="1">DA50+COUNTIFS(DB$6:DB$53,DB50,DG$6:DG$53,"&lt;"&amp;DG50,$BC$6:$BC$53,INDEX(T_Equipos[Grupo],MATCH(BD50,T_Equipos[NombreEquipo],0)))</f>
        <v>1</v>
      </c>
      <c r="DI50" s="756"/>
      <c r="DJ50" s="756">
        <f t="shared" ca="1" si="53"/>
        <v>1</v>
      </c>
      <c r="DK50" s="756">
        <f t="shared" ca="1" si="24"/>
        <v>12</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5" thickBot="1">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5</v>
      </c>
      <c r="BF51" s="760">
        <f t="shared" ca="1" si="26"/>
        <v>3</v>
      </c>
      <c r="BG51" s="760">
        <f t="shared" ca="1" si="17"/>
        <v>1</v>
      </c>
      <c r="BH51" s="760">
        <f t="shared" ca="1" si="18"/>
        <v>2</v>
      </c>
      <c r="BI51" s="760">
        <f t="shared" ca="1" si="19"/>
        <v>0</v>
      </c>
      <c r="BJ51" s="760">
        <f t="shared" ca="1" si="20"/>
        <v>5</v>
      </c>
      <c r="BK51" s="760">
        <f t="shared" ca="1" si="21"/>
        <v>4</v>
      </c>
      <c r="BL51" s="760">
        <f t="shared" ca="1" si="27"/>
        <v>1</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5</v>
      </c>
      <c r="BS51" s="769">
        <f ca="1">BP51+COUNTIFS($BQ$6:$BQ$53,BQ51,$BR$6:BR$53,"&gt;"&amp;BR51,$BC$6:$BC$53,INDEX(T_Equipos[Grupo],MATCH(BD51,T_Equipos[NombreEquipo],0)))</f>
        <v>2</v>
      </c>
      <c r="BT51" s="769" t="str">
        <f ca="1">IF(COUNTIFS($BS$6:$BS$53,BS51,$BC$6:$BC$53,INDEX(T_Equipos[Grupo],MATCH(BD51,T_Equipos[NombreEquipo],0)))=1,"-","P."&amp;BS51&amp;" ("&amp;COUNTIFS($BS$6:$BS$53,BS51,$BC$6:$BC$53,INDEX(T_Equipos[Grupo],MATCH(BD51,T_Equipos[NombreEquipo],0)))&amp;")")</f>
        <v>-</v>
      </c>
      <c r="BU51" s="770" t="str">
        <f t="shared" ca="1" si="36"/>
        <v>-</v>
      </c>
      <c r="BV51" s="770" t="str">
        <f t="shared" ca="1" si="37"/>
        <v>-</v>
      </c>
      <c r="BW51" s="770" t="str">
        <f t="shared" ca="1" si="38"/>
        <v>-</v>
      </c>
      <c r="BX51" s="770" t="str">
        <f t="shared" ca="1" si="39"/>
        <v>-</v>
      </c>
      <c r="BY51" s="770">
        <f ca="1">BS51+COUNTIFS($BT$6:$BT$53,BT51,$BX$6:BX$53,"&gt;"&amp;BX51,$BC$6:$BC$53,INDEX(T_Equipos[Grupo],MATCH(BD51,T_Equipos[NombreEquipo],0)))</f>
        <v>2</v>
      </c>
      <c r="BZ51" s="769" t="str">
        <f ca="1">IF(COUNTIFS($BY$6:$BY$53,BY51,$BC$6:$BC$53,INDEX(T_Equipos[Grupo],MATCH(BD51,T_Equipos[NombreEquipo],0)))=1,"-","P."&amp;BY51&amp;" ("&amp;COUNTIFS($BY$6:$BY$53,BY51,$BC$6:$BC$53,INDEX(T_Equipos[Grupo],MATCH(BD51,T_Equipos[NombreEquipo],0)))&amp;")")</f>
        <v>-</v>
      </c>
      <c r="CA51" s="770" t="str">
        <f t="shared" ca="1" si="40"/>
        <v>-</v>
      </c>
      <c r="CB51" s="770" t="str">
        <f t="shared" ca="1" si="41"/>
        <v>-</v>
      </c>
      <c r="CC51" s="770" t="str">
        <f t="shared" ca="1" si="42"/>
        <v>-</v>
      </c>
      <c r="CD51" s="770">
        <f ca="1">BY51+COUNTIFS($BZ$6:$BZ$53,BZ51,$CC$6:CC$53,"&gt;"&amp;CC51,$BC$6:$BC$53,INDEX(T_Equipos[Grupo],MATCH(BD51,T_Equipos[NombreEquipo],0)))</f>
        <v>2</v>
      </c>
      <c r="CE51" s="769" t="str">
        <f ca="1">IF(COUNTIFS($CD$6:$CD$53,CD51,$BC$6:$BC$53,INDEX(T_Equipos[Grupo],MATCH(BD51,T_Equipos[NombreEquipo],0)))=1,"-","P."&amp;CD51&amp;" ("&amp;COUNTIFS($CD$6:$CD$53,CD51,$BC$6:$BC$53,INDEX(T_Equipos[Grupo],MATCH(BD51,T_Equipos[NombreEquipo],0)))&amp;")")</f>
        <v>-</v>
      </c>
      <c r="CF51" s="770" t="str">
        <f t="shared" ca="1" si="43"/>
        <v>-</v>
      </c>
      <c r="CG51" s="770">
        <f ca="1">CD51+COUNTIFS($CE$6:$CE$53,CE51,$CF$6:CF$53,"&gt;"&amp;CF51,$BC$6:$BC$53,INDEX(T_Equipos[Grupo],MATCH(BD51,T_Equipos[NombreEquipo],0)))</f>
        <v>2</v>
      </c>
      <c r="CH51" s="769" t="str">
        <f ca="1">IF(COUNTIFS($CG$6:$CG$53,CG51,$BC$6:$BC$53,INDEX(T_Equipos[Grupo],MATCH(BD51,T_Equipos[NombreEquipo],0)))=1,"-","P."&amp;CG51&amp;" ("&amp;COUNTIFS($CG$6:$CG$53,CG51,$BC$6:$BC$53,INDEX(T_Equipos[Grupo],MATCH(BD51,T_Equipos[NombreEquipo],0)))&amp;")")</f>
        <v>-</v>
      </c>
      <c r="CI51" s="770" t="str">
        <f t="shared" ca="1" si="44"/>
        <v>-</v>
      </c>
      <c r="CJ51" s="770" t="str">
        <f t="shared" ca="1" si="45"/>
        <v>-</v>
      </c>
      <c r="CK51" s="770" t="str">
        <f t="shared" ca="1" si="46"/>
        <v>-</v>
      </c>
      <c r="CL51" s="770" t="str">
        <f t="shared" ca="1" si="47"/>
        <v>-</v>
      </c>
      <c r="CM51" s="770">
        <f ca="1">CG51+COUNTIFS($CH$6:$CH$53,CH51,$CL$6:CL$53,"&gt;"&amp;CL51,$BC$6:$BC$53,INDEX(T_Equipos[Grupo],MATCH(BD51,T_Equipos[NombreEquipo],0)))</f>
        <v>2</v>
      </c>
      <c r="CN51" s="769" t="str">
        <f ca="1">IF(COUNTIFS($CM$6:$CM$53,CM51,$BC$6:$BC$53,INDEX(T_Equipos[Grupo],MATCH(BD51,T_Equipos[NombreEquipo],0)))=1,"-","P."&amp;CM51&amp;" ("&amp;COUNTIFS($CM$6:$CM$53,CM51,$BC$6:$BC$53,INDEX(T_Equipos[Grupo],MATCH(BD51,T_Equipos[NombreEquipo],0)))&amp;")")</f>
        <v>-</v>
      </c>
      <c r="CO51" s="770" t="str">
        <f t="shared" ca="1" si="48"/>
        <v>-</v>
      </c>
      <c r="CP51" s="770" t="str">
        <f t="shared" ca="1" si="49"/>
        <v>-</v>
      </c>
      <c r="CQ51" s="770" t="str">
        <f t="shared" ca="1" si="50"/>
        <v>-</v>
      </c>
      <c r="CR51" s="770">
        <f ca="1">CM51+COUNTIFS($CN$6:$CN$53,CN51,$CQ$6:CQ$53,"&gt;"&amp;CQ51,$BC$6:$BC$53,INDEX(T_Equipos[Grupo],MATCH(BD51,T_Equipos[NombreEquipo],0)))</f>
        <v>2</v>
      </c>
      <c r="CS51" s="769" t="str">
        <f ca="1">IF(COUNTIFS($CR$6:$CR$53,CR51,$BC$6:$BC$53,INDEX(T_Equipos[Grupo],MATCH(BD51,T_Equipos[NombreEquipo],0)))=1,"-","P."&amp;CR51&amp;" ("&amp;COUNTIFS($CR$6:$CR$53,CR51,$BC$6:$BC$53,INDEX(T_Equipos[Grupo],MATCH(BD51,T_Equipos[NombreEquipo],0)))&amp;")")</f>
        <v>-</v>
      </c>
      <c r="CT51" s="770" t="str">
        <f t="shared" ca="1" si="51"/>
        <v>-</v>
      </c>
      <c r="CU51" s="770">
        <f ca="1">CR51+COUNTIFS($CS$6:$CS$53,CS51,$CT$6:CT$53,"&gt;"&amp;CT51,$BC$6:$BC$53,INDEX(T_Equipos[Grupo],MATCH(BD51,T_Equipos[NombreEquipo],0)))</f>
        <v>2</v>
      </c>
      <c r="CV51" s="769" t="str">
        <f ca="1">IF(COUNTIFS($CU$6:$CU$53,CU51,$BC$6:$BC$53,INDEX(T_Equipos[Grupo],MATCH(BD51,T_Equipos[NombreEquipo],0)))=1,"-","P."&amp;CU51&amp;" ("&amp;COUNTIFS($CU$6:$CU$53,CU51,$BC$6:$BC$53,INDEX(T_Equipos[Grupo],MATCH(BD51,T_Equipos[NombreEquipo],0)))&amp;")")</f>
        <v>-</v>
      </c>
      <c r="CW51" s="769" t="str">
        <f t="shared" ca="1" si="30"/>
        <v>-</v>
      </c>
      <c r="CX51" s="769">
        <f ca="1">CU51+COUNTIFS($CV$6:$CV$53,CV51,$CW$6:CW$53,"&gt;"&amp;CW51,$BC$6:$BC$53,INDEX(T_Equipos[Grupo],MATCH(BD51,T_Equipos[NombreEquipo],0)))</f>
        <v>2</v>
      </c>
      <c r="CY51" s="769" t="str">
        <f ca="1">IF(COUNTIFS($CX$6:$CX$53,CX51,$BC$6:$BC$53,INDEX(T_Equipos[Grupo],MATCH(BD51,T_Equipos[NombreEquipo],0)))=1,"-","P."&amp;CX51&amp;" ("&amp;COUNTIFS($CX$6:$CX$53,CX51,$BC$6:$BC$53,INDEX(T_Equipos[Grupo],MATCH(BD51,T_Equipos[NombreEquipo],0)))&amp;")")</f>
        <v>-</v>
      </c>
      <c r="CZ51" s="769" t="str">
        <f t="shared" ca="1" si="31"/>
        <v>-</v>
      </c>
      <c r="DA51" s="770">
        <f ca="1">CX51+COUNTIFS($CY$6:$CY$53,CY51,$CZ$6:CZ$53,"&gt;"&amp;CZ51,$BC$6:$BC$53,INDEX(T_Equipos[Grupo],MATCH(BD51,T_Equipos[NombreEquipo],0)))</f>
        <v>2</v>
      </c>
      <c r="DB51" s="769" t="str">
        <f ca="1">IF(COUNTIFS($DA$6:$DA$53,DA51,$BC$6:$BC$53,INDEX(T_Equipos[Grupo],MATCH(BD51,T_Equipos[NombreEquipo],0)))=1,"-","P."&amp;DA51&amp;" ("&amp;COUNTIFS($DA$6:$DA$53,DA51,$BC$6:$BC$53,INDEX(T_Equipos[Grupo],MATCH(BD51,T_Equipos[NombreEquipo],0)))&amp;")")</f>
        <v>-</v>
      </c>
      <c r="DC51" s="768" t="str">
        <f ca="1">IF(DB51="-","-",COUNTIFS(T_Equipos[Rank],"&lt;"&amp;INDEX(T_Equipos[Rank],MATCH(BD51,T_Equipos[NombreEquipo],0)),$BC$6:$BC$53,INDEX(T_Equipos[Grupo],MATCH(BD51,T_Equipos[NombreEquipo],0)))+1)</f>
        <v>-</v>
      </c>
      <c r="DD51" s="768">
        <f ca="1">DA51+COUNTIFS($DB$6:$DB$53,DB51,$DC$6:DC$53,"&lt;"&amp;DC51,$BC$6:$BC$53,INDEX(T_Equipos[Grupo],MATCH(BD51,T_Equipos[NombreEquipo],0)))</f>
        <v>2</v>
      </c>
      <c r="DE51" s="768"/>
      <c r="DF51" s="768">
        <f t="shared" ca="1" si="52"/>
        <v>2</v>
      </c>
      <c r="DG51" s="768" t="str">
        <f ca="1">IF(DB51="-","-",COUNTIFS(DF$6:DF$53,"&lt;"&amp;DF51,$BC$6:$BC$53,INDEX(T_Equipos[Grupo],MATCH(BD51,T_Equipos[NombreEquipo],0))))</f>
        <v>-</v>
      </c>
      <c r="DH51" s="768">
        <f ca="1">DA51+COUNTIFS(DB$6:DB$53,DB51,DG$6:DG$53,"&lt;"&amp;DG51,$BC$6:$BC$53,INDEX(T_Equipos[Grupo],MATCH(BD51,T_Equipos[NombreEquipo],0)))</f>
        <v>2</v>
      </c>
      <c r="DI51" s="756"/>
      <c r="DJ51" s="756">
        <f t="shared" ca="1" si="53"/>
        <v>2</v>
      </c>
      <c r="DK51" s="756">
        <f t="shared" ca="1" si="24"/>
        <v>12</v>
      </c>
      <c r="DL51" s="756">
        <f t="shared" ca="1" si="33"/>
        <v>1</v>
      </c>
      <c r="DM51" s="750" t="str">
        <f t="shared" ca="1" si="34"/>
        <v>2.1</v>
      </c>
      <c r="DN51" s="756" cm="1">
        <f t="array" aca="1" ref="DN51" ca="1">OFFSET(Horarios!$P$3,DJ51-1,0,DL51,1)</f>
        <v>2</v>
      </c>
      <c r="DO51" s="756"/>
      <c r="DP51" s="756" t="s">
        <v>683</v>
      </c>
      <c r="DQ51" s="756" t="str">
        <f t="shared" ca="1" si="35"/>
        <v>Croacia</v>
      </c>
      <c r="DR51" s="756"/>
      <c r="DS51" s="756"/>
      <c r="DT51" s="756" t="str">
        <f t="shared" si="15"/>
        <v>Casa-Fuera</v>
      </c>
      <c r="DU51" s="756"/>
      <c r="DV51" s="756"/>
      <c r="DW51" s="8"/>
    </row>
    <row r="52" spans="1:127" ht="15" customHeight="1" thickBot="1">
      <c r="A52" s="753" t="s">
        <v>30</v>
      </c>
      <c r="B52" s="754" t="s">
        <v>6</v>
      </c>
      <c r="C52" s="755">
        <f>COUNTIF(Equipos!$C$2:$C$49,WORLDCUP!B52)</f>
        <v>4</v>
      </c>
      <c r="D52" s="756" t="str">
        <f t="shared" ref="D52:D57" si="155">IF(OR(AC52="",AD52=""),"Pendiente",IF(AC52&gt;AD52,"Local",IF(AC52&lt;AD52,"Visitante","Empate")))</f>
        <v>Local</v>
      </c>
      <c r="E52" s="756" t="str">
        <f t="shared" ref="E52:E57" ca="1" si="156">IF(D52="Pendiente","-",INDEX($BT$6:$BT$53,MATCH($AA52,$BD$6:$BD$53,0)))</f>
        <v>-</v>
      </c>
      <c r="F52" s="756" t="str">
        <f t="shared" ref="F52:F57" ca="1" si="157">IF(D52="Pendiente","-",INDEX($BT$6:$BT$53,MATCH($AF52,$BD$6:$BD$53,0)))</f>
        <v>-</v>
      </c>
      <c r="G52" s="756"/>
      <c r="H52" s="756" t="str">
        <f t="shared" ref="H52:H57" ca="1" si="158">IF(D52="Pendiente","-",INDEX($BZ$6:$BZ$53,MATCH($AA52,$BD$6:$BD$53,0)))</f>
        <v>-</v>
      </c>
      <c r="I52" s="756" t="str">
        <f t="shared" ref="I52:I57" ca="1" si="159">IF(D52="Pendiente","-",INDEX($BZ$6:$BZ$53,MATCH($AF52,$BD$6:$BD$53,0)))</f>
        <v>-</v>
      </c>
      <c r="J52" s="756"/>
      <c r="K52" s="756" t="str">
        <f t="shared" ref="K52:K57" ca="1" si="160">IF(D52="Pendiente","-",INDEX($CE$6:$CE$53,MATCH($AA52,$BD$6:$BD$53,0)))</f>
        <v>-</v>
      </c>
      <c r="L52" s="756" t="str">
        <f t="shared" ref="L52:L57" ca="1" si="161">IF(D52="Pendiente","-",INDEX($CE$6:$CE$53,MATCH($AF52,$BD$6:$BD$53,0)))</f>
        <v>-</v>
      </c>
      <c r="M52" s="756"/>
      <c r="N52" s="756" t="str">
        <f t="shared" ref="N52:N57" ca="1" si="162">IF(D52="Pendiente","-",INDEX($CH$6:$CH$53,MATCH($AA52,$BD$6:$BD$53,0)))</f>
        <v>-</v>
      </c>
      <c r="O52" s="756" t="str">
        <f t="shared" ref="O52:O57" ca="1" si="163">IF(D52="Pendiente","-",INDEX($CH$6:$CH$53,MATCH($AF52,$BD$6:$BD$53,0)))</f>
        <v>-</v>
      </c>
      <c r="P52" s="756"/>
      <c r="Q52" s="756" t="str">
        <f t="shared" ref="Q52:Q57" ca="1" si="164">IF(D52="Pendiente","-",INDEX($CN$6:$CN$53,MATCH($AA52,$BD$6:$BD$53,0)))</f>
        <v>-</v>
      </c>
      <c r="R52" s="756" t="str">
        <f t="shared" ref="R52:R57" ca="1" si="165">IF(D52="Pendiente","-",INDEX($CN$6:$CN$53,MATCH($AF52,$BD$6:$BD$53,0)))</f>
        <v>-</v>
      </c>
      <c r="S52" s="756"/>
      <c r="T52" s="756" t="str">
        <f t="shared" ref="T52:T57" ca="1" si="166">IF(D52="Pendiente","-",INDEX($CS$6:$CS$53,MATCH($AA52,$BD$6:$BD$53,0)))</f>
        <v>-</v>
      </c>
      <c r="U52" s="756" t="str">
        <f t="shared" ref="U52:U57" ca="1" si="167">IF(D52="Pendiente","-",INDEX($CS$6:$CS$53,MATCH($AF52,$BD$6:$BD$53,0)))</f>
        <v>-</v>
      </c>
      <c r="V52" s="178"/>
      <c r="W52" s="828" t="s">
        <v>6</v>
      </c>
      <c r="X52" s="195">
        <f ca="1">Horarios!C52</f>
        <v>46188.541666666664</v>
      </c>
      <c r="Y52" s="196">
        <f ca="1">Horarios!C52</f>
        <v>46188.541666666664</v>
      </c>
      <c r="Z52" s="197" t="str">
        <f>$Z$4</f>
        <v>J1</v>
      </c>
      <c r="AA52" s="198" t="str">
        <f ca="1">A53</f>
        <v>Bélgica</v>
      </c>
      <c r="AB52" s="486" t="str" cm="1">
        <f t="array" aca="1" ref="AB52" ca="1">Ver_flag_local</f>
        <v/>
      </c>
      <c r="AC52" s="199">
        <v>2</v>
      </c>
      <c r="AD52" s="200">
        <v>0</v>
      </c>
      <c r="AE52" s="491" t="str" cm="1">
        <f t="array" aca="1" ref="AE52" ca="1">Ver_flag_visit</f>
        <v/>
      </c>
      <c r="AF52" s="201" t="str">
        <f ca="1">A54</f>
        <v>Egipto</v>
      </c>
      <c r="AG52" s="421">
        <f t="shared" ref="AG52:AG57" si="168">IF(NOT(OR(ISBLANK(AC52),ISBLANK(AD52))),1,0)</f>
        <v>1</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4</v>
      </c>
      <c r="BF52" s="760">
        <f t="shared" ca="1" si="26"/>
        <v>3</v>
      </c>
      <c r="BG52" s="760">
        <f t="shared" ca="1" si="17"/>
        <v>1</v>
      </c>
      <c r="BH52" s="760">
        <f t="shared" ca="1" si="18"/>
        <v>1</v>
      </c>
      <c r="BI52" s="760">
        <f t="shared" ca="1" si="19"/>
        <v>1</v>
      </c>
      <c r="BJ52" s="760">
        <f t="shared" ca="1" si="20"/>
        <v>4</v>
      </c>
      <c r="BK52" s="760">
        <f t="shared" ca="1" si="21"/>
        <v>3</v>
      </c>
      <c r="BL52" s="760">
        <f t="shared" ca="1" si="27"/>
        <v>1</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4</v>
      </c>
      <c r="BS52" s="769">
        <f ca="1">BP52+COUNTIFS($BQ$6:$BQ$53,BQ52,$BR$6:BR$53,"&gt;"&amp;BR52,$BC$6:$BC$53,INDEX(T_Equipos[Grupo],MATCH(BD52,T_Equipos[NombreEquipo],0)))</f>
        <v>3</v>
      </c>
      <c r="BT52" s="769" t="str">
        <f ca="1">IF(COUNTIFS($BS$6:$BS$53,BS52,$BC$6:$BC$53,INDEX(T_Equipos[Grupo],MATCH(BD52,T_Equipos[NombreEquipo],0)))=1,"-","P."&amp;BS52&amp;" ("&amp;COUNTIFS($BS$6:$BS$53,BS52,$BC$6:$BC$53,INDEX(T_Equipos[Grupo],MATCH(BD52,T_Equipos[NombreEquipo],0)))&amp;")")</f>
        <v>-</v>
      </c>
      <c r="BU52" s="770" t="str">
        <f t="shared" ca="1" si="36"/>
        <v>-</v>
      </c>
      <c r="BV52" s="770" t="str">
        <f t="shared" ca="1" si="37"/>
        <v>-</v>
      </c>
      <c r="BW52" s="770" t="str">
        <f t="shared" ca="1" si="38"/>
        <v>-</v>
      </c>
      <c r="BX52" s="770" t="str">
        <f t="shared" ca="1" si="39"/>
        <v>-</v>
      </c>
      <c r="BY52" s="770">
        <f ca="1">BS52+COUNTIFS($BT$6:$BT$53,BT52,$BX$6:BX$53,"&gt;"&amp;BX52,$BC$6:$BC$53,INDEX(T_Equipos[Grupo],MATCH(BD52,T_Equipos[NombreEquipo],0)))</f>
        <v>3</v>
      </c>
      <c r="BZ52" s="769" t="str">
        <f ca="1">IF(COUNTIFS($BY$6:$BY$53,BY52,$BC$6:$BC$53,INDEX(T_Equipos[Grupo],MATCH(BD52,T_Equipos[NombreEquipo],0)))=1,"-","P."&amp;BY52&amp;" ("&amp;COUNTIFS($BY$6:$BY$53,BY52,$BC$6:$BC$53,INDEX(T_Equipos[Grupo],MATCH(BD52,T_Equipos[NombreEquipo],0)))&amp;")")</f>
        <v>-</v>
      </c>
      <c r="CA52" s="770" t="str">
        <f t="shared" ca="1" si="40"/>
        <v>-</v>
      </c>
      <c r="CB52" s="770" t="str">
        <f t="shared" ca="1" si="41"/>
        <v>-</v>
      </c>
      <c r="CC52" s="770" t="str">
        <f t="shared" ca="1" si="42"/>
        <v>-</v>
      </c>
      <c r="CD52" s="770">
        <f ca="1">BY52+COUNTIFS($BZ$6:$BZ$53,BZ52,$CC$6:CC$53,"&gt;"&amp;CC52,$BC$6:$BC$53,INDEX(T_Equipos[Grupo],MATCH(BD52,T_Equipos[NombreEquipo],0)))</f>
        <v>3</v>
      </c>
      <c r="CE52" s="769" t="str">
        <f ca="1">IF(COUNTIFS($CD$6:$CD$53,CD52,$BC$6:$BC$53,INDEX(T_Equipos[Grupo],MATCH(BD52,T_Equipos[NombreEquipo],0)))=1,"-","P."&amp;CD52&amp;" ("&amp;COUNTIFS($CD$6:$CD$53,CD52,$BC$6:$BC$53,INDEX(T_Equipos[Grupo],MATCH(BD52,T_Equipos[NombreEquipo],0)))&amp;")")</f>
        <v>-</v>
      </c>
      <c r="CF52" s="770" t="str">
        <f t="shared" ca="1" si="43"/>
        <v>-</v>
      </c>
      <c r="CG52" s="770">
        <f ca="1">CD52+COUNTIFS($CE$6:$CE$53,CE52,$CF$6:CF$53,"&gt;"&amp;CF52,$BC$6:$BC$53,INDEX(T_Equipos[Grupo],MATCH(BD52,T_Equipos[NombreEquipo],0)))</f>
        <v>3</v>
      </c>
      <c r="CH52" s="769" t="str">
        <f ca="1">IF(COUNTIFS($CG$6:$CG$53,CG52,$BC$6:$BC$53,INDEX(T_Equipos[Grupo],MATCH(BD52,T_Equipos[NombreEquipo],0)))=1,"-","P."&amp;CG52&amp;" ("&amp;COUNTIFS($CG$6:$CG$53,CG52,$BC$6:$BC$53,INDEX(T_Equipos[Grupo],MATCH(BD52,T_Equipos[NombreEquipo],0)))&amp;")")</f>
        <v>-</v>
      </c>
      <c r="CI52" s="770" t="str">
        <f t="shared" ca="1" si="44"/>
        <v>-</v>
      </c>
      <c r="CJ52" s="770" t="str">
        <f t="shared" ca="1" si="45"/>
        <v>-</v>
      </c>
      <c r="CK52" s="770" t="str">
        <f t="shared" ca="1" si="46"/>
        <v>-</v>
      </c>
      <c r="CL52" s="770" t="str">
        <f t="shared" ca="1" si="47"/>
        <v>-</v>
      </c>
      <c r="CM52" s="770">
        <f ca="1">CG52+COUNTIFS($CH$6:$CH$53,CH52,$CL$6:CL$53,"&gt;"&amp;CL52,$BC$6:$BC$53,INDEX(T_Equipos[Grupo],MATCH(BD52,T_Equipos[NombreEquipo],0)))</f>
        <v>3</v>
      </c>
      <c r="CN52" s="769" t="str">
        <f ca="1">IF(COUNTIFS($CM$6:$CM$53,CM52,$BC$6:$BC$53,INDEX(T_Equipos[Grupo],MATCH(BD52,T_Equipos[NombreEquipo],0)))=1,"-","P."&amp;CM52&amp;" ("&amp;COUNTIFS($CM$6:$CM$53,CM52,$BC$6:$BC$53,INDEX(T_Equipos[Grupo],MATCH(BD52,T_Equipos[NombreEquipo],0)))&amp;")")</f>
        <v>-</v>
      </c>
      <c r="CO52" s="770" t="str">
        <f t="shared" ca="1" si="48"/>
        <v>-</v>
      </c>
      <c r="CP52" s="770" t="str">
        <f t="shared" ca="1" si="49"/>
        <v>-</v>
      </c>
      <c r="CQ52" s="770" t="str">
        <f t="shared" ca="1" si="50"/>
        <v>-</v>
      </c>
      <c r="CR52" s="770">
        <f ca="1">CM52+COUNTIFS($CN$6:$CN$53,CN52,$CQ$6:CQ$53,"&gt;"&amp;CQ52,$BC$6:$BC$53,INDEX(T_Equipos[Grupo],MATCH(BD52,T_Equipos[NombreEquipo],0)))</f>
        <v>3</v>
      </c>
      <c r="CS52" s="769" t="str">
        <f ca="1">IF(COUNTIFS($CR$6:$CR$53,CR52,$BC$6:$BC$53,INDEX(T_Equipos[Grupo],MATCH(BD52,T_Equipos[NombreEquipo],0)))=1,"-","P."&amp;CR52&amp;" ("&amp;COUNTIFS($CR$6:$CR$53,CR52,$BC$6:$BC$53,INDEX(T_Equipos[Grupo],MATCH(BD52,T_Equipos[NombreEquipo],0)))&amp;")")</f>
        <v>-</v>
      </c>
      <c r="CT52" s="770" t="str">
        <f t="shared" ca="1" si="51"/>
        <v>-</v>
      </c>
      <c r="CU52" s="770">
        <f ca="1">CR52+COUNTIFS($CS$6:$CS$53,CS52,$CT$6:CT$53,"&gt;"&amp;CT52,$BC$6:$BC$53,INDEX(T_Equipos[Grupo],MATCH(BD52,T_Equipos[NombreEquipo],0)))</f>
        <v>3</v>
      </c>
      <c r="CV52" s="769" t="str">
        <f ca="1">IF(COUNTIFS($CU$6:$CU$53,CU52,$BC$6:$BC$53,INDEX(T_Equipos[Grupo],MATCH(BD52,T_Equipos[NombreEquipo],0)))=1,"-","P."&amp;CU52&amp;" ("&amp;COUNTIFS($CU$6:$CU$53,CU52,$BC$6:$BC$53,INDEX(T_Equipos[Grupo],MATCH(BD52,T_Equipos[NombreEquipo],0)))&amp;")")</f>
        <v>-</v>
      </c>
      <c r="CW52" s="769" t="str">
        <f t="shared" ca="1" si="30"/>
        <v>-</v>
      </c>
      <c r="CX52" s="769">
        <f ca="1">CU52+COUNTIFS($CV$6:$CV$53,CV52,$CW$6:CW$53,"&gt;"&amp;CW52,$BC$6:$BC$53,INDEX(T_Equipos[Grupo],MATCH(BD52,T_Equipos[NombreEquipo],0)))</f>
        <v>3</v>
      </c>
      <c r="CY52" s="769" t="str">
        <f ca="1">IF(COUNTIFS($CX$6:$CX$53,CX52,$BC$6:$BC$53,INDEX(T_Equipos[Grupo],MATCH(BD52,T_Equipos[NombreEquipo],0)))=1,"-","P."&amp;CX52&amp;" ("&amp;COUNTIFS($CX$6:$CX$53,CX52,$BC$6:$BC$53,INDEX(T_Equipos[Grupo],MATCH(BD52,T_Equipos[NombreEquipo],0)))&amp;")")</f>
        <v>-</v>
      </c>
      <c r="CZ52" s="769" t="str">
        <f t="shared" ca="1" si="31"/>
        <v>-</v>
      </c>
      <c r="DA52" s="770">
        <f ca="1">CX52+COUNTIFS($CY$6:$CY$53,CY52,$CZ$6:CZ$53,"&gt;"&amp;CZ52,$BC$6:$BC$53,INDEX(T_Equipos[Grupo],MATCH(BD52,T_Equipos[NombreEquipo],0)))</f>
        <v>3</v>
      </c>
      <c r="DB52" s="769" t="str">
        <f ca="1">IF(COUNTIFS($DA$6:$DA$53,DA52,$BC$6:$BC$53,INDEX(T_Equipos[Grupo],MATCH(BD52,T_Equipos[NombreEquipo],0)))=1,"-","P."&amp;DA52&amp;" ("&amp;COUNTIFS($DA$6:$DA$53,DA52,$BC$6:$BC$53,INDEX(T_Equipos[Grupo],MATCH(BD52,T_Equipos[NombreEquipo],0)))&amp;")")</f>
        <v>-</v>
      </c>
      <c r="DC52" s="768" t="str">
        <f ca="1">IF(DB52="-","-",COUNTIFS(T_Equipos[Rank],"&lt;"&amp;INDEX(T_Equipos[Rank],MATCH(BD52,T_Equipos[NombreEquipo],0)),$BC$6:$BC$53,INDEX(T_Equipos[Grupo],MATCH(BD52,T_Equipos[NombreEquipo],0)))+1)</f>
        <v>-</v>
      </c>
      <c r="DD52" s="768">
        <f ca="1">DA52+COUNTIFS($DB$6:$DB$53,DB52,$DC$6:DC$53,"&lt;"&amp;DC52,$BC$6:$BC$53,INDEX(T_Equipos[Grupo],MATCH(BD52,T_Equipos[NombreEquipo],0)))</f>
        <v>3</v>
      </c>
      <c r="DE52" s="768"/>
      <c r="DF52" s="768">
        <f t="shared" ca="1" si="52"/>
        <v>3</v>
      </c>
      <c r="DG52" s="768" t="str">
        <f ca="1">IF(DB52="-","-",COUNTIFS(DF$6:DF$53,"&lt;"&amp;DF52,$BC$6:$BC$53,INDEX(T_Equipos[Grupo],MATCH(BD52,T_Equipos[NombreEquipo],0))))</f>
        <v>-</v>
      </c>
      <c r="DH52" s="768">
        <f ca="1">DA52+COUNTIFS(DB$6:DB$53,DB52,DG$6:DG$53,"&lt;"&amp;DG52,$BC$6:$BC$53,INDEX(T_Equipos[Grupo],MATCH(BD52,T_Equipos[NombreEquipo],0)))</f>
        <v>3</v>
      </c>
      <c r="DI52" s="756"/>
      <c r="DJ52" s="756">
        <f t="shared" ca="1" si="53"/>
        <v>3</v>
      </c>
      <c r="DK52" s="756">
        <f t="shared" ca="1" si="24"/>
        <v>12</v>
      </c>
      <c r="DL52" s="756">
        <f t="shared" ca="1" si="33"/>
        <v>1</v>
      </c>
      <c r="DM52" s="750" t="str">
        <f t="shared" ca="1" si="34"/>
        <v>3.1</v>
      </c>
      <c r="DN52" s="756" cm="1">
        <f t="array" aca="1" ref="DN52" ca="1">OFFSET(Horarios!$P$3,DJ52-1,0,DL52,1)</f>
        <v>3</v>
      </c>
      <c r="DO52" s="756"/>
      <c r="DP52" s="756" t="s">
        <v>443</v>
      </c>
      <c r="DQ52" s="756" t="str">
        <f t="shared" ca="1" si="35"/>
        <v>Ghana</v>
      </c>
      <c r="DR52" s="756"/>
      <c r="DS52" s="756"/>
      <c r="DT52" s="756" t="str">
        <f t="shared" ca="1" si="15"/>
        <v>Bélgica-Egipto</v>
      </c>
      <c r="DU52" s="756"/>
      <c r="DV52" s="756"/>
      <c r="DW52" s="8"/>
    </row>
    <row r="53" spans="1:127">
      <c r="A53" s="757" t="str">
        <f ca="1">+Equipos!B26</f>
        <v>Bélgica</v>
      </c>
      <c r="B53" s="754"/>
      <c r="C53" s="754"/>
      <c r="D53" s="756" t="str">
        <f t="shared" si="155"/>
        <v>Local</v>
      </c>
      <c r="E53" s="756" t="str">
        <f t="shared" ca="1" si="156"/>
        <v>-</v>
      </c>
      <c r="F53" s="756" t="str">
        <f t="shared" ca="1" si="157"/>
        <v>-</v>
      </c>
      <c r="G53" s="756"/>
      <c r="H53" s="756" t="str">
        <f t="shared" ca="1" si="158"/>
        <v>-</v>
      </c>
      <c r="I53" s="756" t="str">
        <f t="shared" ca="1" si="159"/>
        <v>-</v>
      </c>
      <c r="J53" s="756"/>
      <c r="K53" s="756" t="str">
        <f t="shared" ca="1" si="160"/>
        <v>-</v>
      </c>
      <c r="L53" s="756" t="str">
        <f t="shared" ca="1" si="161"/>
        <v>-</v>
      </c>
      <c r="M53" s="756"/>
      <c r="N53" s="756" t="str">
        <f t="shared" ca="1" si="162"/>
        <v>-</v>
      </c>
      <c r="O53" s="756" t="str">
        <f t="shared" ca="1" si="163"/>
        <v>-</v>
      </c>
      <c r="P53" s="756"/>
      <c r="Q53" s="756" t="str">
        <f t="shared" ca="1" si="164"/>
        <v>-</v>
      </c>
      <c r="R53" s="756" t="str">
        <f t="shared" ca="1" si="165"/>
        <v>-</v>
      </c>
      <c r="S53" s="756"/>
      <c r="T53" s="756" t="str">
        <f t="shared" ca="1" si="166"/>
        <v>-</v>
      </c>
      <c r="U53" s="756" t="str">
        <f t="shared" ca="1" si="167"/>
        <v>-</v>
      </c>
      <c r="V53" s="178"/>
      <c r="W53" s="828"/>
      <c r="X53" s="195">
        <f ca="1">Horarios!C53</f>
        <v>46188.791666666664</v>
      </c>
      <c r="Y53" s="196">
        <f ca="1">Horarios!C53</f>
        <v>46188.791666666664</v>
      </c>
      <c r="Z53" s="197" t="str">
        <f>$Z$4</f>
        <v>J1</v>
      </c>
      <c r="AA53" s="198" t="str">
        <f ca="1">A55</f>
        <v>Irán</v>
      </c>
      <c r="AB53" s="486" t="str" cm="1">
        <f t="array" aca="1" ref="AB53" ca="1">Ver_flag_local</f>
        <v/>
      </c>
      <c r="AC53" s="199">
        <v>2</v>
      </c>
      <c r="AD53" s="200">
        <v>1</v>
      </c>
      <c r="AE53" s="491" t="str" cm="1">
        <f t="array" aca="1" ref="AE53" ca="1">Ver_flag_visit</f>
        <v/>
      </c>
      <c r="AF53" s="201" t="str">
        <f ca="1">A56</f>
        <v>Nueva Zelanda</v>
      </c>
      <c r="AG53" s="421">
        <f t="shared" si="168"/>
        <v>1</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3</v>
      </c>
      <c r="BG53" s="760">
        <f t="shared" ca="1" si="17"/>
        <v>0</v>
      </c>
      <c r="BH53" s="760">
        <f t="shared" ca="1" si="18"/>
        <v>0</v>
      </c>
      <c r="BI53" s="760">
        <f t="shared" ca="1" si="19"/>
        <v>3</v>
      </c>
      <c r="BJ53" s="760">
        <f t="shared" ca="1" si="20"/>
        <v>2</v>
      </c>
      <c r="BK53" s="760">
        <f t="shared" ca="1" si="21"/>
        <v>11</v>
      </c>
      <c r="BL53" s="760">
        <f t="shared" ca="1" si="27"/>
        <v>-9</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4</v>
      </c>
      <c r="BT53" s="769" t="str">
        <f ca="1">IF(COUNTIFS($BS$6:$BS$53,BS53,$BC$6:$BC$53,INDEX(T_Equipos[Grupo],MATCH(BD53,T_Equipos[NombreEquipo],0)))=1,"-","P."&amp;BS53&amp;" ("&amp;COUNTIFS($BS$6:$BS$53,BS53,$BC$6:$BC$53,INDEX(T_Equipos[Grupo],MATCH(BD53,T_Equipos[NombreEquipo],0)))&amp;")")</f>
        <v>-</v>
      </c>
      <c r="BU53" s="770" t="str">
        <f t="shared" ca="1" si="36"/>
        <v>-</v>
      </c>
      <c r="BV53" s="770" t="str">
        <f t="shared" ca="1" si="37"/>
        <v>-</v>
      </c>
      <c r="BW53" s="770" t="str">
        <f t="shared" ca="1" si="38"/>
        <v>-</v>
      </c>
      <c r="BX53" s="770" t="str">
        <f t="shared" ca="1" si="39"/>
        <v>-</v>
      </c>
      <c r="BY53" s="770">
        <f ca="1">BS53+COUNTIFS($BT$6:$BT$53,BT53,$BX$6:BX$53,"&gt;"&amp;BX53,$BC$6:$BC$53,INDEX(T_Equipos[Grupo],MATCH(BD53,T_Equipos[NombreEquipo],0)))</f>
        <v>4</v>
      </c>
      <c r="BZ53" s="769" t="str">
        <f ca="1">IF(COUNTIFS($BY$6:$BY$53,BY53,$BC$6:$BC$53,INDEX(T_Equipos[Grupo],MATCH(BD53,T_Equipos[NombreEquipo],0)))=1,"-","P."&amp;BY53&amp;" ("&amp;COUNTIFS($BY$6:$BY$53,BY53,$BC$6:$BC$53,INDEX(T_Equipos[Grupo],MATCH(BD53,T_Equipos[NombreEquipo],0)))&amp;")")</f>
        <v>-</v>
      </c>
      <c r="CA53" s="770" t="str">
        <f t="shared" ca="1" si="40"/>
        <v>-</v>
      </c>
      <c r="CB53" s="770" t="str">
        <f t="shared" ca="1" si="41"/>
        <v>-</v>
      </c>
      <c r="CC53" s="770" t="str">
        <f t="shared" ca="1" si="42"/>
        <v>-</v>
      </c>
      <c r="CD53" s="770">
        <f ca="1">BY53+COUNTIFS($BZ$6:$BZ$53,BZ53,$CC$6:CC$53,"&gt;"&amp;CC53,$BC$6:$BC$53,INDEX(T_Equipos[Grupo],MATCH(BD53,T_Equipos[NombreEquipo],0)))</f>
        <v>4</v>
      </c>
      <c r="CE53" s="769" t="str">
        <f ca="1">IF(COUNTIFS($CD$6:$CD$53,CD53,$BC$6:$BC$53,INDEX(T_Equipos[Grupo],MATCH(BD53,T_Equipos[NombreEquipo],0)))=1,"-","P."&amp;CD53&amp;" ("&amp;COUNTIFS($CD$6:$CD$53,CD53,$BC$6:$BC$53,INDEX(T_Equipos[Grupo],MATCH(BD53,T_Equipos[NombreEquipo],0)))&amp;")")</f>
        <v>-</v>
      </c>
      <c r="CF53" s="770" t="str">
        <f t="shared" ca="1" si="43"/>
        <v>-</v>
      </c>
      <c r="CG53" s="770">
        <f ca="1">CD53+COUNTIFS($CE$6:$CE$53,CE53,$CF$6:CF$53,"&gt;"&amp;CF53,$BC$6:$BC$53,INDEX(T_Equipos[Grupo],MATCH(BD53,T_Equipos[NombreEquipo],0)))</f>
        <v>4</v>
      </c>
      <c r="CH53" s="769" t="str">
        <f ca="1">IF(COUNTIFS($CG$6:$CG$53,CG53,$BC$6:$BC$53,INDEX(T_Equipos[Grupo],MATCH(BD53,T_Equipos[NombreEquipo],0)))=1,"-","P."&amp;CG53&amp;" ("&amp;COUNTIFS($CG$6:$CG$53,CG53,$BC$6:$BC$53,INDEX(T_Equipos[Grupo],MATCH(BD53,T_Equipos[NombreEquipo],0)))&amp;")")</f>
        <v>-</v>
      </c>
      <c r="CI53" s="770" t="str">
        <f t="shared" ca="1" si="44"/>
        <v>-</v>
      </c>
      <c r="CJ53" s="770" t="str">
        <f t="shared" ca="1" si="45"/>
        <v>-</v>
      </c>
      <c r="CK53" s="770" t="str">
        <f t="shared" ca="1" si="46"/>
        <v>-</v>
      </c>
      <c r="CL53" s="770" t="str">
        <f t="shared" ca="1" si="47"/>
        <v>-</v>
      </c>
      <c r="CM53" s="770">
        <f ca="1">CG53+COUNTIFS($CH$6:$CH$53,CH53,$CL$6:CL$53,"&gt;"&amp;CL53,$BC$6:$BC$53,INDEX(T_Equipos[Grupo],MATCH(BD53,T_Equipos[NombreEquipo],0)))</f>
        <v>4</v>
      </c>
      <c r="CN53" s="769" t="str">
        <f ca="1">IF(COUNTIFS($CM$6:$CM$53,CM53,$BC$6:$BC$53,INDEX(T_Equipos[Grupo],MATCH(BD53,T_Equipos[NombreEquipo],0)))=1,"-","P."&amp;CM53&amp;" ("&amp;COUNTIFS($CM$6:$CM$53,CM53,$BC$6:$BC$53,INDEX(T_Equipos[Grupo],MATCH(BD53,T_Equipos[NombreEquipo],0)))&amp;")")</f>
        <v>-</v>
      </c>
      <c r="CO53" s="770" t="str">
        <f t="shared" ca="1" si="48"/>
        <v>-</v>
      </c>
      <c r="CP53" s="770" t="str">
        <f t="shared" ca="1" si="49"/>
        <v>-</v>
      </c>
      <c r="CQ53" s="770" t="str">
        <f t="shared" ca="1" si="50"/>
        <v>-</v>
      </c>
      <c r="CR53" s="770">
        <f ca="1">CM53+COUNTIFS($CN$6:$CN$53,CN53,$CQ$6:CQ$53,"&gt;"&amp;CQ53,$BC$6:$BC$53,INDEX(T_Equipos[Grupo],MATCH(BD53,T_Equipos[NombreEquipo],0)))</f>
        <v>4</v>
      </c>
      <c r="CS53" s="769" t="str">
        <f ca="1">IF(COUNTIFS($CR$6:$CR$53,CR53,$BC$6:$BC$53,INDEX(T_Equipos[Grupo],MATCH(BD53,T_Equipos[NombreEquipo],0)))=1,"-","P."&amp;CR53&amp;" ("&amp;COUNTIFS($CR$6:$CR$53,CR53,$BC$6:$BC$53,INDEX(T_Equipos[Grupo],MATCH(BD53,T_Equipos[NombreEquipo],0)))&amp;")")</f>
        <v>-</v>
      </c>
      <c r="CT53" s="770" t="str">
        <f t="shared" ca="1" si="51"/>
        <v>-</v>
      </c>
      <c r="CU53" s="770">
        <f ca="1">CR53+COUNTIFS($CS$6:$CS$53,CS53,$CT$6:CT$53,"&gt;"&amp;CT53,$BC$6:$BC$53,INDEX(T_Equipos[Grupo],MATCH(BD53,T_Equipos[NombreEquipo],0)))</f>
        <v>4</v>
      </c>
      <c r="CV53" s="769" t="str">
        <f ca="1">IF(COUNTIFS($CU$6:$CU$53,CU53,$BC$6:$BC$53,INDEX(T_Equipos[Grupo],MATCH(BD53,T_Equipos[NombreEquipo],0)))=1,"-","P."&amp;CU53&amp;" ("&amp;COUNTIFS($CU$6:$CU$53,CU53,$BC$6:$BC$53,INDEX(T_Equipos[Grupo],MATCH(BD53,T_Equipos[NombreEquipo],0)))&amp;")")</f>
        <v>-</v>
      </c>
      <c r="CW53" s="769" t="str">
        <f t="shared" ca="1" si="30"/>
        <v>-</v>
      </c>
      <c r="CX53" s="769">
        <f ca="1">CU53+COUNTIFS($CV$6:$CV$53,CV53,$CW$6:CW$53,"&gt;"&amp;CW53,$BC$6:$BC$53,INDEX(T_Equipos[Grupo],MATCH(BD53,T_Equipos[NombreEquipo],0)))</f>
        <v>4</v>
      </c>
      <c r="CY53" s="769" t="str">
        <f ca="1">IF(COUNTIFS($CX$6:$CX$53,CX53,$BC$6:$BC$53,INDEX(T_Equipos[Grupo],MATCH(BD53,T_Equipos[NombreEquipo],0)))=1,"-","P."&amp;CX53&amp;" ("&amp;COUNTIFS($CX$6:$CX$53,CX53,$BC$6:$BC$53,INDEX(T_Equipos[Grupo],MATCH(BD53,T_Equipos[NombreEquipo],0)))&amp;")")</f>
        <v>-</v>
      </c>
      <c r="CZ53" s="769" t="str">
        <f t="shared" ca="1" si="31"/>
        <v>-</v>
      </c>
      <c r="DA53" s="770">
        <f ca="1">CX53+COUNTIFS($CY$6:$CY$53,CY53,$CZ$6:CZ$53,"&gt;"&amp;CZ53,$BC$6:$BC$53,INDEX(T_Equipos[Grupo],MATCH(BD53,T_Equipos[NombreEquipo],0)))</f>
        <v>4</v>
      </c>
      <c r="DB53" s="769" t="str">
        <f ca="1">IF(COUNTIFS($DA$6:$DA$53,DA53,$BC$6:$BC$53,INDEX(T_Equipos[Grupo],MATCH(BD53,T_Equipos[NombreEquipo],0)))=1,"-","P."&amp;DA53&amp;" ("&amp;COUNTIFS($DA$6:$DA$53,DA53,$BC$6:$BC$53,INDEX(T_Equipos[Grupo],MATCH(BD53,T_Equipos[NombreEquipo],0)))&amp;")")</f>
        <v>-</v>
      </c>
      <c r="DC53" s="768" t="str">
        <f ca="1">IF(DB53="-","-",COUNTIFS(T_Equipos[Rank],"&lt;"&amp;INDEX(T_Equipos[Rank],MATCH(BD53,T_Equipos[NombreEquipo],0)),$BC$6:$BC$53,INDEX(T_Equipos[Grupo],MATCH(BD53,T_Equipos[NombreEquipo],0)))+1)</f>
        <v>-</v>
      </c>
      <c r="DD53" s="768">
        <f ca="1">DA53+COUNTIFS($DB$6:$DB$53,DB53,$DC$6:DC$53,"&lt;"&amp;DC53,$BC$6:$BC$53,INDEX(T_Equipos[Grupo],MATCH(BD53,T_Equipos[NombreEquipo],0)))</f>
        <v>4</v>
      </c>
      <c r="DE53" s="768"/>
      <c r="DF53" s="768">
        <f t="shared" ca="1" si="52"/>
        <v>4</v>
      </c>
      <c r="DG53" s="768" t="str">
        <f ca="1">IF(DB53="-","-",COUNTIFS(DF$6:DF$53,"&lt;"&amp;DF53,$BC$6:$BC$53,INDEX(T_Equipos[Grupo],MATCH(BD53,T_Equipos[NombreEquipo],0))))</f>
        <v>-</v>
      </c>
      <c r="DH53" s="768">
        <f ca="1">DA53+COUNTIFS(DB$6:DB$53,DB53,DG$6:DG$53,"&lt;"&amp;DG53,$BC$6:$BC$53,INDEX(T_Equipos[Grupo],MATCH(BD53,T_Equipos[NombreEquipo],0)))</f>
        <v>4</v>
      </c>
      <c r="DI53" s="756"/>
      <c r="DJ53" s="756">
        <f t="shared" ca="1" si="53"/>
        <v>4</v>
      </c>
      <c r="DK53" s="756">
        <f t="shared" ca="1" si="24"/>
        <v>12</v>
      </c>
      <c r="DL53" s="756">
        <f t="shared" ca="1" si="33"/>
        <v>1</v>
      </c>
      <c r="DM53" s="750" t="str">
        <f t="shared" ca="1" si="34"/>
        <v>4.1</v>
      </c>
      <c r="DN53" s="756" cm="1">
        <f t="array" aca="1" ref="DN53" ca="1">OFFSET(Horarios!$P$3,DJ53-1,0,DL53,1)</f>
        <v>4</v>
      </c>
      <c r="DO53" s="756"/>
      <c r="DP53" s="756" t="s">
        <v>684</v>
      </c>
      <c r="DQ53" s="756" t="str">
        <f t="shared" ca="1" si="35"/>
        <v>Panamá</v>
      </c>
      <c r="DR53" s="756"/>
      <c r="DS53" s="756"/>
      <c r="DT53" s="756" t="str">
        <f t="shared" ca="1" si="15"/>
        <v>Irán-Nueva Zelanda</v>
      </c>
      <c r="DU53" s="756"/>
      <c r="DV53" s="756"/>
      <c r="DW53" s="8"/>
    </row>
    <row r="54" spans="1:127">
      <c r="A54" s="757" t="str">
        <f ca="1">+Equipos!B27</f>
        <v>Egipto</v>
      </c>
      <c r="B54" s="754"/>
      <c r="C54" s="758"/>
      <c r="D54" s="756" t="str">
        <f t="shared" si="155"/>
        <v>Local</v>
      </c>
      <c r="E54" s="756" t="str">
        <f t="shared" ca="1" si="156"/>
        <v>-</v>
      </c>
      <c r="F54" s="756" t="str">
        <f t="shared" ca="1" si="157"/>
        <v>-</v>
      </c>
      <c r="G54" s="756"/>
      <c r="H54" s="756" t="str">
        <f t="shared" ca="1" si="158"/>
        <v>-</v>
      </c>
      <c r="I54" s="756" t="str">
        <f t="shared" ca="1" si="159"/>
        <v>-</v>
      </c>
      <c r="J54" s="756"/>
      <c r="K54" s="756" t="str">
        <f t="shared" ca="1" si="160"/>
        <v>-</v>
      </c>
      <c r="L54" s="756" t="str">
        <f t="shared" ca="1" si="161"/>
        <v>-</v>
      </c>
      <c r="M54" s="756"/>
      <c r="N54" s="756" t="str">
        <f t="shared" ca="1" si="162"/>
        <v>-</v>
      </c>
      <c r="O54" s="756" t="str">
        <f t="shared" ca="1" si="163"/>
        <v>-</v>
      </c>
      <c r="P54" s="756"/>
      <c r="Q54" s="756" t="str">
        <f t="shared" ca="1" si="164"/>
        <v>-</v>
      </c>
      <c r="R54" s="756" t="str">
        <f t="shared" ca="1" si="165"/>
        <v>-</v>
      </c>
      <c r="S54" s="756"/>
      <c r="T54" s="756" t="str">
        <f t="shared" ca="1" si="166"/>
        <v>-</v>
      </c>
      <c r="U54" s="756" t="str">
        <f t="shared" ca="1" si="167"/>
        <v>-</v>
      </c>
      <c r="V54" s="178"/>
      <c r="W54" s="828"/>
      <c r="X54" s="195">
        <f ca="1">Horarios!C54</f>
        <v>46194.541666666664</v>
      </c>
      <c r="Y54" s="196">
        <f ca="1">Horarios!C54</f>
        <v>46194.541666666664</v>
      </c>
      <c r="Z54" s="197" t="str">
        <f>$Z$6</f>
        <v>J2</v>
      </c>
      <c r="AA54" s="198" t="str">
        <f ca="1">A53</f>
        <v>Bélgica</v>
      </c>
      <c r="AB54" s="486" t="str" cm="1">
        <f t="array" aca="1" ref="AB54" ca="1">Ver_flag_local</f>
        <v/>
      </c>
      <c r="AC54" s="199">
        <v>2</v>
      </c>
      <c r="AD54" s="200">
        <v>0</v>
      </c>
      <c r="AE54" s="491" t="str" cm="1">
        <f t="array" aca="1" ref="AE54" ca="1">Ver_flag_visit</f>
        <v/>
      </c>
      <c r="AF54" s="201" t="str">
        <f ca="1">A55</f>
        <v>Irán</v>
      </c>
      <c r="AG54" s="421">
        <f t="shared" si="168"/>
        <v>1</v>
      </c>
      <c r="AH54" s="202">
        <v>39</v>
      </c>
      <c r="AI54" s="19" t="str">
        <f>AJ54&amp;$B$52</f>
        <v>1G</v>
      </c>
      <c r="AJ54" s="217">
        <v>1</v>
      </c>
      <c r="AK54" s="496" t="str" cm="1">
        <f t="array" aca="1" ref="AK54" ca="1">Ver_flag_visit</f>
        <v/>
      </c>
      <c r="AL54" s="218" t="str">
        <f ca="1">IFERROR(INDEX($BD$6:$BD$53,MATCH(AI54,$BN$6:$BN$53,0)),"")</f>
        <v>Bélgica</v>
      </c>
      <c r="AM54" s="219">
        <f t="shared" ref="AM54:AT57" ca="1" si="172">INDEX($BE$6:$BN$53,MATCH($AL54,$BD$6:$BD$53,0),MATCH(AM$5,$BE$5:$BN$5,0))</f>
        <v>9</v>
      </c>
      <c r="AN54" s="220">
        <f t="shared" ca="1" si="172"/>
        <v>3</v>
      </c>
      <c r="AO54" s="220">
        <f t="shared" ca="1" si="172"/>
        <v>3</v>
      </c>
      <c r="AP54" s="220">
        <f t="shared" ca="1" si="172"/>
        <v>0</v>
      </c>
      <c r="AQ54" s="220">
        <f t="shared" ca="1" si="172"/>
        <v>0</v>
      </c>
      <c r="AR54" s="220">
        <f t="shared" ca="1" si="172"/>
        <v>8</v>
      </c>
      <c r="AS54" s="220">
        <f t="shared" ca="1" si="172"/>
        <v>1</v>
      </c>
      <c r="AT54" s="221">
        <f t="shared" ca="1" si="172"/>
        <v>7</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c r="A55" s="757" t="str">
        <f ca="1">+Equipos!B28</f>
        <v>Irán</v>
      </c>
      <c r="B55" s="754"/>
      <c r="C55" s="756"/>
      <c r="D55" s="756" t="str">
        <f t="shared" si="155"/>
        <v>Empate</v>
      </c>
      <c r="E55" s="756" t="str">
        <f t="shared" ca="1" si="156"/>
        <v>-</v>
      </c>
      <c r="F55" s="756" t="str">
        <f t="shared" ca="1" si="157"/>
        <v>-</v>
      </c>
      <c r="G55" s="756"/>
      <c r="H55" s="756" t="str">
        <f t="shared" ca="1" si="158"/>
        <v>-</v>
      </c>
      <c r="I55" s="756" t="str">
        <f t="shared" ca="1" si="159"/>
        <v>-</v>
      </c>
      <c r="J55" s="756"/>
      <c r="K55" s="756" t="str">
        <f t="shared" ca="1" si="160"/>
        <v>-</v>
      </c>
      <c r="L55" s="756" t="str">
        <f t="shared" ca="1" si="161"/>
        <v>-</v>
      </c>
      <c r="M55" s="756"/>
      <c r="N55" s="756" t="str">
        <f t="shared" ca="1" si="162"/>
        <v>-</v>
      </c>
      <c r="O55" s="756" t="str">
        <f t="shared" ca="1" si="163"/>
        <v>-</v>
      </c>
      <c r="P55" s="756"/>
      <c r="Q55" s="756" t="str">
        <f t="shared" ca="1" si="164"/>
        <v>-</v>
      </c>
      <c r="R55" s="756" t="str">
        <f t="shared" ca="1" si="165"/>
        <v>-</v>
      </c>
      <c r="S55" s="756"/>
      <c r="T55" s="756" t="str">
        <f t="shared" ca="1" si="166"/>
        <v>-</v>
      </c>
      <c r="U55" s="756" t="str">
        <f t="shared" ca="1" si="167"/>
        <v>-</v>
      </c>
      <c r="V55" s="178"/>
      <c r="W55" s="828"/>
      <c r="X55" s="195">
        <f ca="1">Horarios!C55</f>
        <v>46194.791666666664</v>
      </c>
      <c r="Y55" s="196">
        <f ca="1">Horarios!C55</f>
        <v>46194.791666666664</v>
      </c>
      <c r="Z55" s="197" t="str">
        <f>$Z$6</f>
        <v>J2</v>
      </c>
      <c r="AA55" s="198" t="str">
        <f ca="1">A56</f>
        <v>Nueva Zelanda</v>
      </c>
      <c r="AB55" s="486" t="str" cm="1">
        <f t="array" aca="1" ref="AB55" ca="1">Ver_flag_local</f>
        <v/>
      </c>
      <c r="AC55" s="199">
        <v>2</v>
      </c>
      <c r="AD55" s="200">
        <v>2</v>
      </c>
      <c r="AE55" s="491" t="str" cm="1">
        <f t="array" aca="1" ref="AE55" ca="1">Ver_flag_visit</f>
        <v/>
      </c>
      <c r="AF55" s="201" t="str">
        <f ca="1">A54</f>
        <v>Egipto</v>
      </c>
      <c r="AG55" s="421">
        <f t="shared" si="168"/>
        <v>1</v>
      </c>
      <c r="AH55" s="202">
        <v>40</v>
      </c>
      <c r="AI55" s="19" t="str">
        <f t="shared" ref="AI55:AI57" si="173">AJ55&amp;$B$52</f>
        <v>2G</v>
      </c>
      <c r="AJ55" s="227">
        <v>2</v>
      </c>
      <c r="AK55" s="494" t="str" cm="1">
        <f t="array" aca="1" ref="AK55" ca="1">Ver_flag_visit</f>
        <v/>
      </c>
      <c r="AL55" s="228" t="str">
        <f ca="1">IFERROR(INDEX($BD$6:$BD$53,MATCH(AI55,$BN$6:$BN$53,0)),"")</f>
        <v>Irán</v>
      </c>
      <c r="AM55" s="229">
        <f t="shared" ca="1" si="172"/>
        <v>4</v>
      </c>
      <c r="AN55" s="230">
        <f t="shared" ca="1" si="172"/>
        <v>3</v>
      </c>
      <c r="AO55" s="230">
        <f t="shared" ca="1" si="172"/>
        <v>1</v>
      </c>
      <c r="AP55" s="230">
        <f t="shared" ca="1" si="172"/>
        <v>1</v>
      </c>
      <c r="AQ55" s="230">
        <f t="shared" ca="1" si="172"/>
        <v>1</v>
      </c>
      <c r="AR55" s="230">
        <f t="shared" ca="1" si="172"/>
        <v>3</v>
      </c>
      <c r="AS55" s="230">
        <f t="shared" ca="1" si="172"/>
        <v>4</v>
      </c>
      <c r="AT55" s="231">
        <f t="shared" ca="1" si="172"/>
        <v>-1</v>
      </c>
      <c r="AU55" s="428">
        <f ca="1">INDEX($DL$6:$DL$53,MATCH(AI55,$DP$6:$DP$53,0))</f>
        <v>1</v>
      </c>
      <c r="AV55" s="223" t="str">
        <f ca="1">INDEX($BD$6:$BD$53,MATCH(AI55,$BM$6:$BM$53,0))</f>
        <v>Irán</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c r="A56" s="757" t="str">
        <f ca="1">+Equipos!B29</f>
        <v>Nueva Zelanda</v>
      </c>
      <c r="B56" s="754"/>
      <c r="C56" s="756"/>
      <c r="D56" s="756" t="str">
        <f t="shared" si="155"/>
        <v>Empate</v>
      </c>
      <c r="E56" s="756" t="str">
        <f t="shared" ca="1" si="156"/>
        <v>-</v>
      </c>
      <c r="F56" s="756" t="str">
        <f t="shared" ca="1" si="157"/>
        <v>-</v>
      </c>
      <c r="G56" s="756"/>
      <c r="H56" s="756" t="str">
        <f t="shared" ca="1" si="158"/>
        <v>-</v>
      </c>
      <c r="I56" s="756" t="str">
        <f t="shared" ca="1" si="159"/>
        <v>-</v>
      </c>
      <c r="J56" s="756"/>
      <c r="K56" s="756" t="str">
        <f t="shared" ca="1" si="160"/>
        <v>-</v>
      </c>
      <c r="L56" s="756" t="str">
        <f t="shared" ca="1" si="161"/>
        <v>-</v>
      </c>
      <c r="M56" s="756"/>
      <c r="N56" s="756" t="str">
        <f t="shared" ca="1" si="162"/>
        <v>-</v>
      </c>
      <c r="O56" s="756" t="str">
        <f t="shared" ca="1" si="163"/>
        <v>-</v>
      </c>
      <c r="P56" s="756"/>
      <c r="Q56" s="756" t="str">
        <f t="shared" ca="1" si="164"/>
        <v>-</v>
      </c>
      <c r="R56" s="756" t="str">
        <f t="shared" ca="1" si="165"/>
        <v>-</v>
      </c>
      <c r="S56" s="756"/>
      <c r="T56" s="756" t="str">
        <f t="shared" ca="1" si="166"/>
        <v>-</v>
      </c>
      <c r="U56" s="756" t="str">
        <f t="shared" ca="1" si="167"/>
        <v>-</v>
      </c>
      <c r="V56" s="178"/>
      <c r="W56" s="828"/>
      <c r="X56" s="195">
        <f ca="1">Horarios!C56</f>
        <v>46199.875</v>
      </c>
      <c r="Y56" s="196">
        <f ca="1">Horarios!C56</f>
        <v>46199.875</v>
      </c>
      <c r="Z56" s="197" t="str">
        <f>$Z$8</f>
        <v>J3</v>
      </c>
      <c r="AA56" s="198" t="str">
        <f ca="1">A54</f>
        <v>Egipto</v>
      </c>
      <c r="AB56" s="486" t="str" cm="1">
        <f t="array" aca="1" ref="AB56" ca="1">Ver_flag_local</f>
        <v/>
      </c>
      <c r="AC56" s="199">
        <v>1</v>
      </c>
      <c r="AD56" s="200">
        <v>1</v>
      </c>
      <c r="AE56" s="491" t="str" cm="1">
        <f t="array" aca="1" ref="AE56" ca="1">Ver_flag_visit</f>
        <v/>
      </c>
      <c r="AF56" s="201" t="str">
        <f ca="1">A55</f>
        <v>Irán</v>
      </c>
      <c r="AG56" s="421">
        <f t="shared" si="168"/>
        <v>1</v>
      </c>
      <c r="AH56" s="202">
        <v>63</v>
      </c>
      <c r="AI56" s="19" t="str">
        <f t="shared" si="173"/>
        <v>3G</v>
      </c>
      <c r="AJ56" s="227">
        <v>3</v>
      </c>
      <c r="AK56" s="494" t="str" cm="1">
        <f t="array" aca="1" ref="AK56" ca="1">Ver_flag_visit</f>
        <v/>
      </c>
      <c r="AL56" s="228" t="str">
        <f ca="1">IFERROR(INDEX($BD$6:$BD$53,MATCH(AI56,$BN$6:$BN$53,0)),"")</f>
        <v>Egipto</v>
      </c>
      <c r="AM56" s="229">
        <f t="shared" ca="1" si="172"/>
        <v>2</v>
      </c>
      <c r="AN56" s="230">
        <f t="shared" ca="1" si="172"/>
        <v>3</v>
      </c>
      <c r="AO56" s="230">
        <f t="shared" ca="1" si="172"/>
        <v>0</v>
      </c>
      <c r="AP56" s="230">
        <f t="shared" ca="1" si="172"/>
        <v>2</v>
      </c>
      <c r="AQ56" s="230">
        <f t="shared" ca="1" si="172"/>
        <v>1</v>
      </c>
      <c r="AR56" s="230">
        <f t="shared" ca="1" si="172"/>
        <v>3</v>
      </c>
      <c r="AS56" s="230">
        <f t="shared" ca="1" si="172"/>
        <v>5</v>
      </c>
      <c r="AT56" s="231">
        <f t="shared" ca="1" si="172"/>
        <v>-2</v>
      </c>
      <c r="AU56" s="428">
        <f ca="1">INDEX($DL$6:$DL$53,MATCH(AI56,$DP$6:$DP$53,0))</f>
        <v>1</v>
      </c>
      <c r="AV56" s="223" t="str">
        <f ca="1">INDEX($BD$6:$BD$53,MATCH(AI56,$BM$6:$BM$53,0))</f>
        <v>Egipto</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5" thickBot="1">
      <c r="A57" s="751"/>
      <c r="B57" s="754"/>
      <c r="C57" s="751"/>
      <c r="D57" s="756" t="str">
        <f t="shared" si="155"/>
        <v>Visitante</v>
      </c>
      <c r="E57" s="756" t="str">
        <f t="shared" ca="1" si="156"/>
        <v>-</v>
      </c>
      <c r="F57" s="756" t="str">
        <f t="shared" ca="1" si="157"/>
        <v>-</v>
      </c>
      <c r="G57" s="756"/>
      <c r="H57" s="756" t="str">
        <f t="shared" ca="1" si="158"/>
        <v>-</v>
      </c>
      <c r="I57" s="756" t="str">
        <f t="shared" ca="1" si="159"/>
        <v>-</v>
      </c>
      <c r="J57" s="756"/>
      <c r="K57" s="756" t="str">
        <f t="shared" ca="1" si="160"/>
        <v>-</v>
      </c>
      <c r="L57" s="756" t="str">
        <f t="shared" ca="1" si="161"/>
        <v>-</v>
      </c>
      <c r="M57" s="756"/>
      <c r="N57" s="756" t="str">
        <f t="shared" ca="1" si="162"/>
        <v>-</v>
      </c>
      <c r="O57" s="756" t="str">
        <f t="shared" ca="1" si="163"/>
        <v>-</v>
      </c>
      <c r="P57" s="756"/>
      <c r="Q57" s="756" t="str">
        <f t="shared" ca="1" si="164"/>
        <v>-</v>
      </c>
      <c r="R57" s="756" t="str">
        <f t="shared" ca="1" si="165"/>
        <v>-</v>
      </c>
      <c r="S57" s="756"/>
      <c r="T57" s="756" t="str">
        <f t="shared" ca="1" si="166"/>
        <v>-</v>
      </c>
      <c r="U57" s="756" t="str">
        <f t="shared" ca="1" si="167"/>
        <v>-</v>
      </c>
      <c r="V57" s="178"/>
      <c r="W57" s="829"/>
      <c r="X57" s="234">
        <f ca="1">Horarios!C57</f>
        <v>46199.875</v>
      </c>
      <c r="Y57" s="235">
        <f ca="1">Horarios!C57</f>
        <v>46199.875</v>
      </c>
      <c r="Z57" s="236" t="str">
        <f>$Z$8</f>
        <v>J3</v>
      </c>
      <c r="AA57" s="237" t="str">
        <f ca="1">A56</f>
        <v>Nueva Zelanda</v>
      </c>
      <c r="AB57" s="487" t="str" cm="1">
        <f t="array" aca="1" ref="AB57" ca="1">Ver_flag_local</f>
        <v/>
      </c>
      <c r="AC57" s="238">
        <v>1</v>
      </c>
      <c r="AD57" s="239">
        <v>4</v>
      </c>
      <c r="AE57" s="492" t="str" cm="1">
        <f t="array" aca="1" ref="AE57" ca="1">Ver_flag_visit</f>
        <v/>
      </c>
      <c r="AF57" s="240" t="str">
        <f ca="1">A53</f>
        <v>Bélgica</v>
      </c>
      <c r="AG57" s="421">
        <f t="shared" si="168"/>
        <v>1</v>
      </c>
      <c r="AH57" s="202">
        <v>64</v>
      </c>
      <c r="AI57" s="19" t="str">
        <f t="shared" si="173"/>
        <v>4G</v>
      </c>
      <c r="AJ57" s="241">
        <v>4</v>
      </c>
      <c r="AK57" s="495" t="str" cm="1">
        <f t="array" aca="1" ref="AK57" ca="1">Ver_flag_visit</f>
        <v/>
      </c>
      <c r="AL57" s="242" t="str">
        <f ca="1">IFERROR(INDEX($BD$6:$BD$53,MATCH(AI57,$BN$6:$BN$53,0)),"")</f>
        <v>Nueva Zelanda</v>
      </c>
      <c r="AM57" s="243">
        <f t="shared" ca="1" si="172"/>
        <v>1</v>
      </c>
      <c r="AN57" s="244">
        <f t="shared" ca="1" si="172"/>
        <v>3</v>
      </c>
      <c r="AO57" s="244">
        <f t="shared" ca="1" si="172"/>
        <v>0</v>
      </c>
      <c r="AP57" s="244">
        <f t="shared" ca="1" si="172"/>
        <v>1</v>
      </c>
      <c r="AQ57" s="244">
        <f t="shared" ca="1" si="172"/>
        <v>2</v>
      </c>
      <c r="AR57" s="244">
        <f t="shared" ca="1" si="172"/>
        <v>4</v>
      </c>
      <c r="AS57" s="244">
        <f t="shared" ca="1" si="172"/>
        <v>8</v>
      </c>
      <c r="AT57" s="245">
        <f t="shared" ca="1" si="172"/>
        <v>-4</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República Checa</v>
      </c>
      <c r="BE58" s="760">
        <f ca="1">CHOOSE($BB$57,
  (BG58*3 + BH58)+IF($AZ$3="No",0,INDEX($AZ$6:$AZ$97,MATCH(BD58,$AY$6:$AY$97,0))),
  (BG58*3 + BH58)+IF($AZ$3="No",0,INDEX($AZ$6:$AZ$97,MATCH(BD58,$AY$6:$AY$97,0))),
  IFERROR((BG58*3 + BH58+IF($AZ$3="No",0,INDEX($AZ$6:$AZ$97,MATCH(BD58,$AY$6:$AY$97,0)))) / BF58, 0)
)</f>
        <v>3</v>
      </c>
      <c r="BF58" s="760">
        <f ca="1">+BG58+BH58+BI58</f>
        <v>3</v>
      </c>
      <c r="BG58" s="760">
        <f ca="1">CHOOSE(IF($BB$57=2, 2, 1),INDEX($BG$6:$BG$53,MATCH($BB58,$BN$6:$BN$53,0)),
  INDEX($BG$6:$BG$53,MATCH($BB58,$BN$6:$BN$53,0))-(COUNTIFS(FGLocal,$BD58,FGVisitante,INDEX($BD$6:$BD$53,MATCH(BO58,$BN$6:$BN$53,0)),Ganador,"Local")+COUNTIFS(FGVisitante,$BD58,FGLocal,INDEX($BD$6:$BD$53,MATCH(BO58,$BN$6:$BN$53,0)),Ganador,"Visitante"))
)</f>
        <v>1</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2</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2</v>
      </c>
      <c r="BL58" s="760">
        <f ca="1">BJ58-BK58</f>
        <v>0</v>
      </c>
      <c r="BM58" s="760">
        <f ca="1">CB58</f>
        <v>7</v>
      </c>
      <c r="BN58" s="760">
        <f ca="1">CF58</f>
        <v>7</v>
      </c>
      <c r="BO58" s="750" t="str">
        <f>"4"&amp;BC58</f>
        <v>4A</v>
      </c>
      <c r="BP58" s="750"/>
      <c r="BQ58" s="750"/>
      <c r="BR58" s="760">
        <f t="shared" ref="BR58:BR69" ca="1" si="179">+BE58</f>
        <v>3</v>
      </c>
      <c r="BS58" s="760">
        <f ca="1">COUNTIFS(BR$58:BR$69,"&gt;"&amp;BR58)+1</f>
        <v>6</v>
      </c>
      <c r="BT58" s="760" t="str">
        <f ca="1">IF(COUNTIF(BS$58:BS$69,BS58)=1,"-","Pos. "&amp;BS58&amp;" ("&amp;COUNTIF(BS$58:BS$69,BS58)&amp;")")</f>
        <v>Pos. 6 (4)</v>
      </c>
      <c r="BU58" s="760">
        <f t="shared" ref="BU58:BU69" ca="1" si="180">IF(BT58="-","-",BL58)</f>
        <v>0</v>
      </c>
      <c r="BV58" s="760">
        <f t="shared" ref="BV58:BV69" ca="1" si="181">BS58+COUNTIFS(BT$58:BT$69,BT58,BU$58:BU$69,"&gt;"&amp;BU58)</f>
        <v>6</v>
      </c>
      <c r="BW58" s="760" t="str">
        <f t="shared" ref="BW58:BW69" ca="1" si="182">IF(COUNTIF(BV$58:BV$69,BV58)=1,"-","Pos. "&amp;BV58&amp;" ("&amp;COUNTIF(BV$58:BV$69,BV58)&amp;")")</f>
        <v>Pos. 6 (2)</v>
      </c>
      <c r="BX58" s="760">
        <f t="shared" ref="BX58:BX69" ca="1" si="183">IF(BW58="-","-",BJ58)</f>
        <v>2</v>
      </c>
      <c r="BY58" s="760">
        <f t="shared" ref="BY58:BY69" ca="1" si="184">BV58+COUNTIFS(BW$58:BW$69,BW58,BX$58:BX$69,"&gt;"&amp;BX58)</f>
        <v>7</v>
      </c>
      <c r="BZ58" s="760" t="str">
        <f t="shared" ref="BZ58:BZ69" ca="1" si="185">IF(COUNTIF(BY$58:BY$69,BY58)=1,"-","Pos. "&amp;BY58&amp;" ("&amp;COUNTIF(BY$58:BY$69,BY58)&amp;")")</f>
        <v>-</v>
      </c>
      <c r="CA58" s="760" t="str">
        <f ca="1">IF(BZ58="-","-",COUNTIF($BD$58:$BD$69,"&gt;"&amp;BD58))</f>
        <v>-</v>
      </c>
      <c r="CB58" s="760">
        <f ca="1">BY58+COUNTIFS(BZ$58:BZ$69,BZ58,CA$58:CA$69,"&gt;"&amp;CA58)</f>
        <v>7</v>
      </c>
      <c r="CC58" s="760"/>
      <c r="CD58" s="760">
        <f ca="1">IF(OR(INDEX($AW$102:$AW$113,MATCH($BD58,$AV$102:$AV$113,0))="",BZ58="-"),CB58,INDEX($AW$102:$AW$113,MATCH($BD58,$AV$102:$AV$113,0))+CB58/1000)</f>
        <v>7</v>
      </c>
      <c r="CE58" s="760" t="str">
        <f ca="1">IF(BZ58="-","-",COUNTIF(CD$58:CD$69,"&lt;"&amp;CD58))</f>
        <v>-</v>
      </c>
      <c r="CF58" s="760">
        <f ca="1">BY58+COUNTIFS(BZ$58:BZ$69,BZ58,CE$58:CE$69,"&lt;"&amp;CE58)</f>
        <v>7</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Ecuador</v>
      </c>
      <c r="DR58" s="756"/>
      <c r="DS58" s="756"/>
      <c r="DT58" s="756" t="str">
        <f t="shared" si="15"/>
        <v>-</v>
      </c>
      <c r="DU58" s="756"/>
      <c r="DV58" s="756"/>
      <c r="DW58" s="8"/>
    </row>
    <row r="59" spans="1:127" ht="15" thickBot="1">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Canadá</v>
      </c>
      <c r="BE59" s="760">
        <f t="shared" ref="BE59:BE69" ca="1" si="189">CHOOSE($BB$57,
  (BG59*3 + BH59)+IF($AZ$3="No",0,INDEX($AZ$6:$AZ$97,MATCH(BD59,$AY$6:$AY$97,0))),
  (BG59*3 + BH59)+IF($AZ$3="No",0,INDEX($AZ$6:$AZ$97,MATCH(BD59,$AY$6:$AY$97,0))),
  IFERROR((BG59*3 + BH59+IF($AZ$3="No",0,INDEX($AZ$6:$AZ$97,MATCH(BD59,$AY$6:$AY$97,0)))) / BF59, 0)
)</f>
        <v>1</v>
      </c>
      <c r="BF59" s="760">
        <f t="shared" ref="BF59:BF69" ca="1" si="190">+BG59+BH59+BI59</f>
        <v>3</v>
      </c>
      <c r="BG59" s="760">
        <f t="shared" ref="BG59:BG69" ca="1" si="191">CHOOSE(IF($BB$57=2, 2, 1),
  INDEX($BG$6:$BG$53,MATCH($BB59,$BN$6:$BN$53,0)),
  INDEX($BG$6:$BG$53,MATCH($BB59,$BN$6:$BN$53,0))-(COUNTIFS(FGLocal,$BD59,FGVisitante,INDEX($BD$6:$BD$53,MATCH(BO59,$BN$6:$BN$53,0)),Ganador,"Local")+COUNTIFS(FGVisitante,$BD59,FGLocal,INDEX($BD$6:$BD$53,MATCH(BO59,$BN$6:$BN$53,0)),Ganador,"Visitante"))
)</f>
        <v>0</v>
      </c>
      <c r="BH59" s="760">
        <f t="shared" ref="BH59:BH69" ca="1" si="192">CHOOSE(IF($BB$57=2, 2, 1),
  INDEX($BH$6:$BH$53,MATCH($BB59,$BN$6:$BN$53,0)),
  INDEX($BH$6:$BH$53,MATCH($BB59,$BN$6:$BN$53,0))-(COUNTIFS(FGLocal,$BD59,FGVisitante,INDEX($BD$6:$BD$53,MATCH(BO59,$BN$6:$BN$53,0)),Ganador,"Empate")+COUNTIFS(FGVisitante,$BD59,FGLocal,INDEX($BD$6:$BD$53,MATCH(BO59,$BN$6:$BN$53,0)),Ganador,"Empate"))
)</f>
        <v>1</v>
      </c>
      <c r="BI59" s="760">
        <f t="shared" ca="1" si="176"/>
        <v>2</v>
      </c>
      <c r="BJ59" s="760">
        <f t="shared" ca="1" si="177"/>
        <v>1</v>
      </c>
      <c r="BK59" s="760">
        <f t="shared" ca="1" si="178"/>
        <v>4</v>
      </c>
      <c r="BL59" s="760">
        <f t="shared" ref="BL59:BL69" ca="1" si="193">BJ59-BK59</f>
        <v>-3</v>
      </c>
      <c r="BM59" s="760">
        <f t="shared" ref="BM59:BM69" ca="1" si="194">CB59</f>
        <v>12</v>
      </c>
      <c r="BN59" s="760">
        <f t="shared" ref="BN59:BN69" ca="1" si="195">CF59</f>
        <v>12</v>
      </c>
      <c r="BO59" s="750" t="str">
        <f t="shared" ref="BO59:BO69" si="196">"4"&amp;BC59</f>
        <v>4B</v>
      </c>
      <c r="BP59" s="750"/>
      <c r="BQ59" s="750"/>
      <c r="BR59" s="760">
        <f t="shared" ca="1" si="179"/>
        <v>1</v>
      </c>
      <c r="BS59" s="760">
        <f t="shared" ref="BS59:BS69" ca="1" si="197">COUNTIFS(BR$58:BR$69,"&gt;"&amp;BR59)+1</f>
        <v>12</v>
      </c>
      <c r="BT59" s="760" t="str">
        <f t="shared" ref="BT59:BT69" ca="1" si="198">IF(COUNTIF(BS$58:BS$69,BS59)=1,"-","Pos. "&amp;BS59&amp;" ("&amp;COUNTIF(BS$58:BS$69,BS59)&amp;")")</f>
        <v>-</v>
      </c>
      <c r="BU59" s="760" t="str">
        <f t="shared" ca="1" si="180"/>
        <v>-</v>
      </c>
      <c r="BV59" s="760">
        <f t="shared" ca="1" si="181"/>
        <v>12</v>
      </c>
      <c r="BW59" s="760" t="str">
        <f t="shared" ca="1" si="182"/>
        <v>-</v>
      </c>
      <c r="BX59" s="760" t="str">
        <f t="shared" ca="1" si="183"/>
        <v>-</v>
      </c>
      <c r="BY59" s="760">
        <f t="shared" ca="1" si="184"/>
        <v>12</v>
      </c>
      <c r="BZ59" s="760" t="str">
        <f t="shared" ca="1" si="185"/>
        <v>-</v>
      </c>
      <c r="CA59" s="760" t="str">
        <f t="shared" ref="CA59:CA69" ca="1" si="199">IF(BZ59="-","-",COUNTIF($BD$58:$BD$69,"&gt;"&amp;BD59))</f>
        <v>-</v>
      </c>
      <c r="CB59" s="760">
        <f t="shared" ref="CB59:CB68" ca="1" si="200">BY59+COUNTIFS(BZ$58:BZ$69,BZ59,CA$58:CA$69,"&gt;"&amp;CA59)</f>
        <v>12</v>
      </c>
      <c r="CC59" s="760"/>
      <c r="CD59" s="760">
        <f t="shared" ref="CD59:CD69" ca="1" si="201">IF(OR(INDEX($AW$102:$AW$113,MATCH($BD59,$AV$102:$AV$113,0))="",BZ59="-"),CB59,INDEX($AW$102:$AW$113,MATCH($BD59,$AV$102:$AV$113,0))+CB59/1000)</f>
        <v>12</v>
      </c>
      <c r="CE59" s="760" t="str">
        <f t="shared" ref="CE59:CE69" ca="1" si="202">IF(BZ59="-","-",COUNTIF(CD$58:CD$69,"&lt;"&amp;CD59))</f>
        <v>-</v>
      </c>
      <c r="CF59" s="760">
        <f t="shared" ref="CF59:CF69" ca="1" si="203">BY59+COUNTIFS(BZ$58:BZ$69,BZ59,CE$58:CE$69,"&lt;"&amp;CE59)</f>
        <v>12</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2</v>
      </c>
      <c r="DK59" s="756"/>
      <c r="DL59" s="756">
        <f t="shared" ref="DL59:DL69" ca="1" si="204">IF(OR($H$113=144,$AJ$99=144),COUNTIF($DJ$58:$DJ$69,DJ59),1)</f>
        <v>1</v>
      </c>
      <c r="DM59" s="750" t="str">
        <f t="shared" ca="1" si="187"/>
        <v>2.1</v>
      </c>
      <c r="DN59" s="756" cm="1">
        <f t="array" aca="1" ref="DN59" ca="1">OFFSET(Horarios!$P$3,DJ59-1,0,DL59,1)</f>
        <v>2</v>
      </c>
      <c r="DO59" s="756"/>
      <c r="DP59" s="756">
        <v>2</v>
      </c>
      <c r="DQ59" s="756" t="str">
        <f t="shared" ref="DQ59:DQ69" ca="1" si="205">INDEX($BD$58:$BD$69,MATCH(DP59,$BM$58:$BM$69,0))</f>
        <v>Senegal</v>
      </c>
      <c r="DR59" s="756"/>
      <c r="DS59" s="756"/>
      <c r="DT59" s="756" t="str">
        <f t="shared" si="15"/>
        <v>Casa-Fuera</v>
      </c>
      <c r="DU59" s="756"/>
      <c r="DV59" s="756"/>
      <c r="DW59" s="8"/>
    </row>
    <row r="60" spans="1:127" ht="15" customHeight="1" thickBot="1">
      <c r="A60" s="753" t="s">
        <v>30</v>
      </c>
      <c r="B60" s="754" t="s">
        <v>437</v>
      </c>
      <c r="C60" s="755">
        <f>COUNTIF(Equipos!$C$2:$C$49,WORLDCUP!B60)</f>
        <v>4</v>
      </c>
      <c r="D60" s="756" t="str">
        <f t="shared" ref="D60:D65" si="206">IF(OR(AC60="",AD60=""),"Pendiente",IF(AC60&gt;AD60,"Local",IF(AC60&lt;AD60,"Visitante","Empate")))</f>
        <v>Local</v>
      </c>
      <c r="E60" s="756" t="str">
        <f t="shared" ref="E60:E65" ca="1" si="207">IF(D60="Pendiente","-",INDEX($BT$6:$BT$53,MATCH($AA60,$BD$6:$BD$53,0)))</f>
        <v>-</v>
      </c>
      <c r="F60" s="756" t="str">
        <f t="shared" ref="F60:F65" ca="1" si="208">IF(D60="Pendiente","-",INDEX($BT$6:$BT$53,MATCH($AF60,$BD$6:$BD$53,0)))</f>
        <v>-</v>
      </c>
      <c r="G60" s="756"/>
      <c r="H60" s="756" t="str">
        <f t="shared" ref="H60:H65" ca="1" si="209">IF(D60="Pendiente","-",INDEX($BZ$6:$BZ$53,MATCH($AA60,$BD$6:$BD$53,0)))</f>
        <v>-</v>
      </c>
      <c r="I60" s="756" t="str">
        <f t="shared" ref="I60:I65" ca="1" si="210">IF(D60="Pendiente","-",INDEX($BZ$6:$BZ$53,MATCH($AF60,$BD$6:$BD$53,0)))</f>
        <v>-</v>
      </c>
      <c r="J60" s="756"/>
      <c r="K60" s="756" t="str">
        <f t="shared" ref="K60:K65" ca="1" si="211">IF(D60="Pendiente","-",INDEX($CE$6:$CE$53,MATCH($AA60,$BD$6:$BD$53,0)))</f>
        <v>-</v>
      </c>
      <c r="L60" s="756" t="str">
        <f t="shared" ref="L60:L65" ca="1" si="212">IF(D60="Pendiente","-",INDEX($CE$6:$CE$53,MATCH($AF60,$BD$6:$BD$53,0)))</f>
        <v>-</v>
      </c>
      <c r="M60" s="756"/>
      <c r="N60" s="756" t="str">
        <f t="shared" ref="N60:N65" ca="1" si="213">IF(D60="Pendiente","-",INDEX($CH$6:$CH$53,MATCH($AA60,$BD$6:$BD$53,0)))</f>
        <v>-</v>
      </c>
      <c r="O60" s="756" t="str">
        <f t="shared" ref="O60:O65" ca="1" si="214">IF(D60="Pendiente","-",INDEX($CH$6:$CH$53,MATCH($AF60,$BD$6:$BD$53,0)))</f>
        <v>-</v>
      </c>
      <c r="P60" s="756"/>
      <c r="Q60" s="756" t="str">
        <f t="shared" ref="Q60:Q65" ca="1" si="215">IF(D60="Pendiente","-",INDEX($CN$6:$CN$53,MATCH($AA60,$BD$6:$BD$53,0)))</f>
        <v>-</v>
      </c>
      <c r="R60" s="756" t="str">
        <f t="shared" ref="R60:R65" ca="1" si="216">IF(D60="Pendiente","-",INDEX($CN$6:$CN$53,MATCH($AF60,$BD$6:$BD$53,0)))</f>
        <v>-</v>
      </c>
      <c r="S60" s="756"/>
      <c r="T60" s="756" t="str">
        <f t="shared" ref="T60:T65" ca="1" si="217">IF(D60="Pendiente","-",INDEX($CS$6:$CS$53,MATCH($AA60,$BD$6:$BD$53,0)))</f>
        <v>-</v>
      </c>
      <c r="U60" s="756" t="str">
        <f t="shared" ref="U60:U65" ca="1" si="218">IF(D60="Pendiente","-",INDEX($CS$6:$CS$53,MATCH($AF60,$BD$6:$BD$53,0)))</f>
        <v>-</v>
      </c>
      <c r="V60" s="178"/>
      <c r="W60" s="810" t="s">
        <v>437</v>
      </c>
      <c r="X60" s="195">
        <f ca="1">Horarios!C60</f>
        <v>46188.416666666664</v>
      </c>
      <c r="Y60" s="196">
        <f ca="1">Horarios!C60</f>
        <v>46188.416666666664</v>
      </c>
      <c r="Z60" s="197" t="str">
        <f>$Z$4</f>
        <v>J1</v>
      </c>
      <c r="AA60" s="198" t="str">
        <f ca="1">A61</f>
        <v>España</v>
      </c>
      <c r="AB60" s="486" t="str" cm="1">
        <f t="array" aca="1" ref="AB60" ca="1">Ver_flag_local</f>
        <v/>
      </c>
      <c r="AC60" s="199">
        <v>3</v>
      </c>
      <c r="AD60" s="200">
        <v>0</v>
      </c>
      <c r="AE60" s="491" t="str" cm="1">
        <f t="array" aca="1" ref="AE60" ca="1">Ver_flag_visit</f>
        <v/>
      </c>
      <c r="AF60" s="201" t="str">
        <f ca="1">A62</f>
        <v>Cabo Verde</v>
      </c>
      <c r="AG60" s="421">
        <f t="shared" ref="AG60:AG65" si="219">IF(NOT(OR(ISBLANK(AC60),ISBLANK(AD60))),1,0)</f>
        <v>1</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Marruecos</v>
      </c>
      <c r="BE60" s="760">
        <f t="shared" ca="1" si="189"/>
        <v>3</v>
      </c>
      <c r="BF60" s="760">
        <f t="shared" ca="1" si="190"/>
        <v>3</v>
      </c>
      <c r="BG60" s="760">
        <f t="shared" ca="1" si="191"/>
        <v>1</v>
      </c>
      <c r="BH60" s="760">
        <f t="shared" ca="1" si="192"/>
        <v>0</v>
      </c>
      <c r="BI60" s="760">
        <f t="shared" ca="1" si="176"/>
        <v>2</v>
      </c>
      <c r="BJ60" s="760">
        <f t="shared" ca="1" si="177"/>
        <v>3</v>
      </c>
      <c r="BK60" s="760">
        <f t="shared" ca="1" si="178"/>
        <v>4</v>
      </c>
      <c r="BL60" s="760">
        <f t="shared" ca="1" si="193"/>
        <v>-1</v>
      </c>
      <c r="BM60" s="760">
        <f t="shared" ca="1" si="194"/>
        <v>8</v>
      </c>
      <c r="BN60" s="760">
        <f t="shared" ca="1" si="195"/>
        <v>8</v>
      </c>
      <c r="BO60" s="750" t="str">
        <f t="shared" si="196"/>
        <v>4C</v>
      </c>
      <c r="BP60" s="750"/>
      <c r="BQ60" s="750"/>
      <c r="BR60" s="760">
        <f t="shared" ca="1" si="179"/>
        <v>3</v>
      </c>
      <c r="BS60" s="760">
        <f t="shared" ca="1" si="197"/>
        <v>6</v>
      </c>
      <c r="BT60" s="760" t="str">
        <f t="shared" ca="1" si="198"/>
        <v>Pos. 6 (4)</v>
      </c>
      <c r="BU60" s="760">
        <f t="shared" ca="1" si="180"/>
        <v>-1</v>
      </c>
      <c r="BV60" s="760">
        <f t="shared" ca="1" si="181"/>
        <v>8</v>
      </c>
      <c r="BW60" s="760" t="str">
        <f t="shared" ca="1" si="182"/>
        <v>-</v>
      </c>
      <c r="BX60" s="760" t="str">
        <f t="shared" ca="1" si="183"/>
        <v>-</v>
      </c>
      <c r="BY60" s="760">
        <f t="shared" ca="1" si="184"/>
        <v>8</v>
      </c>
      <c r="BZ60" s="760" t="str">
        <f t="shared" ca="1" si="185"/>
        <v>-</v>
      </c>
      <c r="CA60" s="760" t="str">
        <f t="shared" ca="1" si="199"/>
        <v>-</v>
      </c>
      <c r="CB60" s="760">
        <f t="shared" ca="1" si="200"/>
        <v>8</v>
      </c>
      <c r="CC60" s="760"/>
      <c r="CD60" s="760">
        <f t="shared" ca="1" si="201"/>
        <v>8</v>
      </c>
      <c r="CE60" s="760" t="str">
        <f t="shared" ca="1" si="202"/>
        <v>-</v>
      </c>
      <c r="CF60" s="760">
        <f t="shared" ca="1" si="203"/>
        <v>8</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3</v>
      </c>
      <c r="DK60" s="756"/>
      <c r="DL60" s="756">
        <f t="shared" ca="1" si="204"/>
        <v>2</v>
      </c>
      <c r="DM60" s="750" t="str">
        <f t="shared" ca="1" si="187"/>
        <v>3.2</v>
      </c>
      <c r="DN60" s="756" cm="1">
        <f t="array" aca="1" ref="DN60" ca="1">OFFSET(Horarios!$P$3,DJ60-1,0,DL60,1)</f>
        <v>3</v>
      </c>
      <c r="DO60" s="756"/>
      <c r="DP60" s="756">
        <v>3</v>
      </c>
      <c r="DQ60" s="756" t="str">
        <f t="shared" ca="1" si="205"/>
        <v>Ghana</v>
      </c>
      <c r="DR60" s="756"/>
      <c r="DS60" s="756"/>
      <c r="DT60" s="756" t="str">
        <f t="shared" ca="1" si="15"/>
        <v>España-Cabo Verde</v>
      </c>
      <c r="DU60" s="756"/>
      <c r="DV60" s="756"/>
      <c r="DW60" s="8"/>
    </row>
    <row r="61" spans="1:127">
      <c r="A61" s="757" t="str">
        <f ca="1">+Equipos!B30</f>
        <v>España</v>
      </c>
      <c r="B61" s="754"/>
      <c r="C61" s="754"/>
      <c r="D61" s="756" t="str">
        <f t="shared" si="206"/>
        <v>Visitante</v>
      </c>
      <c r="E61" s="756" t="str">
        <f t="shared" ca="1" si="207"/>
        <v>-</v>
      </c>
      <c r="F61" s="756" t="str">
        <f t="shared" ca="1" si="208"/>
        <v>-</v>
      </c>
      <c r="G61" s="756"/>
      <c r="H61" s="756" t="str">
        <f t="shared" ca="1" si="209"/>
        <v>-</v>
      </c>
      <c r="I61" s="756" t="str">
        <f t="shared" ca="1" si="210"/>
        <v>-</v>
      </c>
      <c r="J61" s="756"/>
      <c r="K61" s="756" t="str">
        <f t="shared" ca="1" si="211"/>
        <v>-</v>
      </c>
      <c r="L61" s="756" t="str">
        <f t="shared" ca="1" si="212"/>
        <v>-</v>
      </c>
      <c r="M61" s="756"/>
      <c r="N61" s="756" t="str">
        <f t="shared" ca="1" si="213"/>
        <v>-</v>
      </c>
      <c r="O61" s="756" t="str">
        <f t="shared" ca="1" si="214"/>
        <v>-</v>
      </c>
      <c r="P61" s="756"/>
      <c r="Q61" s="756" t="str">
        <f t="shared" ca="1" si="215"/>
        <v>-</v>
      </c>
      <c r="R61" s="756" t="str">
        <f t="shared" ca="1" si="216"/>
        <v>-</v>
      </c>
      <c r="S61" s="756"/>
      <c r="T61" s="756" t="str">
        <f t="shared" ca="1" si="217"/>
        <v>-</v>
      </c>
      <c r="U61" s="756" t="str">
        <f t="shared" ca="1" si="218"/>
        <v>-</v>
      </c>
      <c r="V61" s="178"/>
      <c r="W61" s="810"/>
      <c r="X61" s="195">
        <f ca="1">Horarios!C61</f>
        <v>46188.666666666664</v>
      </c>
      <c r="Y61" s="196">
        <f ca="1">Horarios!C61</f>
        <v>46188.666666666664</v>
      </c>
      <c r="Z61" s="197" t="str">
        <f>$Z$4</f>
        <v>J1</v>
      </c>
      <c r="AA61" s="198" t="str">
        <f ca="1">A63</f>
        <v>Arabia Saudita</v>
      </c>
      <c r="AB61" s="486" t="str" cm="1">
        <f t="array" aca="1" ref="AB61" ca="1">Ver_flag_local</f>
        <v/>
      </c>
      <c r="AC61" s="199">
        <v>1</v>
      </c>
      <c r="AD61" s="200">
        <v>2</v>
      </c>
      <c r="AE61" s="491" t="str" cm="1">
        <f t="array" aca="1" ref="AE61" ca="1">Ver_flag_visit</f>
        <v/>
      </c>
      <c r="AF61" s="201" t="str">
        <f ca="1">A64</f>
        <v>Uruguay</v>
      </c>
      <c r="AG61" s="421">
        <f t="shared" si="219"/>
        <v>1</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Paraguay</v>
      </c>
      <c r="BE61" s="760">
        <f t="shared" ca="1" si="189"/>
        <v>4</v>
      </c>
      <c r="BF61" s="760">
        <f t="shared" ca="1" si="190"/>
        <v>3</v>
      </c>
      <c r="BG61" s="760">
        <f t="shared" ca="1" si="191"/>
        <v>1</v>
      </c>
      <c r="BH61" s="760">
        <f t="shared" ca="1" si="192"/>
        <v>1</v>
      </c>
      <c r="BI61" s="760">
        <f t="shared" ca="1" si="176"/>
        <v>1</v>
      </c>
      <c r="BJ61" s="760">
        <f t="shared" ca="1" si="177"/>
        <v>4</v>
      </c>
      <c r="BK61" s="760">
        <f t="shared" ca="1" si="178"/>
        <v>5</v>
      </c>
      <c r="BL61" s="760">
        <f t="shared" ca="1" si="193"/>
        <v>-1</v>
      </c>
      <c r="BM61" s="760">
        <f t="shared" ca="1" si="194"/>
        <v>5</v>
      </c>
      <c r="BN61" s="760">
        <f t="shared" ca="1" si="195"/>
        <v>5</v>
      </c>
      <c r="BO61" s="750" t="str">
        <f t="shared" si="196"/>
        <v>4D</v>
      </c>
      <c r="BP61" s="750"/>
      <c r="BQ61" s="750"/>
      <c r="BR61" s="760">
        <f t="shared" ca="1" si="179"/>
        <v>4</v>
      </c>
      <c r="BS61" s="760">
        <f t="shared" ca="1" si="197"/>
        <v>1</v>
      </c>
      <c r="BT61" s="760" t="str">
        <f t="shared" ca="1" si="198"/>
        <v>Pos. 1 (5)</v>
      </c>
      <c r="BU61" s="760">
        <f t="shared" ca="1" si="180"/>
        <v>-1</v>
      </c>
      <c r="BV61" s="760">
        <f t="shared" ca="1" si="181"/>
        <v>5</v>
      </c>
      <c r="BW61" s="760" t="str">
        <f t="shared" ca="1" si="182"/>
        <v>-</v>
      </c>
      <c r="BX61" s="760" t="str">
        <f t="shared" ca="1" si="183"/>
        <v>-</v>
      </c>
      <c r="BY61" s="760">
        <f t="shared" ca="1" si="184"/>
        <v>5</v>
      </c>
      <c r="BZ61" s="760" t="str">
        <f t="shared" ca="1" si="185"/>
        <v>-</v>
      </c>
      <c r="CA61" s="760" t="str">
        <f t="shared" ca="1" si="199"/>
        <v>-</v>
      </c>
      <c r="CB61" s="760">
        <f t="shared" ca="1" si="200"/>
        <v>5</v>
      </c>
      <c r="CC61" s="760"/>
      <c r="CD61" s="760">
        <f t="shared" ca="1" si="201"/>
        <v>5</v>
      </c>
      <c r="CE61" s="760" t="str">
        <f t="shared" ca="1" si="202"/>
        <v>-</v>
      </c>
      <c r="CF61" s="760">
        <f t="shared" ca="1" si="203"/>
        <v>5</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3</v>
      </c>
      <c r="DK61" s="756"/>
      <c r="DL61" s="756">
        <f t="shared" ca="1" si="204"/>
        <v>2</v>
      </c>
      <c r="DM61" s="750" t="str">
        <f t="shared" ca="1" si="187"/>
        <v>3.2</v>
      </c>
      <c r="DN61" s="756" cm="1">
        <f t="array" aca="1" ref="DN61" ca="1">OFFSET(Horarios!$P$3,DJ61-1,0,DL61,1)</f>
        <v>3</v>
      </c>
      <c r="DO61" s="756"/>
      <c r="DP61" s="756">
        <v>4</v>
      </c>
      <c r="DQ61" s="756" t="str">
        <f t="shared" ca="1" si="205"/>
        <v>RD Congo</v>
      </c>
      <c r="DR61" s="756"/>
      <c r="DS61" s="756"/>
      <c r="DT61" s="756" t="str">
        <f t="shared" ca="1" si="15"/>
        <v>Arabia Saudita-Uruguay</v>
      </c>
      <c r="DU61" s="756"/>
      <c r="DV61" s="756"/>
      <c r="DW61" s="8"/>
    </row>
    <row r="62" spans="1:127">
      <c r="A62" s="757" t="str">
        <f ca="1">+Equipos!B31</f>
        <v>Cabo Verde</v>
      </c>
      <c r="B62" s="754"/>
      <c r="C62" s="758"/>
      <c r="D62" s="756" t="str">
        <f t="shared" si="206"/>
        <v>Local</v>
      </c>
      <c r="E62" s="756" t="str">
        <f t="shared" ca="1" si="207"/>
        <v>-</v>
      </c>
      <c r="F62" s="756" t="str">
        <f t="shared" ca="1" si="208"/>
        <v>-</v>
      </c>
      <c r="G62" s="756"/>
      <c r="H62" s="756" t="str">
        <f t="shared" ca="1" si="209"/>
        <v>-</v>
      </c>
      <c r="I62" s="756" t="str">
        <f t="shared" ca="1" si="210"/>
        <v>-</v>
      </c>
      <c r="J62" s="756"/>
      <c r="K62" s="756" t="str">
        <f t="shared" ca="1" si="211"/>
        <v>-</v>
      </c>
      <c r="L62" s="756" t="str">
        <f t="shared" ca="1" si="212"/>
        <v>-</v>
      </c>
      <c r="M62" s="756"/>
      <c r="N62" s="756" t="str">
        <f t="shared" ca="1" si="213"/>
        <v>-</v>
      </c>
      <c r="O62" s="756" t="str">
        <f t="shared" ca="1" si="214"/>
        <v>-</v>
      </c>
      <c r="P62" s="756"/>
      <c r="Q62" s="756" t="str">
        <f t="shared" ca="1" si="215"/>
        <v>-</v>
      </c>
      <c r="R62" s="756" t="str">
        <f t="shared" ca="1" si="216"/>
        <v>-</v>
      </c>
      <c r="S62" s="756"/>
      <c r="T62" s="756" t="str">
        <f t="shared" ca="1" si="217"/>
        <v>-</v>
      </c>
      <c r="U62" s="756" t="str">
        <f t="shared" ca="1" si="218"/>
        <v>-</v>
      </c>
      <c r="V62" s="178"/>
      <c r="W62" s="810"/>
      <c r="X62" s="195">
        <f ca="1">Horarios!C62</f>
        <v>46194.416666666664</v>
      </c>
      <c r="Y62" s="196">
        <f ca="1">Horarios!C62</f>
        <v>46194.416666666664</v>
      </c>
      <c r="Z62" s="197" t="str">
        <f>$Z$6</f>
        <v>J2</v>
      </c>
      <c r="AA62" s="198" t="str">
        <f ca="1">A61</f>
        <v>España</v>
      </c>
      <c r="AB62" s="486" t="str" cm="1">
        <f t="array" aca="1" ref="AB62" ca="1">Ver_flag_local</f>
        <v/>
      </c>
      <c r="AC62" s="199">
        <v>4</v>
      </c>
      <c r="AD62" s="200">
        <v>0</v>
      </c>
      <c r="AE62" s="491" t="str" cm="1">
        <f t="array" aca="1" ref="AE62" ca="1">Ver_flag_visit</f>
        <v/>
      </c>
      <c r="AF62" s="201" t="str">
        <f ca="1">A63</f>
        <v>Arabia Saudita</v>
      </c>
      <c r="AG62" s="421">
        <f t="shared" si="219"/>
        <v>1</v>
      </c>
      <c r="AH62" s="202">
        <v>38</v>
      </c>
      <c r="AI62" s="19" t="str">
        <f>AJ62&amp;$B$60</f>
        <v>1H</v>
      </c>
      <c r="AJ62" s="217">
        <v>1</v>
      </c>
      <c r="AK62" s="496" t="str" cm="1">
        <f t="array" aca="1" ref="AK62" ca="1">Ver_flag_visit</f>
        <v/>
      </c>
      <c r="AL62" s="218" t="str">
        <f ca="1">IFERROR(INDEX($BD$6:$BD$53,MATCH(AI62,$BN$6:$BN$53,0)),"")</f>
        <v>España</v>
      </c>
      <c r="AM62" s="219">
        <f t="shared" ref="AM62:AT65" ca="1" si="223">INDEX($BE$6:$BN$53,MATCH($AL62,$BD$6:$BD$53,0),MATCH(AM$5,$BE$5:$BN$5,0))</f>
        <v>7</v>
      </c>
      <c r="AN62" s="220">
        <f t="shared" ca="1" si="223"/>
        <v>3</v>
      </c>
      <c r="AO62" s="220">
        <f t="shared" ca="1" si="223"/>
        <v>2</v>
      </c>
      <c r="AP62" s="220">
        <f t="shared" ca="1" si="223"/>
        <v>1</v>
      </c>
      <c r="AQ62" s="220">
        <f t="shared" ca="1" si="223"/>
        <v>0</v>
      </c>
      <c r="AR62" s="220">
        <f t="shared" ca="1" si="223"/>
        <v>8</v>
      </c>
      <c r="AS62" s="220">
        <f t="shared" ca="1" si="223"/>
        <v>1</v>
      </c>
      <c r="AT62" s="221">
        <f t="shared" ca="1" si="223"/>
        <v>7</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Ecuador</v>
      </c>
      <c r="BE62" s="760">
        <f t="shared" ca="1" si="189"/>
        <v>4</v>
      </c>
      <c r="BF62" s="760">
        <f t="shared" ca="1" si="190"/>
        <v>3</v>
      </c>
      <c r="BG62" s="760">
        <f t="shared" ca="1" si="191"/>
        <v>1</v>
      </c>
      <c r="BH62" s="760">
        <f t="shared" ca="1" si="192"/>
        <v>1</v>
      </c>
      <c r="BI62" s="760">
        <f t="shared" ca="1" si="176"/>
        <v>1</v>
      </c>
      <c r="BJ62" s="760">
        <f t="shared" ca="1" si="177"/>
        <v>7</v>
      </c>
      <c r="BK62" s="760">
        <f t="shared" ca="1" si="178"/>
        <v>6</v>
      </c>
      <c r="BL62" s="760">
        <f t="shared" ca="1" si="193"/>
        <v>1</v>
      </c>
      <c r="BM62" s="760">
        <f t="shared" ca="1" si="194"/>
        <v>1</v>
      </c>
      <c r="BN62" s="760">
        <f t="shared" ca="1" si="195"/>
        <v>1</v>
      </c>
      <c r="BO62" s="750" t="str">
        <f t="shared" si="196"/>
        <v>4E</v>
      </c>
      <c r="BP62" s="750"/>
      <c r="BQ62" s="750"/>
      <c r="BR62" s="760">
        <f t="shared" ca="1" si="179"/>
        <v>4</v>
      </c>
      <c r="BS62" s="760">
        <f t="shared" ca="1" si="197"/>
        <v>1</v>
      </c>
      <c r="BT62" s="760" t="str">
        <f t="shared" ca="1" si="198"/>
        <v>Pos. 1 (5)</v>
      </c>
      <c r="BU62" s="760">
        <f t="shared" ca="1" si="180"/>
        <v>1</v>
      </c>
      <c r="BV62" s="760">
        <f t="shared" ca="1" si="181"/>
        <v>1</v>
      </c>
      <c r="BW62" s="760" t="str">
        <f t="shared" ca="1" si="182"/>
        <v>Pos. 1 (4)</v>
      </c>
      <c r="BX62" s="760">
        <f t="shared" ca="1" si="183"/>
        <v>7</v>
      </c>
      <c r="BY62" s="760">
        <f t="shared" ca="1" si="184"/>
        <v>1</v>
      </c>
      <c r="BZ62" s="760" t="str">
        <f t="shared" ca="1" si="185"/>
        <v>-</v>
      </c>
      <c r="CA62" s="760" t="str">
        <f t="shared" ca="1" si="199"/>
        <v>-</v>
      </c>
      <c r="CB62" s="760">
        <f t="shared" ca="1" si="200"/>
        <v>1</v>
      </c>
      <c r="CC62" s="760"/>
      <c r="CD62" s="760">
        <f t="shared" ca="1" si="201"/>
        <v>1</v>
      </c>
      <c r="CE62" s="760" t="str">
        <f t="shared" ca="1" si="202"/>
        <v>-</v>
      </c>
      <c r="CF62" s="760">
        <f t="shared" ca="1" si="203"/>
        <v>1</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5</v>
      </c>
      <c r="DK62" s="756"/>
      <c r="DL62" s="756">
        <f t="shared" ca="1" si="204"/>
        <v>1</v>
      </c>
      <c r="DM62" s="750" t="str">
        <f t="shared" ca="1" si="187"/>
        <v>5.1</v>
      </c>
      <c r="DN62" s="756" cm="1">
        <f t="array" aca="1" ref="DN62" ca="1">OFFSET(Horarios!$P$3,DJ62-1,0,DL62,1)</f>
        <v>5</v>
      </c>
      <c r="DO62" s="756"/>
      <c r="DP62" s="756">
        <v>5</v>
      </c>
      <c r="DQ62" s="756" t="str">
        <f t="shared" ca="1" si="205"/>
        <v>Paraguay</v>
      </c>
      <c r="DR62" s="756"/>
      <c r="DS62" s="756"/>
      <c r="DT62" s="756" t="str">
        <f t="shared" ca="1" si="15"/>
        <v>España-Arabia Saudita</v>
      </c>
      <c r="DU62" s="756"/>
      <c r="DV62" s="756"/>
      <c r="DW62" s="8"/>
    </row>
    <row r="63" spans="1:127">
      <c r="A63" s="757" t="str">
        <f ca="1">+Equipos!B32</f>
        <v>Arabia Saudita</v>
      </c>
      <c r="B63" s="754"/>
      <c r="C63" s="756"/>
      <c r="D63" s="756" t="str">
        <f t="shared" si="206"/>
        <v>Empate</v>
      </c>
      <c r="E63" s="756" t="str">
        <f t="shared" ca="1" si="207"/>
        <v>-</v>
      </c>
      <c r="F63" s="756" t="str">
        <f t="shared" ca="1" si="208"/>
        <v>-</v>
      </c>
      <c r="G63" s="756"/>
      <c r="H63" s="756" t="str">
        <f t="shared" ca="1" si="209"/>
        <v>-</v>
      </c>
      <c r="I63" s="756" t="str">
        <f t="shared" ca="1" si="210"/>
        <v>-</v>
      </c>
      <c r="J63" s="756"/>
      <c r="K63" s="756" t="str">
        <f t="shared" ca="1" si="211"/>
        <v>-</v>
      </c>
      <c r="L63" s="756" t="str">
        <f t="shared" ca="1" si="212"/>
        <v>-</v>
      </c>
      <c r="M63" s="756"/>
      <c r="N63" s="756" t="str">
        <f t="shared" ca="1" si="213"/>
        <v>-</v>
      </c>
      <c r="O63" s="756" t="str">
        <f t="shared" ca="1" si="214"/>
        <v>-</v>
      </c>
      <c r="P63" s="756"/>
      <c r="Q63" s="756" t="str">
        <f t="shared" ca="1" si="215"/>
        <v>-</v>
      </c>
      <c r="R63" s="756" t="str">
        <f t="shared" ca="1" si="216"/>
        <v>-</v>
      </c>
      <c r="S63" s="756"/>
      <c r="T63" s="756" t="str">
        <f t="shared" ca="1" si="217"/>
        <v>-</v>
      </c>
      <c r="U63" s="756" t="str">
        <f t="shared" ca="1" si="218"/>
        <v>-</v>
      </c>
      <c r="V63" s="178"/>
      <c r="W63" s="810"/>
      <c r="X63" s="195">
        <f ca="1">Horarios!C63</f>
        <v>46194.666666666664</v>
      </c>
      <c r="Y63" s="196">
        <f ca="1">Horarios!C63</f>
        <v>46194.666666666664</v>
      </c>
      <c r="Z63" s="197" t="str">
        <f>$Z$6</f>
        <v>J2</v>
      </c>
      <c r="AA63" s="198" t="str">
        <f ca="1">A64</f>
        <v>Uruguay</v>
      </c>
      <c r="AB63" s="486" t="str" cm="1">
        <f t="array" aca="1" ref="AB63" ca="1">Ver_flag_local</f>
        <v/>
      </c>
      <c r="AC63" s="199">
        <v>1</v>
      </c>
      <c r="AD63" s="200">
        <v>1</v>
      </c>
      <c r="AE63" s="491" t="str" cm="1">
        <f t="array" aca="1" ref="AE63" ca="1">Ver_flag_visit</f>
        <v/>
      </c>
      <c r="AF63" s="201" t="str">
        <f ca="1">A62</f>
        <v>Cabo Verde</v>
      </c>
      <c r="AG63" s="421">
        <f t="shared" si="219"/>
        <v>1</v>
      </c>
      <c r="AH63" s="202">
        <v>37</v>
      </c>
      <c r="AI63" s="19" t="str">
        <f t="shared" ref="AI63:AI65" si="224">AJ63&amp;$B$60</f>
        <v>2H</v>
      </c>
      <c r="AJ63" s="227">
        <v>2</v>
      </c>
      <c r="AK63" s="494" t="str" cm="1">
        <f t="array" aca="1" ref="AK63" ca="1">Ver_flag_visit</f>
        <v/>
      </c>
      <c r="AL63" s="228" t="str">
        <f ca="1">IFERROR(INDEX($BD$6:$BD$53,MATCH(AI63,$BN$6:$BN$53,0)),"")</f>
        <v>Uruguay</v>
      </c>
      <c r="AM63" s="229">
        <f t="shared" ca="1" si="223"/>
        <v>5</v>
      </c>
      <c r="AN63" s="230">
        <f t="shared" ca="1" si="223"/>
        <v>3</v>
      </c>
      <c r="AO63" s="230">
        <f t="shared" ca="1" si="223"/>
        <v>1</v>
      </c>
      <c r="AP63" s="230">
        <f t="shared" ca="1" si="223"/>
        <v>2</v>
      </c>
      <c r="AQ63" s="230">
        <f t="shared" ca="1" si="223"/>
        <v>0</v>
      </c>
      <c r="AR63" s="230">
        <f t="shared" ca="1" si="223"/>
        <v>4</v>
      </c>
      <c r="AS63" s="230">
        <f t="shared" ca="1" si="223"/>
        <v>3</v>
      </c>
      <c r="AT63" s="231">
        <f t="shared" ca="1" si="223"/>
        <v>1</v>
      </c>
      <c r="AU63" s="428">
        <f ca="1">INDEX($DL$6:$DL$53,MATCH(AI63,$DP$6:$DP$53,0))</f>
        <v>1</v>
      </c>
      <c r="AV63" s="223" t="str">
        <f ca="1">INDEX($BD$6:$BD$53,MATCH(AI63,$BM$6:$BM$53,0))</f>
        <v>Uruguay</v>
      </c>
      <c r="AW63" s="435"/>
      <c r="AX63" s="224"/>
      <c r="AY63" s="232" t="str">
        <f ca="1">+A62</f>
        <v>Cabo Verde</v>
      </c>
      <c r="AZ63" s="233"/>
      <c r="BA63" s="181"/>
      <c r="BB63" s="771" t="str">
        <f t="shared" si="188"/>
        <v>3F</v>
      </c>
      <c r="BC63" s="768" t="s">
        <v>4</v>
      </c>
      <c r="BD63" s="756" t="str">
        <f t="shared" ca="1" si="175"/>
        <v>Suecia</v>
      </c>
      <c r="BE63" s="760">
        <f t="shared" ca="1" si="189"/>
        <v>3</v>
      </c>
      <c r="BF63" s="760">
        <f t="shared" ca="1" si="190"/>
        <v>3</v>
      </c>
      <c r="BG63" s="760">
        <f t="shared" ca="1" si="191"/>
        <v>1</v>
      </c>
      <c r="BH63" s="760">
        <f t="shared" ca="1" si="192"/>
        <v>0</v>
      </c>
      <c r="BI63" s="760">
        <f t="shared" ca="1" si="176"/>
        <v>2</v>
      </c>
      <c r="BJ63" s="760">
        <f t="shared" ca="1" si="177"/>
        <v>4</v>
      </c>
      <c r="BK63" s="760">
        <f t="shared" ca="1" si="178"/>
        <v>4</v>
      </c>
      <c r="BL63" s="760">
        <f t="shared" ca="1" si="193"/>
        <v>0</v>
      </c>
      <c r="BM63" s="760">
        <f t="shared" ca="1" si="194"/>
        <v>6</v>
      </c>
      <c r="BN63" s="760">
        <f t="shared" ca="1" si="195"/>
        <v>6</v>
      </c>
      <c r="BO63" s="750" t="str">
        <f t="shared" si="196"/>
        <v>4F</v>
      </c>
      <c r="BP63" s="750"/>
      <c r="BQ63" s="750"/>
      <c r="BR63" s="760">
        <f t="shared" ca="1" si="179"/>
        <v>3</v>
      </c>
      <c r="BS63" s="760">
        <f t="shared" ca="1" si="197"/>
        <v>6</v>
      </c>
      <c r="BT63" s="760" t="str">
        <f t="shared" ca="1" si="198"/>
        <v>Pos. 6 (4)</v>
      </c>
      <c r="BU63" s="760">
        <f t="shared" ca="1" si="180"/>
        <v>0</v>
      </c>
      <c r="BV63" s="760">
        <f t="shared" ca="1" si="181"/>
        <v>6</v>
      </c>
      <c r="BW63" s="760" t="str">
        <f t="shared" ca="1" si="182"/>
        <v>Pos. 6 (2)</v>
      </c>
      <c r="BX63" s="760">
        <f t="shared" ca="1" si="183"/>
        <v>4</v>
      </c>
      <c r="BY63" s="760">
        <f t="shared" ca="1" si="184"/>
        <v>6</v>
      </c>
      <c r="BZ63" s="760" t="str">
        <f t="shared" ca="1" si="185"/>
        <v>-</v>
      </c>
      <c r="CA63" s="760" t="str">
        <f t="shared" ca="1" si="199"/>
        <v>-</v>
      </c>
      <c r="CB63" s="760">
        <f t="shared" ca="1" si="200"/>
        <v>6</v>
      </c>
      <c r="CC63" s="760"/>
      <c r="CD63" s="760">
        <f t="shared" ca="1" si="201"/>
        <v>6</v>
      </c>
      <c r="CE63" s="760" t="str">
        <f t="shared" ca="1" si="202"/>
        <v>-</v>
      </c>
      <c r="CF63" s="760">
        <f t="shared" ca="1" si="203"/>
        <v>6</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6</v>
      </c>
      <c r="DK63" s="756"/>
      <c r="DL63" s="756">
        <f t="shared" ca="1" si="204"/>
        <v>1</v>
      </c>
      <c r="DM63" s="750" t="str">
        <f t="shared" ca="1" si="187"/>
        <v>6.1</v>
      </c>
      <c r="DN63" s="756" cm="1">
        <f t="array" aca="1" ref="DN63" ca="1">OFFSET(Horarios!$P$3,DJ63-1,0,DL63,1)</f>
        <v>6</v>
      </c>
      <c r="DO63" s="756"/>
      <c r="DP63" s="756">
        <v>6</v>
      </c>
      <c r="DQ63" s="756" t="str">
        <f t="shared" ca="1" si="205"/>
        <v>Suecia</v>
      </c>
      <c r="DR63" s="756"/>
      <c r="DS63" s="756"/>
      <c r="DT63" s="756" t="str">
        <f t="shared" ca="1" si="15"/>
        <v>Uruguay-Cabo Verde</v>
      </c>
      <c r="DU63" s="756"/>
      <c r="DV63" s="756"/>
      <c r="DW63" s="8"/>
    </row>
    <row r="64" spans="1:127">
      <c r="A64" s="757" t="str">
        <f ca="1">+Equipos!B33</f>
        <v>Uruguay</v>
      </c>
      <c r="B64" s="754"/>
      <c r="C64" s="756"/>
      <c r="D64" s="756" t="str">
        <f t="shared" si="206"/>
        <v>Visitante</v>
      </c>
      <c r="E64" s="756" t="str">
        <f t="shared" ca="1" si="207"/>
        <v>-</v>
      </c>
      <c r="F64" s="756" t="str">
        <f t="shared" ca="1" si="208"/>
        <v>-</v>
      </c>
      <c r="G64" s="756"/>
      <c r="H64" s="756" t="str">
        <f t="shared" ca="1" si="209"/>
        <v>-</v>
      </c>
      <c r="I64" s="756" t="str">
        <f t="shared" ca="1" si="210"/>
        <v>-</v>
      </c>
      <c r="J64" s="756"/>
      <c r="K64" s="756" t="str">
        <f t="shared" ca="1" si="211"/>
        <v>-</v>
      </c>
      <c r="L64" s="756" t="str">
        <f t="shared" ca="1" si="212"/>
        <v>-</v>
      </c>
      <c r="M64" s="756"/>
      <c r="N64" s="756" t="str">
        <f t="shared" ca="1" si="213"/>
        <v>-</v>
      </c>
      <c r="O64" s="756" t="str">
        <f t="shared" ca="1" si="214"/>
        <v>-</v>
      </c>
      <c r="P64" s="756"/>
      <c r="Q64" s="756" t="str">
        <f t="shared" ca="1" si="215"/>
        <v>-</v>
      </c>
      <c r="R64" s="756" t="str">
        <f t="shared" ca="1" si="216"/>
        <v>-</v>
      </c>
      <c r="S64" s="756"/>
      <c r="T64" s="756" t="str">
        <f t="shared" ca="1" si="217"/>
        <v>-</v>
      </c>
      <c r="U64" s="756" t="str">
        <f t="shared" ca="1" si="218"/>
        <v>-</v>
      </c>
      <c r="V64" s="178"/>
      <c r="W64" s="810"/>
      <c r="X64" s="195">
        <f ca="1">Horarios!C64</f>
        <v>46199.75</v>
      </c>
      <c r="Y64" s="196">
        <f ca="1">Horarios!C64</f>
        <v>46199.75</v>
      </c>
      <c r="Z64" s="197" t="str">
        <f>$Z$8</f>
        <v>J3</v>
      </c>
      <c r="AA64" s="198" t="str">
        <f ca="1">A62</f>
        <v>Cabo Verde</v>
      </c>
      <c r="AB64" s="486" t="str" cm="1">
        <f t="array" aca="1" ref="AB64" ca="1">Ver_flag_local</f>
        <v/>
      </c>
      <c r="AC64" s="199">
        <v>1</v>
      </c>
      <c r="AD64" s="200">
        <v>2</v>
      </c>
      <c r="AE64" s="491" t="str" cm="1">
        <f t="array" aca="1" ref="AE64" ca="1">Ver_flag_visit</f>
        <v/>
      </c>
      <c r="AF64" s="201" t="str">
        <f ca="1">A63</f>
        <v>Arabia Saudita</v>
      </c>
      <c r="AG64" s="421">
        <f t="shared" si="219"/>
        <v>1</v>
      </c>
      <c r="AH64" s="202">
        <v>65</v>
      </c>
      <c r="AI64" s="19" t="str">
        <f t="shared" si="224"/>
        <v>3H</v>
      </c>
      <c r="AJ64" s="227">
        <v>3</v>
      </c>
      <c r="AK64" s="494" t="str" cm="1">
        <f t="array" aca="1" ref="AK64" ca="1">Ver_flag_visit</f>
        <v/>
      </c>
      <c r="AL64" s="228" t="str">
        <f ca="1">IFERROR(INDEX($BD$6:$BD$53,MATCH(AI64,$BN$6:$BN$53,0)),"")</f>
        <v>Arabia Saudita</v>
      </c>
      <c r="AM64" s="229">
        <f t="shared" ca="1" si="223"/>
        <v>3</v>
      </c>
      <c r="AN64" s="230">
        <f t="shared" ca="1" si="223"/>
        <v>3</v>
      </c>
      <c r="AO64" s="230">
        <f t="shared" ca="1" si="223"/>
        <v>1</v>
      </c>
      <c r="AP64" s="230">
        <f t="shared" ca="1" si="223"/>
        <v>0</v>
      </c>
      <c r="AQ64" s="230">
        <f t="shared" ca="1" si="223"/>
        <v>2</v>
      </c>
      <c r="AR64" s="230">
        <f t="shared" ca="1" si="223"/>
        <v>3</v>
      </c>
      <c r="AS64" s="230">
        <f t="shared" ca="1" si="223"/>
        <v>7</v>
      </c>
      <c r="AT64" s="231">
        <f t="shared" ca="1" si="223"/>
        <v>-4</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Egipto</v>
      </c>
      <c r="BE64" s="760">
        <f t="shared" ca="1" si="189"/>
        <v>2</v>
      </c>
      <c r="BF64" s="760">
        <f t="shared" ca="1" si="190"/>
        <v>3</v>
      </c>
      <c r="BG64" s="760">
        <f t="shared" ca="1" si="191"/>
        <v>0</v>
      </c>
      <c r="BH64" s="760">
        <f t="shared" ca="1" si="192"/>
        <v>2</v>
      </c>
      <c r="BI64" s="760">
        <f t="shared" ca="1" si="176"/>
        <v>1</v>
      </c>
      <c r="BJ64" s="760">
        <f t="shared" ca="1" si="177"/>
        <v>3</v>
      </c>
      <c r="BK64" s="760">
        <f t="shared" ca="1" si="178"/>
        <v>5</v>
      </c>
      <c r="BL64" s="760">
        <f t="shared" ca="1" si="193"/>
        <v>-2</v>
      </c>
      <c r="BM64" s="760">
        <f t="shared" ca="1" si="194"/>
        <v>10</v>
      </c>
      <c r="BN64" s="760">
        <f t="shared" ca="1" si="195"/>
        <v>10</v>
      </c>
      <c r="BO64" s="750" t="str">
        <f t="shared" si="196"/>
        <v>4G</v>
      </c>
      <c r="BP64" s="750"/>
      <c r="BQ64" s="750"/>
      <c r="BR64" s="760">
        <f t="shared" ca="1" si="179"/>
        <v>2</v>
      </c>
      <c r="BS64" s="760">
        <f t="shared" ca="1" si="197"/>
        <v>10</v>
      </c>
      <c r="BT64" s="760" t="str">
        <f t="shared" ca="1" si="198"/>
        <v>Pos. 10 (2)</v>
      </c>
      <c r="BU64" s="760">
        <f t="shared" ca="1" si="180"/>
        <v>-2</v>
      </c>
      <c r="BV64" s="760">
        <f t="shared" ca="1" si="181"/>
        <v>10</v>
      </c>
      <c r="BW64" s="760" t="str">
        <f t="shared" ca="1" si="182"/>
        <v>Pos. 10 (2)</v>
      </c>
      <c r="BX64" s="760">
        <f t="shared" ca="1" si="183"/>
        <v>3</v>
      </c>
      <c r="BY64" s="760">
        <f t="shared" ca="1" si="184"/>
        <v>10</v>
      </c>
      <c r="BZ64" s="760" t="str">
        <f t="shared" ca="1" si="185"/>
        <v>-</v>
      </c>
      <c r="CA64" s="760" t="str">
        <f t="shared" ca="1" si="199"/>
        <v>-</v>
      </c>
      <c r="CB64" s="760">
        <f t="shared" ca="1" si="200"/>
        <v>10</v>
      </c>
      <c r="CC64" s="760"/>
      <c r="CD64" s="760">
        <f t="shared" ca="1" si="201"/>
        <v>10</v>
      </c>
      <c r="CE64" s="760" t="str">
        <f t="shared" ca="1" si="202"/>
        <v>-</v>
      </c>
      <c r="CF64" s="760">
        <f t="shared" ca="1" si="203"/>
        <v>10</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7</v>
      </c>
      <c r="DK64" s="756"/>
      <c r="DL64" s="756">
        <f t="shared" ca="1" si="204"/>
        <v>1</v>
      </c>
      <c r="DM64" s="750" t="str">
        <f t="shared" ca="1" si="187"/>
        <v>7.1</v>
      </c>
      <c r="DN64" s="756" cm="1">
        <f t="array" aca="1" ref="DN64" ca="1">OFFSET(Horarios!$P$3,DJ64-1,0,DL64,1)</f>
        <v>7</v>
      </c>
      <c r="DO64" s="756"/>
      <c r="DP64" s="756">
        <v>7</v>
      </c>
      <c r="DQ64" s="756" t="str">
        <f t="shared" ca="1" si="205"/>
        <v>República Checa</v>
      </c>
      <c r="DR64" s="756"/>
      <c r="DS64" s="756"/>
      <c r="DT64" s="756" t="str">
        <f t="shared" ca="1" si="15"/>
        <v>Cabo Verde-Arabia Saudita</v>
      </c>
      <c r="DU64" s="756"/>
      <c r="DV64" s="756"/>
      <c r="DW64" s="8"/>
    </row>
    <row r="65" spans="1:127" ht="15" thickBot="1">
      <c r="A65" s="751"/>
      <c r="B65" s="754"/>
      <c r="C65" s="751"/>
      <c r="D65" s="756" t="str">
        <f t="shared" si="206"/>
        <v>Empate</v>
      </c>
      <c r="E65" s="756" t="str">
        <f t="shared" ca="1" si="207"/>
        <v>-</v>
      </c>
      <c r="F65" s="756" t="str">
        <f t="shared" ca="1" si="208"/>
        <v>-</v>
      </c>
      <c r="G65" s="756"/>
      <c r="H65" s="756" t="str">
        <f t="shared" ca="1" si="209"/>
        <v>-</v>
      </c>
      <c r="I65" s="756" t="str">
        <f t="shared" ca="1" si="210"/>
        <v>-</v>
      </c>
      <c r="J65" s="756"/>
      <c r="K65" s="756" t="str">
        <f t="shared" ca="1" si="211"/>
        <v>-</v>
      </c>
      <c r="L65" s="756" t="str">
        <f t="shared" ca="1" si="212"/>
        <v>-</v>
      </c>
      <c r="M65" s="756"/>
      <c r="N65" s="756" t="str">
        <f t="shared" ca="1" si="213"/>
        <v>-</v>
      </c>
      <c r="O65" s="756" t="str">
        <f t="shared" ca="1" si="214"/>
        <v>-</v>
      </c>
      <c r="P65" s="756"/>
      <c r="Q65" s="756" t="str">
        <f t="shared" ca="1" si="215"/>
        <v>-</v>
      </c>
      <c r="R65" s="756" t="str">
        <f t="shared" ca="1" si="216"/>
        <v>-</v>
      </c>
      <c r="S65" s="756"/>
      <c r="T65" s="756" t="str">
        <f t="shared" ca="1" si="217"/>
        <v>-</v>
      </c>
      <c r="U65" s="756" t="str">
        <f t="shared" ca="1" si="218"/>
        <v>-</v>
      </c>
      <c r="V65" s="178"/>
      <c r="W65" s="811"/>
      <c r="X65" s="234">
        <f ca="1">Horarios!C65</f>
        <v>46199.75</v>
      </c>
      <c r="Y65" s="235">
        <f ca="1">Horarios!C65</f>
        <v>46199.75</v>
      </c>
      <c r="Z65" s="236" t="str">
        <f>$Z$8</f>
        <v>J3</v>
      </c>
      <c r="AA65" s="237" t="str">
        <f ca="1">A64</f>
        <v>Uruguay</v>
      </c>
      <c r="AB65" s="487" t="str" cm="1">
        <f t="array" aca="1" ref="AB65" ca="1">Ver_flag_local</f>
        <v/>
      </c>
      <c r="AC65" s="238">
        <v>1</v>
      </c>
      <c r="AD65" s="239">
        <v>1</v>
      </c>
      <c r="AE65" s="492" t="str" cm="1">
        <f t="array" aca="1" ref="AE65" ca="1">Ver_flag_visit</f>
        <v/>
      </c>
      <c r="AF65" s="240" t="str">
        <f ca="1">A61</f>
        <v>España</v>
      </c>
      <c r="AG65" s="421">
        <f t="shared" si="219"/>
        <v>1</v>
      </c>
      <c r="AH65" s="202">
        <v>66</v>
      </c>
      <c r="AI65" s="19" t="str">
        <f t="shared" si="224"/>
        <v>4H</v>
      </c>
      <c r="AJ65" s="241">
        <v>4</v>
      </c>
      <c r="AK65" s="495" t="str" cm="1">
        <f t="array" aca="1" ref="AK65" ca="1">Ver_flag_visit</f>
        <v/>
      </c>
      <c r="AL65" s="242" t="str">
        <f ca="1">IFERROR(INDEX($BD$6:$BD$53,MATCH(AI65,$BN$6:$BN$53,0)),"")</f>
        <v>Cabo Verde</v>
      </c>
      <c r="AM65" s="243">
        <f t="shared" ca="1" si="223"/>
        <v>1</v>
      </c>
      <c r="AN65" s="244">
        <f t="shared" ca="1" si="223"/>
        <v>3</v>
      </c>
      <c r="AO65" s="244">
        <f t="shared" ca="1" si="223"/>
        <v>0</v>
      </c>
      <c r="AP65" s="244">
        <f t="shared" ca="1" si="223"/>
        <v>1</v>
      </c>
      <c r="AQ65" s="244">
        <f t="shared" ca="1" si="223"/>
        <v>2</v>
      </c>
      <c r="AR65" s="244">
        <f t="shared" ca="1" si="223"/>
        <v>2</v>
      </c>
      <c r="AS65" s="244">
        <f t="shared" ca="1" si="223"/>
        <v>6</v>
      </c>
      <c r="AT65" s="245">
        <f t="shared" ca="1" si="223"/>
        <v>-4</v>
      </c>
      <c r="AU65" s="428">
        <f ca="1">INDEX($DL$6:$DL$53,MATCH(AI65,$DP$6:$DP$53,0))</f>
        <v>1</v>
      </c>
      <c r="AV65" s="223" t="str">
        <f ca="1">INDEX($BD$6:$BD$53,MATCH(AI65,$BM$6:$BM$53,0))</f>
        <v>Cabo Verde</v>
      </c>
      <c r="AW65" s="435"/>
      <c r="AX65" s="224"/>
      <c r="AY65" s="246" t="str">
        <f ca="1">+A64</f>
        <v>Uruguay</v>
      </c>
      <c r="AZ65" s="247"/>
      <c r="BA65" s="181"/>
      <c r="BB65" s="771" t="str">
        <f t="shared" si="188"/>
        <v>3H</v>
      </c>
      <c r="BC65" s="768" t="s">
        <v>437</v>
      </c>
      <c r="BD65" s="756" t="str">
        <f t="shared" ca="1" si="175"/>
        <v>Arabia Saudita</v>
      </c>
      <c r="BE65" s="760">
        <f t="shared" ca="1" si="189"/>
        <v>3</v>
      </c>
      <c r="BF65" s="760">
        <f t="shared" ca="1" si="190"/>
        <v>3</v>
      </c>
      <c r="BG65" s="760">
        <f t="shared" ca="1" si="191"/>
        <v>1</v>
      </c>
      <c r="BH65" s="760">
        <f t="shared" ca="1" si="192"/>
        <v>0</v>
      </c>
      <c r="BI65" s="760">
        <f t="shared" ca="1" si="176"/>
        <v>2</v>
      </c>
      <c r="BJ65" s="760">
        <f t="shared" ca="1" si="177"/>
        <v>3</v>
      </c>
      <c r="BK65" s="760">
        <f t="shared" ca="1" si="178"/>
        <v>7</v>
      </c>
      <c r="BL65" s="760">
        <f t="shared" ca="1" si="193"/>
        <v>-4</v>
      </c>
      <c r="BM65" s="760">
        <f t="shared" ca="1" si="194"/>
        <v>9</v>
      </c>
      <c r="BN65" s="760">
        <f t="shared" ca="1" si="195"/>
        <v>9</v>
      </c>
      <c r="BO65" s="750" t="str">
        <f t="shared" si="196"/>
        <v>4H</v>
      </c>
      <c r="BP65" s="750"/>
      <c r="BQ65" s="750"/>
      <c r="BR65" s="760">
        <f t="shared" ca="1" si="179"/>
        <v>3</v>
      </c>
      <c r="BS65" s="760">
        <f t="shared" ca="1" si="197"/>
        <v>6</v>
      </c>
      <c r="BT65" s="760" t="str">
        <f t="shared" ca="1" si="198"/>
        <v>Pos. 6 (4)</v>
      </c>
      <c r="BU65" s="760">
        <f t="shared" ca="1" si="180"/>
        <v>-4</v>
      </c>
      <c r="BV65" s="760">
        <f t="shared" ca="1" si="181"/>
        <v>9</v>
      </c>
      <c r="BW65" s="760" t="str">
        <f t="shared" ca="1" si="182"/>
        <v>-</v>
      </c>
      <c r="BX65" s="760" t="str">
        <f t="shared" ca="1" si="183"/>
        <v>-</v>
      </c>
      <c r="BY65" s="760">
        <f t="shared" ca="1" si="184"/>
        <v>9</v>
      </c>
      <c r="BZ65" s="760" t="str">
        <f t="shared" ca="1" si="185"/>
        <v>-</v>
      </c>
      <c r="CA65" s="760" t="str">
        <f t="shared" ca="1" si="199"/>
        <v>-</v>
      </c>
      <c r="CB65" s="760">
        <f t="shared" ca="1" si="200"/>
        <v>9</v>
      </c>
      <c r="CC65" s="760"/>
      <c r="CD65" s="760">
        <f t="shared" ca="1" si="201"/>
        <v>9</v>
      </c>
      <c r="CE65" s="760" t="str">
        <f t="shared" ca="1" si="202"/>
        <v>-</v>
      </c>
      <c r="CF65" s="760">
        <f t="shared" ca="1" si="203"/>
        <v>9</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8</v>
      </c>
      <c r="DK65" s="756"/>
      <c r="DL65" s="756">
        <f t="shared" ca="1" si="204"/>
        <v>1</v>
      </c>
      <c r="DM65" s="750" t="str">
        <f t="shared" ca="1" si="187"/>
        <v>8.1</v>
      </c>
      <c r="DN65" s="756" cm="1">
        <f t="array" aca="1" ref="DN65" ca="1">OFFSET(Horarios!$P$3,DJ65-1,0,DL65,1)</f>
        <v>8</v>
      </c>
      <c r="DO65" s="756"/>
      <c r="DP65" s="756">
        <v>8</v>
      </c>
      <c r="DQ65" s="756" t="str">
        <f t="shared" ca="1" si="205"/>
        <v>Marruecos</v>
      </c>
      <c r="DR65" s="756"/>
      <c r="DS65" s="756"/>
      <c r="DT65" s="756" t="str">
        <f t="shared" ca="1" si="15"/>
        <v>Uruguay-España</v>
      </c>
      <c r="DU65" s="756"/>
      <c r="DV65" s="756"/>
      <c r="DW65" s="8"/>
    </row>
    <row r="66" spans="1:127" ht="15" thickBot="1">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Senegal</v>
      </c>
      <c r="BE66" s="760">
        <f t="shared" ca="1" si="189"/>
        <v>4</v>
      </c>
      <c r="BF66" s="760">
        <f t="shared" ca="1" si="190"/>
        <v>3</v>
      </c>
      <c r="BG66" s="760">
        <f t="shared" ca="1" si="191"/>
        <v>1</v>
      </c>
      <c r="BH66" s="760">
        <f t="shared" ca="1" si="192"/>
        <v>1</v>
      </c>
      <c r="BI66" s="760">
        <f t="shared" ca="1" si="176"/>
        <v>1</v>
      </c>
      <c r="BJ66" s="760">
        <f t="shared" ca="1" si="177"/>
        <v>5</v>
      </c>
      <c r="BK66" s="760">
        <f t="shared" ca="1" si="178"/>
        <v>4</v>
      </c>
      <c r="BL66" s="760">
        <f t="shared" ca="1" si="193"/>
        <v>1</v>
      </c>
      <c r="BM66" s="760">
        <f t="shared" ca="1" si="194"/>
        <v>2</v>
      </c>
      <c r="BN66" s="760">
        <f t="shared" ca="1" si="195"/>
        <v>2</v>
      </c>
      <c r="BO66" s="750" t="str">
        <f t="shared" si="196"/>
        <v>4I</v>
      </c>
      <c r="BP66" s="750"/>
      <c r="BQ66" s="750"/>
      <c r="BR66" s="760">
        <f t="shared" ca="1" si="179"/>
        <v>4</v>
      </c>
      <c r="BS66" s="760">
        <f t="shared" ca="1" si="197"/>
        <v>1</v>
      </c>
      <c r="BT66" s="760" t="str">
        <f t="shared" ca="1" si="198"/>
        <v>Pos. 1 (5)</v>
      </c>
      <c r="BU66" s="760">
        <f t="shared" ca="1" si="180"/>
        <v>1</v>
      </c>
      <c r="BV66" s="760">
        <f t="shared" ca="1" si="181"/>
        <v>1</v>
      </c>
      <c r="BW66" s="760" t="str">
        <f t="shared" ca="1" si="182"/>
        <v>Pos. 1 (4)</v>
      </c>
      <c r="BX66" s="760">
        <f t="shared" ca="1" si="183"/>
        <v>5</v>
      </c>
      <c r="BY66" s="760">
        <f t="shared" ca="1" si="184"/>
        <v>2</v>
      </c>
      <c r="BZ66" s="760" t="str">
        <f t="shared" ca="1" si="185"/>
        <v>-</v>
      </c>
      <c r="CA66" s="760" t="str">
        <f t="shared" ca="1" si="199"/>
        <v>-</v>
      </c>
      <c r="CB66" s="760">
        <f t="shared" ca="1" si="200"/>
        <v>2</v>
      </c>
      <c r="CC66" s="760"/>
      <c r="CD66" s="760">
        <f t="shared" ca="1" si="201"/>
        <v>2</v>
      </c>
      <c r="CE66" s="760" t="str">
        <f t="shared" ca="1" si="202"/>
        <v>-</v>
      </c>
      <c r="CF66" s="760">
        <f t="shared" ca="1" si="203"/>
        <v>2</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9</v>
      </c>
      <c r="DK66" s="756"/>
      <c r="DL66" s="756">
        <f t="shared" ca="1" si="204"/>
        <v>1</v>
      </c>
      <c r="DM66" s="750" t="str">
        <f t="shared" ca="1" si="187"/>
        <v>9.1</v>
      </c>
      <c r="DN66" s="756" cm="1">
        <f t="array" aca="1" ref="DN66" ca="1">OFFSET(Horarios!$P$3,DJ66-1,0,DL66,1)</f>
        <v>9</v>
      </c>
      <c r="DO66" s="756"/>
      <c r="DP66" s="756">
        <v>9</v>
      </c>
      <c r="DQ66" s="756" t="str">
        <f t="shared" ca="1" si="205"/>
        <v>Arabia Saudita</v>
      </c>
      <c r="DR66" s="756"/>
      <c r="DS66" s="756"/>
      <c r="DT66" s="756" t="str">
        <f t="shared" si="15"/>
        <v>-</v>
      </c>
      <c r="DU66" s="756"/>
      <c r="DV66" s="756"/>
      <c r="DW66" s="8"/>
    </row>
    <row r="67" spans="1:127" ht="15" thickBot="1">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Argelia</v>
      </c>
      <c r="BE67" s="760">
        <f t="shared" ca="1" si="189"/>
        <v>2</v>
      </c>
      <c r="BF67" s="760">
        <f t="shared" ca="1" si="190"/>
        <v>3</v>
      </c>
      <c r="BG67" s="760">
        <f t="shared" ca="1" si="191"/>
        <v>0</v>
      </c>
      <c r="BH67" s="760">
        <f t="shared" ca="1" si="192"/>
        <v>2</v>
      </c>
      <c r="BI67" s="760">
        <f t="shared" ca="1" si="176"/>
        <v>1</v>
      </c>
      <c r="BJ67" s="760">
        <f t="shared" ca="1" si="177"/>
        <v>1</v>
      </c>
      <c r="BK67" s="760">
        <f t="shared" ca="1" si="178"/>
        <v>3</v>
      </c>
      <c r="BL67" s="760">
        <f t="shared" ca="1" si="193"/>
        <v>-2</v>
      </c>
      <c r="BM67" s="760">
        <f t="shared" ca="1" si="194"/>
        <v>11</v>
      </c>
      <c r="BN67" s="760">
        <f t="shared" ca="1" si="195"/>
        <v>11</v>
      </c>
      <c r="BO67" s="750" t="str">
        <f t="shared" si="196"/>
        <v>4J</v>
      </c>
      <c r="BP67" s="750"/>
      <c r="BQ67" s="750"/>
      <c r="BR67" s="760">
        <f t="shared" ca="1" si="179"/>
        <v>2</v>
      </c>
      <c r="BS67" s="760">
        <f t="shared" ca="1" si="197"/>
        <v>10</v>
      </c>
      <c r="BT67" s="760" t="str">
        <f t="shared" ca="1" si="198"/>
        <v>Pos. 10 (2)</v>
      </c>
      <c r="BU67" s="760">
        <f t="shared" ca="1" si="180"/>
        <v>-2</v>
      </c>
      <c r="BV67" s="760">
        <f t="shared" ca="1" si="181"/>
        <v>10</v>
      </c>
      <c r="BW67" s="760" t="str">
        <f t="shared" ca="1" si="182"/>
        <v>Pos. 10 (2)</v>
      </c>
      <c r="BX67" s="760">
        <f t="shared" ca="1" si="183"/>
        <v>1</v>
      </c>
      <c r="BY67" s="760">
        <f t="shared" ca="1" si="184"/>
        <v>11</v>
      </c>
      <c r="BZ67" s="760" t="str">
        <f t="shared" ca="1" si="185"/>
        <v>-</v>
      </c>
      <c r="CA67" s="760" t="str">
        <f t="shared" ca="1" si="199"/>
        <v>-</v>
      </c>
      <c r="CB67" s="760">
        <f t="shared" ca="1" si="200"/>
        <v>11</v>
      </c>
      <c r="CC67" s="760"/>
      <c r="CD67" s="760">
        <f t="shared" ca="1" si="201"/>
        <v>11</v>
      </c>
      <c r="CE67" s="760" t="str">
        <f t="shared" ca="1" si="202"/>
        <v>-</v>
      </c>
      <c r="CF67" s="760">
        <f t="shared" ca="1" si="203"/>
        <v>11</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10</v>
      </c>
      <c r="DK67" s="756"/>
      <c r="DL67" s="756">
        <f t="shared" ca="1" si="204"/>
        <v>1</v>
      </c>
      <c r="DM67" s="750" t="str">
        <f t="shared" ca="1" si="187"/>
        <v>10.1</v>
      </c>
      <c r="DN67" s="756" cm="1">
        <f t="array" aca="1" ref="DN67" ca="1">OFFSET(Horarios!$P$3,DJ67-1,0,DL67,1)</f>
        <v>10</v>
      </c>
      <c r="DO67" s="756"/>
      <c r="DP67" s="756">
        <v>10</v>
      </c>
      <c r="DQ67" s="756" t="str">
        <f t="shared" ca="1" si="205"/>
        <v>Egipto</v>
      </c>
      <c r="DR67" s="756"/>
      <c r="DS67" s="756"/>
      <c r="DT67" s="756" t="str">
        <f t="shared" si="15"/>
        <v>Casa-Fuera</v>
      </c>
      <c r="DU67" s="756"/>
      <c r="DV67" s="756"/>
      <c r="DW67" s="8"/>
    </row>
    <row r="68" spans="1:127" ht="15" customHeight="1" thickBot="1">
      <c r="A68" s="753" t="s">
        <v>30</v>
      </c>
      <c r="B68" s="754" t="s">
        <v>438</v>
      </c>
      <c r="C68" s="755">
        <f>COUNTIF(Equipos!$C$2:$C$49,WORLDCUP!B68)</f>
        <v>4</v>
      </c>
      <c r="D68" s="756" t="str">
        <f t="shared" ref="D68:D73" si="225">IF(OR(AC68="",AD68=""),"Pendiente",IF(AC68&gt;AD68,"Local",IF(AC68&lt;AD68,"Visitante","Empate")))</f>
        <v>Local</v>
      </c>
      <c r="E68" s="756" t="str">
        <f t="shared" ref="E68:E73" ca="1" si="226">IF(D68="Pendiente","-",INDEX($BT$6:$BT$53,MATCH($AA68,$BD$6:$BD$53,0)))</f>
        <v>-</v>
      </c>
      <c r="F68" s="756" t="str">
        <f t="shared" ref="F68:F73" ca="1" si="227">IF(D68="Pendiente","-",INDEX($BT$6:$BT$53,MATCH($AF68,$BD$6:$BD$53,0)))</f>
        <v>P.2 (2)</v>
      </c>
      <c r="G68" s="756"/>
      <c r="H68" s="756" t="str">
        <f t="shared" ref="H68:H73" ca="1" si="228">IF(D68="Pendiente","-",INDEX($BZ$6:$BZ$53,MATCH($AA68,$BD$6:$BD$53,0)))</f>
        <v>-</v>
      </c>
      <c r="I68" s="756" t="str">
        <f t="shared" ref="I68:I73" ca="1" si="229">IF(D68="Pendiente","-",INDEX($BZ$6:$BZ$53,MATCH($AF68,$BD$6:$BD$53,0)))</f>
        <v>P.2 (2)</v>
      </c>
      <c r="J68" s="756"/>
      <c r="K68" s="756" t="str">
        <f t="shared" ref="K68:K73" ca="1" si="230">IF(D68="Pendiente","-",INDEX($CE$6:$CE$53,MATCH($AA68,$BD$6:$BD$53,0)))</f>
        <v>-</v>
      </c>
      <c r="L68" s="756" t="str">
        <f t="shared" ref="L68:L73" ca="1" si="231">IF(D68="Pendiente","-",INDEX($CE$6:$CE$53,MATCH($AF68,$BD$6:$BD$53,0)))</f>
        <v>P.2 (2)</v>
      </c>
      <c r="M68" s="756"/>
      <c r="N68" s="756" t="str">
        <f t="shared" ref="N68:N73" ca="1" si="232">IF(D68="Pendiente","-",INDEX($CH$6:$CH$53,MATCH($AA68,$BD$6:$BD$53,0)))</f>
        <v>-</v>
      </c>
      <c r="O68" s="756" t="str">
        <f t="shared" ref="O68:O73" ca="1" si="233">IF(D68="Pendiente","-",INDEX($CH$6:$CH$53,MATCH($AF68,$BD$6:$BD$53,0)))</f>
        <v>P.2 (2)</v>
      </c>
      <c r="P68" s="756"/>
      <c r="Q68" s="756" t="str">
        <f t="shared" ref="Q68:Q73" ca="1" si="234">IF(D68="Pendiente","-",INDEX($CN$6:$CN$53,MATCH($AA68,$BD$6:$BD$53,0)))</f>
        <v>-</v>
      </c>
      <c r="R68" s="756" t="str">
        <f t="shared" ref="R68:R73" ca="1" si="235">IF(D68="Pendiente","-",INDEX($CN$6:$CN$53,MATCH($AF68,$BD$6:$BD$53,0)))</f>
        <v>P.2 (2)</v>
      </c>
      <c r="S68" s="756"/>
      <c r="T68" s="756" t="str">
        <f t="shared" ref="T68:T73" ca="1" si="236">IF(D68="Pendiente","-",INDEX($CS$6:$CS$53,MATCH($AA68,$BD$6:$BD$53,0)))</f>
        <v>-</v>
      </c>
      <c r="U68" s="756" t="str">
        <f t="shared" ref="U68:U73" ca="1" si="237">IF(D68="Pendiente","-",INDEX($CS$6:$CS$53,MATCH($AF68,$BD$6:$BD$53,0)))</f>
        <v>P.2 (2)</v>
      </c>
      <c r="V68" s="178"/>
      <c r="W68" s="816" t="s">
        <v>438</v>
      </c>
      <c r="X68" s="195">
        <f ca="1">Horarios!C68</f>
        <v>46189.541666666664</v>
      </c>
      <c r="Y68" s="196">
        <f ca="1">Horarios!C68</f>
        <v>46189.541666666664</v>
      </c>
      <c r="Z68" s="197" t="str">
        <f>$Z$4</f>
        <v>J1</v>
      </c>
      <c r="AA68" s="198" t="str">
        <f ca="1">A69</f>
        <v>Francia</v>
      </c>
      <c r="AB68" s="486" t="str" cm="1">
        <f t="array" aca="1" ref="AB68" ca="1">Ver_flag_local</f>
        <v/>
      </c>
      <c r="AC68" s="199">
        <v>2</v>
      </c>
      <c r="AD68" s="200">
        <v>1</v>
      </c>
      <c r="AE68" s="491" t="str" cm="1">
        <f t="array" aca="1" ref="AE68" ca="1">Ver_flag_visit</f>
        <v/>
      </c>
      <c r="AF68" s="201" t="str">
        <f ca="1">A70</f>
        <v>Senegal</v>
      </c>
      <c r="AG68" s="421">
        <f t="shared" ref="AG68:AG73" si="238">IF(NOT(OR(ISBLANK(AC68),ISBLANK(AD68))),1,0)</f>
        <v>1</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RD Congo</v>
      </c>
      <c r="BE68" s="760">
        <f t="shared" ca="1" si="189"/>
        <v>4</v>
      </c>
      <c r="BF68" s="760">
        <f t="shared" ca="1" si="190"/>
        <v>3</v>
      </c>
      <c r="BG68" s="760">
        <f t="shared" ca="1" si="191"/>
        <v>1</v>
      </c>
      <c r="BH68" s="760">
        <f t="shared" ca="1" si="192"/>
        <v>1</v>
      </c>
      <c r="BI68" s="760">
        <f t="shared" ca="1" si="176"/>
        <v>1</v>
      </c>
      <c r="BJ68" s="760">
        <f t="shared" ca="1" si="177"/>
        <v>4</v>
      </c>
      <c r="BK68" s="760">
        <f t="shared" ca="1" si="178"/>
        <v>3</v>
      </c>
      <c r="BL68" s="760">
        <f t="shared" ca="1" si="193"/>
        <v>1</v>
      </c>
      <c r="BM68" s="760">
        <f t="shared" ca="1" si="194"/>
        <v>4</v>
      </c>
      <c r="BN68" s="760">
        <f t="shared" ca="1" si="195"/>
        <v>4</v>
      </c>
      <c r="BO68" s="750" t="str">
        <f t="shared" si="196"/>
        <v>4K</v>
      </c>
      <c r="BP68" s="750"/>
      <c r="BQ68" s="750"/>
      <c r="BR68" s="760">
        <f t="shared" ca="1" si="179"/>
        <v>4</v>
      </c>
      <c r="BS68" s="760">
        <f t="shared" ca="1" si="197"/>
        <v>1</v>
      </c>
      <c r="BT68" s="760" t="str">
        <f t="shared" ca="1" si="198"/>
        <v>Pos. 1 (5)</v>
      </c>
      <c r="BU68" s="760">
        <f t="shared" ca="1" si="180"/>
        <v>1</v>
      </c>
      <c r="BV68" s="760">
        <f t="shared" ca="1" si="181"/>
        <v>1</v>
      </c>
      <c r="BW68" s="760" t="str">
        <f t="shared" ca="1" si="182"/>
        <v>Pos. 1 (4)</v>
      </c>
      <c r="BX68" s="760">
        <f t="shared" ca="1" si="183"/>
        <v>4</v>
      </c>
      <c r="BY68" s="760">
        <f t="shared" ca="1" si="184"/>
        <v>3</v>
      </c>
      <c r="BZ68" s="760" t="str">
        <f t="shared" ca="1" si="185"/>
        <v>Pos. 3 (2)</v>
      </c>
      <c r="CA68" s="760">
        <f t="shared" ca="1" si="199"/>
        <v>3</v>
      </c>
      <c r="CB68" s="760">
        <f t="shared" ca="1" si="200"/>
        <v>4</v>
      </c>
      <c r="CC68" s="760"/>
      <c r="CD68" s="760">
        <f t="shared" ca="1" si="201"/>
        <v>4</v>
      </c>
      <c r="CE68" s="760">
        <f t="shared" ca="1" si="202"/>
        <v>3</v>
      </c>
      <c r="CF68" s="760">
        <f t="shared" ca="1" si="203"/>
        <v>4</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11</v>
      </c>
      <c r="DK68" s="756"/>
      <c r="DL68" s="756">
        <f t="shared" ca="1" si="204"/>
        <v>1</v>
      </c>
      <c r="DM68" s="750" t="str">
        <f t="shared" ca="1" si="187"/>
        <v>11.1</v>
      </c>
      <c r="DN68" s="756" cm="1">
        <f t="array" aca="1" ref="DN68" ca="1">OFFSET(Horarios!$P$3,DJ68-1,0,DL68,1)</f>
        <v>11</v>
      </c>
      <c r="DO68" s="756"/>
      <c r="DP68" s="756">
        <v>11</v>
      </c>
      <c r="DQ68" s="756" t="str">
        <f t="shared" ca="1" si="205"/>
        <v>Argelia</v>
      </c>
      <c r="DR68" s="756"/>
      <c r="DS68" s="756"/>
      <c r="DT68" s="756" t="str">
        <f t="shared" ca="1" si="15"/>
        <v>Francia-Senegal</v>
      </c>
      <c r="DU68" s="756"/>
      <c r="DV68" s="756"/>
      <c r="DW68" s="8"/>
    </row>
    <row r="69" spans="1:127" ht="16" customHeight="1">
      <c r="A69" s="757" t="str">
        <f ca="1">+Equipos!B34</f>
        <v>Francia</v>
      </c>
      <c r="B69" s="754"/>
      <c r="C69" s="754"/>
      <c r="D69" s="756" t="str">
        <f t="shared" si="225"/>
        <v>Visitante</v>
      </c>
      <c r="E69" s="756" t="str">
        <f t="shared" ca="1" si="226"/>
        <v>-</v>
      </c>
      <c r="F69" s="756" t="str">
        <f t="shared" ca="1" si="227"/>
        <v>P.2 (2)</v>
      </c>
      <c r="G69" s="756"/>
      <c r="H69" s="756" t="str">
        <f t="shared" ca="1" si="228"/>
        <v>-</v>
      </c>
      <c r="I69" s="756" t="str">
        <f t="shared" ca="1" si="229"/>
        <v>P.2 (2)</v>
      </c>
      <c r="J69" s="756"/>
      <c r="K69" s="756" t="str">
        <f t="shared" ca="1" si="230"/>
        <v>-</v>
      </c>
      <c r="L69" s="756" t="str">
        <f t="shared" ca="1" si="231"/>
        <v>P.2 (2)</v>
      </c>
      <c r="M69" s="756"/>
      <c r="N69" s="756" t="str">
        <f t="shared" ca="1" si="232"/>
        <v>-</v>
      </c>
      <c r="O69" s="756" t="str">
        <f t="shared" ca="1" si="233"/>
        <v>P.2 (2)</v>
      </c>
      <c r="P69" s="756"/>
      <c r="Q69" s="756" t="str">
        <f t="shared" ca="1" si="234"/>
        <v>-</v>
      </c>
      <c r="R69" s="756" t="str">
        <f t="shared" ca="1" si="235"/>
        <v>P.2 (2)</v>
      </c>
      <c r="S69" s="756"/>
      <c r="T69" s="756" t="str">
        <f t="shared" ca="1" si="236"/>
        <v>-</v>
      </c>
      <c r="U69" s="756" t="str">
        <f t="shared" ca="1" si="237"/>
        <v>P.2 (2)</v>
      </c>
      <c r="V69" s="178"/>
      <c r="W69" s="816"/>
      <c r="X69" s="195">
        <f ca="1">Horarios!C69</f>
        <v>46189.666666666664</v>
      </c>
      <c r="Y69" s="196">
        <f ca="1">Horarios!C69</f>
        <v>46189.666666666664</v>
      </c>
      <c r="Z69" s="197" t="str">
        <f>$Z$4</f>
        <v>J1</v>
      </c>
      <c r="AA69" s="198" t="str">
        <f ca="1">A71</f>
        <v>Irak</v>
      </c>
      <c r="AB69" s="486" t="str" cm="1">
        <f t="array" aca="1" ref="AB69" ca="1">Ver_flag_local</f>
        <v/>
      </c>
      <c r="AC69" s="199">
        <v>1</v>
      </c>
      <c r="AD69" s="200">
        <v>4</v>
      </c>
      <c r="AE69" s="491" t="str" cm="1">
        <f t="array" aca="1" ref="AE69" ca="1">Ver_flag_visit</f>
        <v/>
      </c>
      <c r="AF69" s="201" t="str">
        <f ca="1">A72</f>
        <v>Noruega</v>
      </c>
      <c r="AG69" s="421">
        <f t="shared" si="238"/>
        <v>1</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4</v>
      </c>
      <c r="BF69" s="760">
        <f t="shared" ca="1" si="190"/>
        <v>3</v>
      </c>
      <c r="BG69" s="760">
        <f t="shared" ca="1" si="191"/>
        <v>1</v>
      </c>
      <c r="BH69" s="760">
        <f t="shared" ca="1" si="192"/>
        <v>1</v>
      </c>
      <c r="BI69" s="760">
        <f t="shared" ca="1" si="176"/>
        <v>1</v>
      </c>
      <c r="BJ69" s="760">
        <f t="shared" ca="1" si="177"/>
        <v>4</v>
      </c>
      <c r="BK69" s="760">
        <f t="shared" ca="1" si="178"/>
        <v>3</v>
      </c>
      <c r="BL69" s="760">
        <f t="shared" ca="1" si="193"/>
        <v>1</v>
      </c>
      <c r="BM69" s="760">
        <f t="shared" ca="1" si="194"/>
        <v>3</v>
      </c>
      <c r="BN69" s="760">
        <f t="shared" ca="1" si="195"/>
        <v>3</v>
      </c>
      <c r="BO69" s="750" t="str">
        <f t="shared" si="196"/>
        <v>4L</v>
      </c>
      <c r="BP69" s="750"/>
      <c r="BQ69" s="750"/>
      <c r="BR69" s="760">
        <f t="shared" ca="1" si="179"/>
        <v>4</v>
      </c>
      <c r="BS69" s="760">
        <f t="shared" ca="1" si="197"/>
        <v>1</v>
      </c>
      <c r="BT69" s="760" t="str">
        <f t="shared" ca="1" si="198"/>
        <v>Pos. 1 (5)</v>
      </c>
      <c r="BU69" s="760">
        <f t="shared" ca="1" si="180"/>
        <v>1</v>
      </c>
      <c r="BV69" s="760">
        <f t="shared" ca="1" si="181"/>
        <v>1</v>
      </c>
      <c r="BW69" s="760" t="str">
        <f t="shared" ca="1" si="182"/>
        <v>Pos. 1 (4)</v>
      </c>
      <c r="BX69" s="760">
        <f t="shared" ca="1" si="183"/>
        <v>4</v>
      </c>
      <c r="BY69" s="760">
        <f t="shared" ca="1" si="184"/>
        <v>3</v>
      </c>
      <c r="BZ69" s="760" t="str">
        <f t="shared" ca="1" si="185"/>
        <v>Pos. 3 (2)</v>
      </c>
      <c r="CA69" s="760">
        <f t="shared" ca="1" si="199"/>
        <v>6</v>
      </c>
      <c r="CB69" s="760">
        <f ca="1">BY69+COUNTIFS(BZ$58:BZ$69,BZ69,CA$58:CA$69,"&gt;"&amp;CA69)</f>
        <v>3</v>
      </c>
      <c r="CC69" s="760"/>
      <c r="CD69" s="760">
        <f t="shared" ca="1" si="201"/>
        <v>3</v>
      </c>
      <c r="CE69" s="760">
        <f t="shared" ca="1" si="202"/>
        <v>2</v>
      </c>
      <c r="CF69" s="760">
        <f t="shared" ca="1" si="203"/>
        <v>3</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Canadá</v>
      </c>
      <c r="DR69" s="756"/>
      <c r="DS69" s="756"/>
      <c r="DT69" s="756" t="str">
        <f t="shared" ref="DT69:DT132" ca="1" si="242">AA69&amp;"-"&amp;AF69</f>
        <v>Irak-Noruega</v>
      </c>
      <c r="DU69" s="756"/>
      <c r="DV69" s="756"/>
      <c r="DW69" s="8"/>
    </row>
    <row r="70" spans="1:127" ht="16" customHeight="1">
      <c r="A70" s="757" t="str">
        <f ca="1">+Equipos!B35</f>
        <v>Senegal</v>
      </c>
      <c r="B70" s="754"/>
      <c r="C70" s="758"/>
      <c r="D70" s="756" t="str">
        <f t="shared" si="225"/>
        <v>Local</v>
      </c>
      <c r="E70" s="756" t="str">
        <f t="shared" ca="1" si="226"/>
        <v>-</v>
      </c>
      <c r="F70" s="756" t="str">
        <f t="shared" ca="1" si="227"/>
        <v>-</v>
      </c>
      <c r="G70" s="756"/>
      <c r="H70" s="756" t="str">
        <f t="shared" ca="1" si="228"/>
        <v>-</v>
      </c>
      <c r="I70" s="756" t="str">
        <f t="shared" ca="1" si="229"/>
        <v>-</v>
      </c>
      <c r="J70" s="756"/>
      <c r="K70" s="756" t="str">
        <f t="shared" ca="1" si="230"/>
        <v>-</v>
      </c>
      <c r="L70" s="756" t="str">
        <f t="shared" ca="1" si="231"/>
        <v>-</v>
      </c>
      <c r="M70" s="756"/>
      <c r="N70" s="756" t="str">
        <f t="shared" ca="1" si="232"/>
        <v>-</v>
      </c>
      <c r="O70" s="756" t="str">
        <f t="shared" ca="1" si="233"/>
        <v>-</v>
      </c>
      <c r="P70" s="756"/>
      <c r="Q70" s="756" t="str">
        <f t="shared" ca="1" si="234"/>
        <v>-</v>
      </c>
      <c r="R70" s="756" t="str">
        <f t="shared" ca="1" si="235"/>
        <v>-</v>
      </c>
      <c r="S70" s="756"/>
      <c r="T70" s="756" t="str">
        <f t="shared" ca="1" si="236"/>
        <v>-</v>
      </c>
      <c r="U70" s="756" t="str">
        <f t="shared" ca="1" si="237"/>
        <v>-</v>
      </c>
      <c r="V70" s="178"/>
      <c r="W70" s="816"/>
      <c r="X70" s="195">
        <f ca="1">Horarios!C70</f>
        <v>46195.625</v>
      </c>
      <c r="Y70" s="196">
        <f ca="1">Horarios!C70</f>
        <v>46195.625</v>
      </c>
      <c r="Z70" s="197" t="str">
        <f>$Z$6</f>
        <v>J2</v>
      </c>
      <c r="AA70" s="198" t="str">
        <f ca="1">A69</f>
        <v>Francia</v>
      </c>
      <c r="AB70" s="486" t="str" cm="1">
        <f t="array" aca="1" ref="AB70" ca="1">Ver_flag_local</f>
        <v/>
      </c>
      <c r="AC70" s="199">
        <v>5</v>
      </c>
      <c r="AD70" s="200">
        <v>0</v>
      </c>
      <c r="AE70" s="491" t="str" cm="1">
        <f t="array" aca="1" ref="AE70" ca="1">Ver_flag_visit</f>
        <v/>
      </c>
      <c r="AF70" s="201" t="str">
        <f ca="1">A71</f>
        <v>Irak</v>
      </c>
      <c r="AG70" s="421">
        <f t="shared" si="238"/>
        <v>1</v>
      </c>
      <c r="AH70" s="202">
        <v>42</v>
      </c>
      <c r="AI70" s="19" t="str">
        <f>AJ70&amp;$B$68</f>
        <v>1I</v>
      </c>
      <c r="AJ70" s="217">
        <v>1</v>
      </c>
      <c r="AK70" s="496" t="str" cm="1">
        <f t="array" aca="1" ref="AK70" ca="1">Ver_flag_visit</f>
        <v/>
      </c>
      <c r="AL70" s="218" t="str">
        <f ca="1">IFERROR(INDEX($BD$6:$BD$53,MATCH(AI70,$BN$6:$BN$53,0)),"")</f>
        <v>Francia</v>
      </c>
      <c r="AM70" s="219">
        <f t="shared" ref="AM70:AT73" ca="1" si="243">INDEX($BE$6:$BN$53,MATCH($AL70,$BD$6:$BD$53,0),MATCH(AM$5,$BE$5:$BN$5,0))</f>
        <v>9</v>
      </c>
      <c r="AN70" s="220">
        <f t="shared" ca="1" si="243"/>
        <v>3</v>
      </c>
      <c r="AO70" s="220">
        <f t="shared" ca="1" si="243"/>
        <v>3</v>
      </c>
      <c r="AP70" s="220">
        <f t="shared" ca="1" si="243"/>
        <v>0</v>
      </c>
      <c r="AQ70" s="220">
        <f t="shared" ca="1" si="243"/>
        <v>0</v>
      </c>
      <c r="AR70" s="220">
        <f t="shared" ca="1" si="243"/>
        <v>9</v>
      </c>
      <c r="AS70" s="220">
        <f t="shared" ca="1" si="243"/>
        <v>2</v>
      </c>
      <c r="AT70" s="221">
        <f t="shared" ca="1" si="243"/>
        <v>7</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c r="A71" s="757" t="str">
        <f ca="1">+Equipos!B36</f>
        <v>Irak</v>
      </c>
      <c r="B71" s="754"/>
      <c r="C71" s="756"/>
      <c r="D71" s="756" t="str">
        <f t="shared" si="225"/>
        <v>Empate</v>
      </c>
      <c r="E71" s="756" t="str">
        <f t="shared" ca="1" si="226"/>
        <v>P.2 (2)</v>
      </c>
      <c r="F71" s="756" t="str">
        <f t="shared" ca="1" si="227"/>
        <v>P.2 (2)</v>
      </c>
      <c r="G71" s="756"/>
      <c r="H71" s="756" t="str">
        <f t="shared" ca="1" si="228"/>
        <v>P.2 (2)</v>
      </c>
      <c r="I71" s="756" t="str">
        <f t="shared" ca="1" si="229"/>
        <v>P.2 (2)</v>
      </c>
      <c r="J71" s="756"/>
      <c r="K71" s="756" t="str">
        <f t="shared" ca="1" si="230"/>
        <v>P.2 (2)</v>
      </c>
      <c r="L71" s="756" t="str">
        <f t="shared" ca="1" si="231"/>
        <v>P.2 (2)</v>
      </c>
      <c r="M71" s="756"/>
      <c r="N71" s="756" t="str">
        <f t="shared" ca="1" si="232"/>
        <v>P.2 (2)</v>
      </c>
      <c r="O71" s="756" t="str">
        <f t="shared" ca="1" si="233"/>
        <v>P.2 (2)</v>
      </c>
      <c r="P71" s="756"/>
      <c r="Q71" s="756" t="str">
        <f t="shared" ca="1" si="234"/>
        <v>P.2 (2)</v>
      </c>
      <c r="R71" s="756" t="str">
        <f t="shared" ca="1" si="235"/>
        <v>P.2 (2)</v>
      </c>
      <c r="S71" s="756"/>
      <c r="T71" s="756" t="str">
        <f t="shared" ca="1" si="236"/>
        <v>P.2 (2)</v>
      </c>
      <c r="U71" s="756" t="str">
        <f t="shared" ca="1" si="237"/>
        <v>P.2 (2)</v>
      </c>
      <c r="V71" s="178"/>
      <c r="W71" s="816"/>
      <c r="X71" s="195">
        <f ca="1">Horarios!C71</f>
        <v>46195.75</v>
      </c>
      <c r="Y71" s="196">
        <f ca="1">Horarios!C71</f>
        <v>46195.75</v>
      </c>
      <c r="Z71" s="197" t="str">
        <f>$Z$6</f>
        <v>J2</v>
      </c>
      <c r="AA71" s="198" t="str">
        <f ca="1">A72</f>
        <v>Noruega</v>
      </c>
      <c r="AB71" s="486" t="str" cm="1">
        <f t="array" aca="1" ref="AB71" ca="1">Ver_flag_local</f>
        <v/>
      </c>
      <c r="AC71" s="199">
        <v>2</v>
      </c>
      <c r="AD71" s="200">
        <v>2</v>
      </c>
      <c r="AE71" s="491" t="str" cm="1">
        <f t="array" aca="1" ref="AE71" ca="1">Ver_flag_visit</f>
        <v/>
      </c>
      <c r="AF71" s="201" t="str">
        <f ca="1">A70</f>
        <v>Senegal</v>
      </c>
      <c r="AG71" s="421">
        <f t="shared" si="238"/>
        <v>1</v>
      </c>
      <c r="AH71" s="202">
        <v>41</v>
      </c>
      <c r="AI71" s="19" t="str">
        <f t="shared" ref="AI71:AI73" si="244">AJ71&amp;$B$68</f>
        <v>2I</v>
      </c>
      <c r="AJ71" s="227">
        <v>2</v>
      </c>
      <c r="AK71" s="494" t="str" cm="1">
        <f t="array" aca="1" ref="AK71" ca="1">Ver_flag_visit</f>
        <v/>
      </c>
      <c r="AL71" s="228" t="str">
        <f ca="1">IFERROR(INDEX($BD$6:$BD$53,MATCH(AI71,$BN$6:$BN$53,0)),"")</f>
        <v>Noruega</v>
      </c>
      <c r="AM71" s="229">
        <f t="shared" ca="1" si="243"/>
        <v>4</v>
      </c>
      <c r="AN71" s="230">
        <f t="shared" ca="1" si="243"/>
        <v>3</v>
      </c>
      <c r="AO71" s="230">
        <f t="shared" ca="1" si="243"/>
        <v>1</v>
      </c>
      <c r="AP71" s="230">
        <f t="shared" ca="1" si="243"/>
        <v>1</v>
      </c>
      <c r="AQ71" s="230">
        <f t="shared" ca="1" si="243"/>
        <v>1</v>
      </c>
      <c r="AR71" s="230">
        <f t="shared" ca="1" si="243"/>
        <v>7</v>
      </c>
      <c r="AS71" s="230">
        <f t="shared" ca="1" si="243"/>
        <v>5</v>
      </c>
      <c r="AT71" s="231">
        <f t="shared" ca="1" si="243"/>
        <v>2</v>
      </c>
      <c r="AU71" s="428">
        <f ca="1">INDEX($DL$6:$DL$53,MATCH(AI71,$DP$6:$DP$53,0))</f>
        <v>1</v>
      </c>
      <c r="AV71" s="223" t="str">
        <f ca="1">INDEX($BD$6:$BD$53,MATCH(AI71,$BM$6:$BM$53,0))</f>
        <v>Noruega</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c r="A72" s="757" t="str">
        <f ca="1">+Equipos!B37</f>
        <v>Noruega</v>
      </c>
      <c r="B72" s="754"/>
      <c r="C72" s="756"/>
      <c r="D72" s="756" t="str">
        <f t="shared" si="225"/>
        <v>Visitante</v>
      </c>
      <c r="E72" s="756" t="str">
        <f t="shared" ca="1" si="226"/>
        <v>P.2 (2)</v>
      </c>
      <c r="F72" s="756" t="str">
        <f t="shared" ca="1" si="227"/>
        <v>-</v>
      </c>
      <c r="G72" s="756"/>
      <c r="H72" s="756" t="str">
        <f t="shared" ca="1" si="228"/>
        <v>P.2 (2)</v>
      </c>
      <c r="I72" s="756" t="str">
        <f t="shared" ca="1" si="229"/>
        <v>-</v>
      </c>
      <c r="J72" s="756"/>
      <c r="K72" s="756" t="str">
        <f t="shared" ca="1" si="230"/>
        <v>P.2 (2)</v>
      </c>
      <c r="L72" s="756" t="str">
        <f t="shared" ca="1" si="231"/>
        <v>-</v>
      </c>
      <c r="M72" s="756"/>
      <c r="N72" s="756" t="str">
        <f t="shared" ca="1" si="232"/>
        <v>P.2 (2)</v>
      </c>
      <c r="O72" s="756" t="str">
        <f t="shared" ca="1" si="233"/>
        <v>-</v>
      </c>
      <c r="P72" s="756"/>
      <c r="Q72" s="756" t="str">
        <f t="shared" ca="1" si="234"/>
        <v>P.2 (2)</v>
      </c>
      <c r="R72" s="756" t="str">
        <f t="shared" ca="1" si="235"/>
        <v>-</v>
      </c>
      <c r="S72" s="756"/>
      <c r="T72" s="756" t="str">
        <f t="shared" ca="1" si="236"/>
        <v>P.2 (2)</v>
      </c>
      <c r="U72" s="756" t="str">
        <f t="shared" ca="1" si="237"/>
        <v>-</v>
      </c>
      <c r="V72" s="178"/>
      <c r="W72" s="816"/>
      <c r="X72" s="195">
        <f ca="1">Horarios!C72</f>
        <v>46199.541666666664</v>
      </c>
      <c r="Y72" s="196">
        <f ca="1">Horarios!C72</f>
        <v>46199.541666666664</v>
      </c>
      <c r="Z72" s="197" t="str">
        <f>$Z$8</f>
        <v>J3</v>
      </c>
      <c r="AA72" s="198" t="str">
        <f ca="1">A72</f>
        <v>Noruega</v>
      </c>
      <c r="AB72" s="486" t="str" cm="1">
        <f t="array" aca="1" ref="AB72" ca="1">Ver_flag_local</f>
        <v/>
      </c>
      <c r="AC72" s="199">
        <v>1</v>
      </c>
      <c r="AD72" s="200">
        <v>2</v>
      </c>
      <c r="AE72" s="491" t="str" cm="1">
        <f t="array" aca="1" ref="AE72" ca="1">Ver_flag_visit</f>
        <v/>
      </c>
      <c r="AF72" s="201" t="str">
        <f ca="1">A69</f>
        <v>Francia</v>
      </c>
      <c r="AG72" s="421">
        <f t="shared" si="238"/>
        <v>1</v>
      </c>
      <c r="AH72" s="202">
        <v>61</v>
      </c>
      <c r="AI72" s="19" t="str">
        <f t="shared" si="244"/>
        <v>3I</v>
      </c>
      <c r="AJ72" s="227">
        <v>3</v>
      </c>
      <c r="AK72" s="494" t="str" cm="1">
        <f t="array" aca="1" ref="AK72" ca="1">Ver_flag_visit</f>
        <v/>
      </c>
      <c r="AL72" s="228" t="str">
        <f ca="1">IFERROR(INDEX($BD$6:$BD$53,MATCH(AI72,$BN$6:$BN$53,0)),"")</f>
        <v>Senegal</v>
      </c>
      <c r="AM72" s="229">
        <f t="shared" ca="1" si="243"/>
        <v>4</v>
      </c>
      <c r="AN72" s="230">
        <f t="shared" ca="1" si="243"/>
        <v>3</v>
      </c>
      <c r="AO72" s="230">
        <f t="shared" ca="1" si="243"/>
        <v>1</v>
      </c>
      <c r="AP72" s="230">
        <f t="shared" ca="1" si="243"/>
        <v>1</v>
      </c>
      <c r="AQ72" s="230">
        <f t="shared" ca="1" si="243"/>
        <v>1</v>
      </c>
      <c r="AR72" s="230">
        <f t="shared" ca="1" si="243"/>
        <v>5</v>
      </c>
      <c r="AS72" s="230">
        <f t="shared" ca="1" si="243"/>
        <v>4</v>
      </c>
      <c r="AT72" s="231">
        <f t="shared" ca="1" si="243"/>
        <v>1</v>
      </c>
      <c r="AU72" s="428">
        <f ca="1">INDEX($DL$6:$DL$53,MATCH(AI72,$DP$6:$DP$53,0))</f>
        <v>1</v>
      </c>
      <c r="AV72" s="223" t="str">
        <f ca="1">INDEX($BD$6:$BD$53,MATCH(AI72,$BM$6:$BM$53,0))</f>
        <v>Senegal</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149999999999999" customHeight="1" thickBot="1">
      <c r="A73" s="751"/>
      <c r="B73" s="751"/>
      <c r="C73" s="751"/>
      <c r="D73" s="756" t="str">
        <f t="shared" si="225"/>
        <v>Local</v>
      </c>
      <c r="E73" s="756" t="str">
        <f t="shared" ca="1" si="226"/>
        <v>P.2 (2)</v>
      </c>
      <c r="F73" s="756" t="str">
        <f t="shared" ca="1" si="227"/>
        <v>-</v>
      </c>
      <c r="G73" s="756"/>
      <c r="H73" s="756" t="str">
        <f t="shared" ca="1" si="228"/>
        <v>P.2 (2)</v>
      </c>
      <c r="I73" s="756" t="str">
        <f t="shared" ca="1" si="229"/>
        <v>-</v>
      </c>
      <c r="J73" s="756"/>
      <c r="K73" s="756" t="str">
        <f t="shared" ca="1" si="230"/>
        <v>P.2 (2)</v>
      </c>
      <c r="L73" s="756" t="str">
        <f t="shared" ca="1" si="231"/>
        <v>-</v>
      </c>
      <c r="M73" s="756"/>
      <c r="N73" s="756" t="str">
        <f t="shared" ca="1" si="232"/>
        <v>P.2 (2)</v>
      </c>
      <c r="O73" s="756" t="str">
        <f t="shared" ca="1" si="233"/>
        <v>-</v>
      </c>
      <c r="P73" s="756"/>
      <c r="Q73" s="756" t="str">
        <f t="shared" ca="1" si="234"/>
        <v>P.2 (2)</v>
      </c>
      <c r="R73" s="756" t="str">
        <f t="shared" ca="1" si="235"/>
        <v>-</v>
      </c>
      <c r="S73" s="756"/>
      <c r="T73" s="756" t="str">
        <f t="shared" ca="1" si="236"/>
        <v>P.2 (2)</v>
      </c>
      <c r="U73" s="756" t="str">
        <f t="shared" ca="1" si="237"/>
        <v>-</v>
      </c>
      <c r="V73" s="178"/>
      <c r="W73" s="817"/>
      <c r="X73" s="234">
        <f ca="1">Horarios!C73</f>
        <v>46199.541666666664</v>
      </c>
      <c r="Y73" s="235">
        <f ca="1">Horarios!C73</f>
        <v>46199.541666666664</v>
      </c>
      <c r="Z73" s="236" t="str">
        <f>$Z$8</f>
        <v>J3</v>
      </c>
      <c r="AA73" s="237" t="str">
        <f ca="1">A70</f>
        <v>Senegal</v>
      </c>
      <c r="AB73" s="487" t="str" cm="1">
        <f t="array" aca="1" ref="AB73" ca="1">Ver_flag_local</f>
        <v/>
      </c>
      <c r="AC73" s="238">
        <v>2</v>
      </c>
      <c r="AD73" s="239">
        <v>0</v>
      </c>
      <c r="AE73" s="492" t="str" cm="1">
        <f t="array" aca="1" ref="AE73" ca="1">Ver_flag_visit</f>
        <v/>
      </c>
      <c r="AF73" s="240" t="str">
        <f ca="1">A71</f>
        <v>Irak</v>
      </c>
      <c r="AG73" s="421">
        <f t="shared" si="238"/>
        <v>1</v>
      </c>
      <c r="AH73" s="202">
        <v>62</v>
      </c>
      <c r="AI73" s="19" t="str">
        <f t="shared" si="244"/>
        <v>4I</v>
      </c>
      <c r="AJ73" s="241">
        <v>4</v>
      </c>
      <c r="AK73" s="495" t="str" cm="1">
        <f t="array" aca="1" ref="AK73" ca="1">Ver_flag_visit</f>
        <v/>
      </c>
      <c r="AL73" s="242" t="str">
        <f ca="1">IFERROR(INDEX($BD$6:$BD$53,MATCH(AI73,$BN$6:$BN$53,0)),"")</f>
        <v>Irak</v>
      </c>
      <c r="AM73" s="243">
        <f t="shared" ca="1" si="243"/>
        <v>0</v>
      </c>
      <c r="AN73" s="244">
        <f t="shared" ca="1" si="243"/>
        <v>3</v>
      </c>
      <c r="AO73" s="244">
        <f t="shared" ca="1" si="243"/>
        <v>0</v>
      </c>
      <c r="AP73" s="244">
        <f t="shared" ca="1" si="243"/>
        <v>0</v>
      </c>
      <c r="AQ73" s="244">
        <f t="shared" ca="1" si="243"/>
        <v>3</v>
      </c>
      <c r="AR73" s="244">
        <f t="shared" ca="1" si="243"/>
        <v>1</v>
      </c>
      <c r="AS73" s="244">
        <f t="shared" ca="1" si="243"/>
        <v>11</v>
      </c>
      <c r="AT73" s="245">
        <f t="shared" ca="1" si="243"/>
        <v>-10</v>
      </c>
      <c r="AU73" s="428">
        <f ca="1">INDEX($DL$6:$DL$53,MATCH(AI73,$DP$6:$DP$53,0))</f>
        <v>1</v>
      </c>
      <c r="AV73" s="223" t="str">
        <f ca="1">INDEX($BD$6:$BD$53,MATCH(AI73,$BM$6:$BM$53,0))</f>
        <v>Irak</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5" thickBot="1">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5" thickBot="1">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c r="A76" s="753" t="s">
        <v>30</v>
      </c>
      <c r="B76" s="754" t="s">
        <v>5</v>
      </c>
      <c r="C76" s="755">
        <f>COUNTIF(Equipos!$C$2:$C$49,WORLDCUP!B76)</f>
        <v>4</v>
      </c>
      <c r="D76" s="756" t="str">
        <f t="shared" ref="D76:D81" si="245">IF(OR(AC76="",AD76=""),"Pendiente",IF(AC76&gt;AD76,"Local",IF(AC76&lt;AD76,"Visitante","Empate")))</f>
        <v>Local</v>
      </c>
      <c r="E76" s="756" t="str">
        <f t="shared" ref="E76:E81" ca="1" si="246">IF(D76="Pendiente","-",INDEX($BT$6:$BT$53,MATCH($AA76,$BD$6:$BD$53,0)))</f>
        <v>-</v>
      </c>
      <c r="F76" s="756" t="str">
        <f t="shared" ref="F76:F81" ca="1" si="247">IF(D76="Pendiente","-",INDEX($BT$6:$BT$53,MATCH($AF76,$BD$6:$BD$53,0)))</f>
        <v>-</v>
      </c>
      <c r="G76" s="756"/>
      <c r="H76" s="756" t="str">
        <f t="shared" ref="H76:H81" ca="1" si="248">IF(D76="Pendiente","-",INDEX($BZ$6:$BZ$53,MATCH($AA76,$BD$6:$BD$53,0)))</f>
        <v>-</v>
      </c>
      <c r="I76" s="756" t="str">
        <f t="shared" ref="I76:I81" ca="1" si="249">IF(D76="Pendiente","-",INDEX($BZ$6:$BZ$53,MATCH($AF76,$BD$6:$BD$53,0)))</f>
        <v>-</v>
      </c>
      <c r="J76" s="756"/>
      <c r="K76" s="756" t="str">
        <f t="shared" ref="K76:K81" ca="1" si="250">IF(D76="Pendiente","-",INDEX($CE$6:$CE$53,MATCH($AA76,$BD$6:$BD$53,0)))</f>
        <v>-</v>
      </c>
      <c r="L76" s="756" t="str">
        <f t="shared" ref="L76:L81" ca="1" si="251">IF(D76="Pendiente","-",INDEX($CE$6:$CE$53,MATCH($AF76,$BD$6:$BD$53,0)))</f>
        <v>-</v>
      </c>
      <c r="M76" s="756"/>
      <c r="N76" s="756" t="str">
        <f t="shared" ref="N76:N81" ca="1" si="252">IF(D76="Pendiente","-",INDEX($CH$6:$CH$53,MATCH($AA76,$BD$6:$BD$53,0)))</f>
        <v>-</v>
      </c>
      <c r="O76" s="756" t="str">
        <f t="shared" ref="O76:O81" ca="1" si="253">IF(D76="Pendiente","-",INDEX($CH$6:$CH$53,MATCH($AF76,$BD$6:$BD$53,0)))</f>
        <v>-</v>
      </c>
      <c r="P76" s="756"/>
      <c r="Q76" s="756" t="str">
        <f t="shared" ref="Q76:Q81" ca="1" si="254">IF(D76="Pendiente","-",INDEX($CN$6:$CN$53,MATCH($AA76,$BD$6:$BD$53,0)))</f>
        <v>-</v>
      </c>
      <c r="R76" s="756" t="str">
        <f t="shared" ref="R76:R81" ca="1" si="255">IF(D76="Pendiente","-",INDEX($CN$6:$CN$53,MATCH($AF76,$BD$6:$BD$53,0)))</f>
        <v>-</v>
      </c>
      <c r="S76" s="756"/>
      <c r="T76" s="756" t="str">
        <f t="shared" ref="T76:T81" ca="1" si="256">IF(D76="Pendiente","-",INDEX($CS$6:$CS$53,MATCH($AA76,$BD$6:$BD$53,0)))</f>
        <v>-</v>
      </c>
      <c r="U76" s="756" t="str">
        <f t="shared" ref="U76:U81" ca="1" si="257">IF(D76="Pendiente","-",INDEX($CS$6:$CS$53,MATCH($AF76,$BD$6:$BD$53,0)))</f>
        <v>-</v>
      </c>
      <c r="V76" s="178"/>
      <c r="W76" s="812" t="s">
        <v>5</v>
      </c>
      <c r="X76" s="195">
        <f ca="1">Horarios!C76</f>
        <v>46189.791666666664</v>
      </c>
      <c r="Y76" s="196">
        <f ca="1">Horarios!C76</f>
        <v>46189.791666666664</v>
      </c>
      <c r="Z76" s="197" t="str">
        <f>$Z$4</f>
        <v>J1</v>
      </c>
      <c r="AA76" s="198" t="str">
        <f ca="1">A77</f>
        <v>Argentina</v>
      </c>
      <c r="AB76" s="486" t="str" cm="1">
        <f t="array" aca="1" ref="AB76" ca="1">Ver_flag_local</f>
        <v/>
      </c>
      <c r="AC76" s="199">
        <v>2</v>
      </c>
      <c r="AD76" s="200">
        <v>0</v>
      </c>
      <c r="AE76" s="491" t="str" cm="1">
        <f t="array" aca="1" ref="AE76" ca="1">Ver_flag_visit</f>
        <v/>
      </c>
      <c r="AF76" s="201" t="str">
        <f ca="1">A78</f>
        <v>Argelia</v>
      </c>
      <c r="AG76" s="421">
        <f t="shared" ref="AG76:AG81" si="258">IF(NOT(OR(ISBLANK(AC76),ISBLANK(AD76))),1,0)</f>
        <v>1</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c r="A77" s="757" t="str">
        <f ca="1">+Equipos!B38</f>
        <v>Argentina</v>
      </c>
      <c r="B77" s="754"/>
      <c r="C77" s="754"/>
      <c r="D77" s="756" t="str">
        <f t="shared" si="245"/>
        <v>Local</v>
      </c>
      <c r="E77" s="756" t="str">
        <f t="shared" ca="1" si="246"/>
        <v>-</v>
      </c>
      <c r="F77" s="756" t="str">
        <f t="shared" ca="1" si="247"/>
        <v>-</v>
      </c>
      <c r="G77" s="756"/>
      <c r="H77" s="756" t="str">
        <f t="shared" ca="1" si="248"/>
        <v>-</v>
      </c>
      <c r="I77" s="756" t="str">
        <f t="shared" ca="1" si="249"/>
        <v>-</v>
      </c>
      <c r="J77" s="756"/>
      <c r="K77" s="756" t="str">
        <f t="shared" ca="1" si="250"/>
        <v>-</v>
      </c>
      <c r="L77" s="756" t="str">
        <f t="shared" ca="1" si="251"/>
        <v>-</v>
      </c>
      <c r="M77" s="756"/>
      <c r="N77" s="756" t="str">
        <f t="shared" ca="1" si="252"/>
        <v>-</v>
      </c>
      <c r="O77" s="756" t="str">
        <f t="shared" ca="1" si="253"/>
        <v>-</v>
      </c>
      <c r="P77" s="756"/>
      <c r="Q77" s="756" t="str">
        <f t="shared" ca="1" si="254"/>
        <v>-</v>
      </c>
      <c r="R77" s="756" t="str">
        <f t="shared" ca="1" si="255"/>
        <v>-</v>
      </c>
      <c r="S77" s="756"/>
      <c r="T77" s="756" t="str">
        <f t="shared" ca="1" si="256"/>
        <v>-</v>
      </c>
      <c r="U77" s="756" t="str">
        <f t="shared" ca="1" si="257"/>
        <v>-</v>
      </c>
      <c r="V77" s="178"/>
      <c r="W77" s="812"/>
      <c r="X77" s="195">
        <f ca="1">Horarios!C77</f>
        <v>46189.916666666664</v>
      </c>
      <c r="Y77" s="196">
        <f ca="1">Horarios!C77</f>
        <v>46189.916666666664</v>
      </c>
      <c r="Z77" s="197" t="str">
        <f>$Z$4</f>
        <v>J1</v>
      </c>
      <c r="AA77" s="198" t="str">
        <f ca="1">A79</f>
        <v>Austria</v>
      </c>
      <c r="AB77" s="486" t="str" cm="1">
        <f t="array" aca="1" ref="AB77" ca="1">Ver_flag_local</f>
        <v/>
      </c>
      <c r="AC77" s="199">
        <v>1</v>
      </c>
      <c r="AD77" s="200">
        <v>0</v>
      </c>
      <c r="AE77" s="491" t="str" cm="1">
        <f t="array" aca="1" ref="AE77" ca="1">Ver_flag_visit</f>
        <v/>
      </c>
      <c r="AF77" s="201" t="str">
        <f ca="1">A80</f>
        <v>Jordania</v>
      </c>
      <c r="AG77" s="421">
        <f t="shared" si="258"/>
        <v>1</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c r="A78" s="757" t="str">
        <f ca="1">+Equipos!B39</f>
        <v>Argelia</v>
      </c>
      <c r="B78" s="754"/>
      <c r="C78" s="758"/>
      <c r="D78" s="756" t="str">
        <f t="shared" si="245"/>
        <v>Local</v>
      </c>
      <c r="E78" s="756" t="str">
        <f t="shared" ca="1" si="246"/>
        <v>-</v>
      </c>
      <c r="F78" s="756" t="str">
        <f t="shared" ca="1" si="247"/>
        <v>-</v>
      </c>
      <c r="G78" s="756"/>
      <c r="H78" s="756" t="str">
        <f t="shared" ca="1" si="248"/>
        <v>-</v>
      </c>
      <c r="I78" s="756" t="str">
        <f t="shared" ca="1" si="249"/>
        <v>-</v>
      </c>
      <c r="J78" s="756"/>
      <c r="K78" s="756" t="str">
        <f t="shared" ca="1" si="250"/>
        <v>-</v>
      </c>
      <c r="L78" s="756" t="str">
        <f t="shared" ca="1" si="251"/>
        <v>-</v>
      </c>
      <c r="M78" s="756"/>
      <c r="N78" s="756" t="str">
        <f t="shared" ca="1" si="252"/>
        <v>-</v>
      </c>
      <c r="O78" s="756" t="str">
        <f t="shared" ca="1" si="253"/>
        <v>-</v>
      </c>
      <c r="P78" s="756"/>
      <c r="Q78" s="756" t="str">
        <f t="shared" ca="1" si="254"/>
        <v>-</v>
      </c>
      <c r="R78" s="756" t="str">
        <f t="shared" ca="1" si="255"/>
        <v>-</v>
      </c>
      <c r="S78" s="756"/>
      <c r="T78" s="756" t="str">
        <f t="shared" ca="1" si="256"/>
        <v>-</v>
      </c>
      <c r="U78" s="756" t="str">
        <f t="shared" ca="1" si="257"/>
        <v>-</v>
      </c>
      <c r="V78" s="178"/>
      <c r="W78" s="812"/>
      <c r="X78" s="195">
        <f ca="1">Horarios!C78</f>
        <v>46195.458333333328</v>
      </c>
      <c r="Y78" s="196">
        <f ca="1">Horarios!C78</f>
        <v>46195.458333333328</v>
      </c>
      <c r="Z78" s="197" t="str">
        <f>$Z$6</f>
        <v>J2</v>
      </c>
      <c r="AA78" s="198" t="str">
        <f ca="1">A77</f>
        <v>Argentina</v>
      </c>
      <c r="AB78" s="486" t="str" cm="1">
        <f t="array" aca="1" ref="AB78" ca="1">Ver_flag_local</f>
        <v/>
      </c>
      <c r="AC78" s="199">
        <v>1</v>
      </c>
      <c r="AD78" s="200">
        <v>0</v>
      </c>
      <c r="AE78" s="491" t="str" cm="1">
        <f t="array" aca="1" ref="AE78" ca="1">Ver_flag_visit</f>
        <v/>
      </c>
      <c r="AF78" s="201" t="str">
        <f ca="1">A79</f>
        <v>Austria</v>
      </c>
      <c r="AG78" s="421">
        <f t="shared" si="258"/>
        <v>1</v>
      </c>
      <c r="AH78" s="202">
        <v>43</v>
      </c>
      <c r="AI78" s="19" t="str">
        <f>AJ78&amp;$B$76</f>
        <v>1J</v>
      </c>
      <c r="AJ78" s="217">
        <v>1</v>
      </c>
      <c r="AK78" s="496" t="str" cm="1">
        <f t="array" aca="1" ref="AK78" ca="1">Ver_flag_visit</f>
        <v/>
      </c>
      <c r="AL78" s="218" t="str">
        <f ca="1">IFERROR(INDEX($BD$6:$BD$53,MATCH(AI78,$BN$6:$BN$53,0)),"")</f>
        <v>Argentina</v>
      </c>
      <c r="AM78" s="219">
        <f t="shared" ref="AM78:AT81" ca="1" si="262">INDEX($BE$6:$BN$53,MATCH($AL78,$BD$6:$BD$53,0),MATCH(AM$5,$BE$5:$BN$5,0))</f>
        <v>9</v>
      </c>
      <c r="AN78" s="220">
        <f t="shared" ca="1" si="262"/>
        <v>3</v>
      </c>
      <c r="AO78" s="220">
        <f t="shared" ca="1" si="262"/>
        <v>3</v>
      </c>
      <c r="AP78" s="220">
        <f t="shared" ca="1" si="262"/>
        <v>0</v>
      </c>
      <c r="AQ78" s="220">
        <f t="shared" ca="1" si="262"/>
        <v>0</v>
      </c>
      <c r="AR78" s="220">
        <f t="shared" ca="1" si="262"/>
        <v>7</v>
      </c>
      <c r="AS78" s="220">
        <f t="shared" ca="1" si="262"/>
        <v>0</v>
      </c>
      <c r="AT78" s="221">
        <f t="shared" ca="1" si="262"/>
        <v>7</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c r="A79" s="757" t="str">
        <f ca="1">+Equipos!B40</f>
        <v>Austria</v>
      </c>
      <c r="B79" s="754"/>
      <c r="C79" s="756"/>
      <c r="D79" s="756" t="str">
        <f t="shared" si="245"/>
        <v>Empate</v>
      </c>
      <c r="E79" s="756" t="str">
        <f t="shared" ca="1" si="246"/>
        <v>-</v>
      </c>
      <c r="F79" s="756" t="str">
        <f t="shared" ca="1" si="247"/>
        <v>-</v>
      </c>
      <c r="G79" s="756"/>
      <c r="H79" s="756" t="str">
        <f t="shared" ca="1" si="248"/>
        <v>-</v>
      </c>
      <c r="I79" s="756" t="str">
        <f t="shared" ca="1" si="249"/>
        <v>-</v>
      </c>
      <c r="J79" s="756"/>
      <c r="K79" s="756" t="str">
        <f t="shared" ca="1" si="250"/>
        <v>-</v>
      </c>
      <c r="L79" s="756" t="str">
        <f t="shared" ca="1" si="251"/>
        <v>-</v>
      </c>
      <c r="M79" s="756"/>
      <c r="N79" s="756" t="str">
        <f t="shared" ca="1" si="252"/>
        <v>-</v>
      </c>
      <c r="O79" s="756" t="str">
        <f t="shared" ca="1" si="253"/>
        <v>-</v>
      </c>
      <c r="P79" s="756"/>
      <c r="Q79" s="756" t="str">
        <f t="shared" ca="1" si="254"/>
        <v>-</v>
      </c>
      <c r="R79" s="756" t="str">
        <f t="shared" ca="1" si="255"/>
        <v>-</v>
      </c>
      <c r="S79" s="756"/>
      <c r="T79" s="756" t="str">
        <f t="shared" ca="1" si="256"/>
        <v>-</v>
      </c>
      <c r="U79" s="756" t="str">
        <f t="shared" ca="1" si="257"/>
        <v>-</v>
      </c>
      <c r="V79" s="178"/>
      <c r="W79" s="812"/>
      <c r="X79" s="195">
        <f ca="1">Horarios!C79</f>
        <v>46195.875</v>
      </c>
      <c r="Y79" s="196">
        <f ca="1">Horarios!C79</f>
        <v>46195.875</v>
      </c>
      <c r="Z79" s="197" t="str">
        <f>$Z$6</f>
        <v>J2</v>
      </c>
      <c r="AA79" s="198" t="str">
        <f ca="1">A80</f>
        <v>Jordania</v>
      </c>
      <c r="AB79" s="486" t="str" cm="1">
        <f t="array" aca="1" ref="AB79" ca="1">Ver_flag_local</f>
        <v/>
      </c>
      <c r="AC79" s="199">
        <v>1</v>
      </c>
      <c r="AD79" s="200">
        <v>1</v>
      </c>
      <c r="AE79" s="491" t="str" cm="1">
        <f t="array" aca="1" ref="AE79" ca="1">Ver_flag_visit</f>
        <v/>
      </c>
      <c r="AF79" s="201" t="str">
        <f ca="1">A78</f>
        <v>Argelia</v>
      </c>
      <c r="AG79" s="421">
        <f t="shared" si="258"/>
        <v>1</v>
      </c>
      <c r="AH79" s="202">
        <v>44</v>
      </c>
      <c r="AI79" s="19" t="str">
        <f t="shared" ref="AI79:AI81" si="263">AJ79&amp;$B$76</f>
        <v>2J</v>
      </c>
      <c r="AJ79" s="227">
        <v>2</v>
      </c>
      <c r="AK79" s="494" t="str" cm="1">
        <f t="array" aca="1" ref="AK79" ca="1">Ver_flag_visit</f>
        <v/>
      </c>
      <c r="AL79" s="228" t="str">
        <f ca="1">IFERROR(INDEX($BD$6:$BD$53,MATCH(AI79,$BN$6:$BN$53,0)),"")</f>
        <v>Austria</v>
      </c>
      <c r="AM79" s="229">
        <f t="shared" ca="1" si="262"/>
        <v>4</v>
      </c>
      <c r="AN79" s="230">
        <f t="shared" ca="1" si="262"/>
        <v>3</v>
      </c>
      <c r="AO79" s="230">
        <f t="shared" ca="1" si="262"/>
        <v>1</v>
      </c>
      <c r="AP79" s="230">
        <f t="shared" ca="1" si="262"/>
        <v>1</v>
      </c>
      <c r="AQ79" s="230">
        <f t="shared" ca="1" si="262"/>
        <v>1</v>
      </c>
      <c r="AR79" s="230">
        <f t="shared" ca="1" si="262"/>
        <v>1</v>
      </c>
      <c r="AS79" s="230">
        <f t="shared" ca="1" si="262"/>
        <v>1</v>
      </c>
      <c r="AT79" s="231">
        <f t="shared" ca="1" si="262"/>
        <v>0</v>
      </c>
      <c r="AU79" s="428">
        <f ca="1">INDEX($DL$6:$DL$53,MATCH(AI79,$DP$6:$DP$53,0))</f>
        <v>1</v>
      </c>
      <c r="AV79" s="223" t="str">
        <f ca="1">INDEX($BD$6:$BD$53,MATCH(AI79,$BM$6:$BM$53,0))</f>
        <v>Austria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c r="A80" s="757" t="str">
        <f ca="1">+Equipos!B41</f>
        <v>Jordania</v>
      </c>
      <c r="B80" s="754"/>
      <c r="C80" s="756"/>
      <c r="D80" s="756" t="str">
        <f t="shared" si="245"/>
        <v>Empate</v>
      </c>
      <c r="E80" s="756" t="str">
        <f t="shared" ca="1" si="246"/>
        <v>-</v>
      </c>
      <c r="F80" s="756" t="str">
        <f t="shared" ca="1" si="247"/>
        <v>-</v>
      </c>
      <c r="G80" s="756"/>
      <c r="H80" s="756" t="str">
        <f t="shared" ca="1" si="248"/>
        <v>-</v>
      </c>
      <c r="I80" s="756" t="str">
        <f t="shared" ca="1" si="249"/>
        <v>-</v>
      </c>
      <c r="J80" s="756"/>
      <c r="K80" s="756" t="str">
        <f t="shared" ca="1" si="250"/>
        <v>-</v>
      </c>
      <c r="L80" s="756" t="str">
        <f t="shared" ca="1" si="251"/>
        <v>-</v>
      </c>
      <c r="M80" s="756"/>
      <c r="N80" s="756" t="str">
        <f t="shared" ca="1" si="252"/>
        <v>-</v>
      </c>
      <c r="O80" s="756" t="str">
        <f t="shared" ca="1" si="253"/>
        <v>-</v>
      </c>
      <c r="P80" s="756"/>
      <c r="Q80" s="756" t="str">
        <f t="shared" ca="1" si="254"/>
        <v>-</v>
      </c>
      <c r="R80" s="756" t="str">
        <f t="shared" ca="1" si="255"/>
        <v>-</v>
      </c>
      <c r="S80" s="756"/>
      <c r="T80" s="756" t="str">
        <f t="shared" ca="1" si="256"/>
        <v>-</v>
      </c>
      <c r="U80" s="756" t="str">
        <f t="shared" ca="1" si="257"/>
        <v>-</v>
      </c>
      <c r="V80" s="178"/>
      <c r="W80" s="812"/>
      <c r="X80" s="195">
        <f ca="1">Horarios!C80</f>
        <v>46200.833333333328</v>
      </c>
      <c r="Y80" s="196">
        <f ca="1">Horarios!C80</f>
        <v>46200.833333333328</v>
      </c>
      <c r="Z80" s="197" t="str">
        <f>$Z$8</f>
        <v>J3</v>
      </c>
      <c r="AA80" s="198" t="str">
        <f ca="1">A78</f>
        <v>Argelia</v>
      </c>
      <c r="AB80" s="486" t="str" cm="1">
        <f t="array" aca="1" ref="AB80" ca="1">Ver_flag_local</f>
        <v/>
      </c>
      <c r="AC80" s="199">
        <v>0</v>
      </c>
      <c r="AD80" s="200">
        <v>0</v>
      </c>
      <c r="AE80" s="491" t="str" cm="1">
        <f t="array" aca="1" ref="AE80" ca="1">Ver_flag_visit</f>
        <v/>
      </c>
      <c r="AF80" s="201" t="str">
        <f ca="1">A79</f>
        <v>Austria</v>
      </c>
      <c r="AG80" s="421">
        <f t="shared" si="258"/>
        <v>1</v>
      </c>
      <c r="AH80" s="202">
        <v>69</v>
      </c>
      <c r="AI80" s="19" t="str">
        <f t="shared" si="263"/>
        <v>3J</v>
      </c>
      <c r="AJ80" s="227">
        <v>3</v>
      </c>
      <c r="AK80" s="494" t="str" cm="1">
        <f t="array" aca="1" ref="AK80" ca="1">Ver_flag_visit</f>
        <v/>
      </c>
      <c r="AL80" s="228" t="str">
        <f ca="1">IFERROR(INDEX($BD$6:$BD$53,MATCH(AI80,$BN$6:$BN$53,0)),"")</f>
        <v>Argelia</v>
      </c>
      <c r="AM80" s="229">
        <f t="shared" ca="1" si="262"/>
        <v>2</v>
      </c>
      <c r="AN80" s="230">
        <f t="shared" ca="1" si="262"/>
        <v>3</v>
      </c>
      <c r="AO80" s="230">
        <f t="shared" ca="1" si="262"/>
        <v>0</v>
      </c>
      <c r="AP80" s="230">
        <f t="shared" ca="1" si="262"/>
        <v>2</v>
      </c>
      <c r="AQ80" s="230">
        <f t="shared" ca="1" si="262"/>
        <v>1</v>
      </c>
      <c r="AR80" s="230">
        <f t="shared" ca="1" si="262"/>
        <v>1</v>
      </c>
      <c r="AS80" s="230">
        <f t="shared" ca="1" si="262"/>
        <v>3</v>
      </c>
      <c r="AT80" s="231">
        <f t="shared" ca="1" si="262"/>
        <v>-2</v>
      </c>
      <c r="AU80" s="428">
        <f ca="1">INDEX($DL$6:$DL$53,MATCH(AI80,$DP$6:$DP$53,0))</f>
        <v>1</v>
      </c>
      <c r="AV80" s="223" t="str">
        <f ca="1">INDEX($BD$6:$BD$53,MATCH(AI80,$BM$6:$BM$53,0))</f>
        <v>Argelia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149999999999999" customHeight="1" thickBot="1">
      <c r="A81" s="751"/>
      <c r="B81" s="751"/>
      <c r="C81" s="751"/>
      <c r="D81" s="756" t="str">
        <f t="shared" si="245"/>
        <v>Visitante</v>
      </c>
      <c r="E81" s="756" t="str">
        <f t="shared" ca="1" si="246"/>
        <v>-</v>
      </c>
      <c r="F81" s="756" t="str">
        <f t="shared" ca="1" si="247"/>
        <v>-</v>
      </c>
      <c r="G81" s="756"/>
      <c r="H81" s="756" t="str">
        <f t="shared" ca="1" si="248"/>
        <v>-</v>
      </c>
      <c r="I81" s="756" t="str">
        <f t="shared" ca="1" si="249"/>
        <v>-</v>
      </c>
      <c r="J81" s="756"/>
      <c r="K81" s="756" t="str">
        <f t="shared" ca="1" si="250"/>
        <v>-</v>
      </c>
      <c r="L81" s="756" t="str">
        <f t="shared" ca="1" si="251"/>
        <v>-</v>
      </c>
      <c r="M81" s="756"/>
      <c r="N81" s="756" t="str">
        <f t="shared" ca="1" si="252"/>
        <v>-</v>
      </c>
      <c r="O81" s="756" t="str">
        <f t="shared" ca="1" si="253"/>
        <v>-</v>
      </c>
      <c r="P81" s="756"/>
      <c r="Q81" s="756" t="str">
        <f t="shared" ca="1" si="254"/>
        <v>-</v>
      </c>
      <c r="R81" s="756" t="str">
        <f t="shared" ca="1" si="255"/>
        <v>-</v>
      </c>
      <c r="S81" s="756"/>
      <c r="T81" s="756" t="str">
        <f t="shared" ca="1" si="256"/>
        <v>-</v>
      </c>
      <c r="U81" s="756" t="str">
        <f t="shared" ca="1" si="257"/>
        <v>-</v>
      </c>
      <c r="V81" s="178"/>
      <c r="W81" s="813"/>
      <c r="X81" s="234">
        <f ca="1">Horarios!C81</f>
        <v>46200.833333333328</v>
      </c>
      <c r="Y81" s="235">
        <f ca="1">Horarios!C81</f>
        <v>46200.833333333328</v>
      </c>
      <c r="Z81" s="236" t="str">
        <f>$Z$8</f>
        <v>J3</v>
      </c>
      <c r="AA81" s="237" t="str">
        <f ca="1">A80</f>
        <v>Jordania</v>
      </c>
      <c r="AB81" s="487" t="str" cm="1">
        <f t="array" aca="1" ref="AB81" ca="1">Ver_flag_local</f>
        <v/>
      </c>
      <c r="AC81" s="238">
        <v>0</v>
      </c>
      <c r="AD81" s="239">
        <v>4</v>
      </c>
      <c r="AE81" s="492" t="str" cm="1">
        <f t="array" aca="1" ref="AE81" ca="1">Ver_flag_visit</f>
        <v/>
      </c>
      <c r="AF81" s="240" t="str">
        <f ca="1">A77</f>
        <v>Argentina</v>
      </c>
      <c r="AG81" s="421">
        <f t="shared" si="258"/>
        <v>1</v>
      </c>
      <c r="AH81" s="202">
        <v>70</v>
      </c>
      <c r="AI81" s="19" t="str">
        <f t="shared" si="263"/>
        <v>4J</v>
      </c>
      <c r="AJ81" s="241">
        <v>4</v>
      </c>
      <c r="AK81" s="495" t="str" cm="1">
        <f t="array" aca="1" ref="AK81" ca="1">Ver_flag_visit</f>
        <v/>
      </c>
      <c r="AL81" s="242" t="str">
        <f ca="1">IFERROR(INDEX($BD$6:$BD$53,MATCH(AI81,$BN$6:$BN$53,0)),"")</f>
        <v>Jordania</v>
      </c>
      <c r="AM81" s="243">
        <f t="shared" ca="1" si="262"/>
        <v>1</v>
      </c>
      <c r="AN81" s="244">
        <f t="shared" ca="1" si="262"/>
        <v>3</v>
      </c>
      <c r="AO81" s="244">
        <f t="shared" ca="1" si="262"/>
        <v>0</v>
      </c>
      <c r="AP81" s="244">
        <f t="shared" ca="1" si="262"/>
        <v>1</v>
      </c>
      <c r="AQ81" s="244">
        <f t="shared" ca="1" si="262"/>
        <v>2</v>
      </c>
      <c r="AR81" s="244">
        <f t="shared" ca="1" si="262"/>
        <v>1</v>
      </c>
      <c r="AS81" s="244">
        <f t="shared" ca="1" si="262"/>
        <v>6</v>
      </c>
      <c r="AT81" s="245">
        <f t="shared" ca="1" si="262"/>
        <v>-5</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5" thickBot="1">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5" thickBot="1">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c r="A84" s="753" t="s">
        <v>30</v>
      </c>
      <c r="B84" s="754" t="s">
        <v>439</v>
      </c>
      <c r="C84" s="755">
        <f>COUNTIF(Equipos!$C$2:$C$49,WORLDCUP!B84)</f>
        <v>4</v>
      </c>
      <c r="D84" s="756" t="str">
        <f t="shared" ref="D84:D89" si="264">IF(OR(AC84="",AD84=""),"Pendiente",IF(AC84&gt;AD84,"Local",IF(AC84&lt;AD84,"Visitante","Empate")))</f>
        <v>Local</v>
      </c>
      <c r="E84" s="756" t="str">
        <f t="shared" ref="E84:E89" ca="1" si="265">IF(D84="Pendiente","-",INDEX($BT$6:$BT$53,MATCH($AA84,$BD$6:$BD$53,0)))</f>
        <v>-</v>
      </c>
      <c r="F84" s="756" t="str">
        <f t="shared" ref="F84:F89" ca="1" si="266">IF(D84="Pendiente","-",INDEX($BT$6:$BT$53,MATCH($AF84,$BD$6:$BD$53,0)))</f>
        <v>P.2 (2)</v>
      </c>
      <c r="G84" s="756"/>
      <c r="H84" s="756" t="str">
        <f t="shared" ref="H84:H89" ca="1" si="267">IF(D84="Pendiente","-",INDEX($BZ$6:$BZ$53,MATCH($AA84,$BD$6:$BD$53,0)))</f>
        <v>-</v>
      </c>
      <c r="I84" s="756" t="str">
        <f t="shared" ref="I84:I89" ca="1" si="268">IF(D84="Pendiente","-",INDEX($BZ$6:$BZ$53,MATCH($AF84,$BD$6:$BD$53,0)))</f>
        <v>P.2 (2)</v>
      </c>
      <c r="J84" s="756"/>
      <c r="K84" s="756" t="str">
        <f t="shared" ref="K84:K89" ca="1" si="269">IF(D84="Pendiente","-",INDEX($CE$6:$CE$53,MATCH($AA84,$BD$6:$BD$53,0)))</f>
        <v>-</v>
      </c>
      <c r="L84" s="756" t="str">
        <f t="shared" ref="L84:L89" ca="1" si="270">IF(D84="Pendiente","-",INDEX($CE$6:$CE$53,MATCH($AF84,$BD$6:$BD$53,0)))</f>
        <v>P.2 (2)</v>
      </c>
      <c r="M84" s="756"/>
      <c r="N84" s="756" t="str">
        <f t="shared" ref="N84:N89" ca="1" si="271">IF(D84="Pendiente","-",INDEX($CH$6:$CH$53,MATCH($AA84,$BD$6:$BD$53,0)))</f>
        <v>-</v>
      </c>
      <c r="O84" s="756" t="str">
        <f t="shared" ref="O84:O89" ca="1" si="272">IF(D84="Pendiente","-",INDEX($CH$6:$CH$53,MATCH($AF84,$BD$6:$BD$53,0)))</f>
        <v>P.2 (2)</v>
      </c>
      <c r="P84" s="756"/>
      <c r="Q84" s="756" t="str">
        <f t="shared" ref="Q84:Q89" ca="1" si="273">IF(D84="Pendiente","-",INDEX($CN$6:$CN$53,MATCH($AA84,$BD$6:$BD$53,0)))</f>
        <v>-</v>
      </c>
      <c r="R84" s="756" t="str">
        <f t="shared" ref="R84:R89" ca="1" si="274">IF(D84="Pendiente","-",INDEX($CN$6:$CN$53,MATCH($AF84,$BD$6:$BD$53,0)))</f>
        <v>P.2 (2)</v>
      </c>
      <c r="S84" s="756"/>
      <c r="T84" s="756" t="str">
        <f t="shared" ref="T84:T89" ca="1" si="275">IF(D84="Pendiente","-",INDEX($CS$6:$CS$53,MATCH($AA84,$BD$6:$BD$53,0)))</f>
        <v>-</v>
      </c>
      <c r="U84" s="756" t="str">
        <f t="shared" ref="U84:U89" ca="1" si="276">IF(D84="Pendiente","-",INDEX($CS$6:$CS$53,MATCH($AF84,$BD$6:$BD$53,0)))</f>
        <v>P.2 (2)</v>
      </c>
      <c r="V84" s="178"/>
      <c r="W84" s="818" t="s">
        <v>439</v>
      </c>
      <c r="X84" s="195">
        <f ca="1">Horarios!C84</f>
        <v>46190.458333333328</v>
      </c>
      <c r="Y84" s="196">
        <f ca="1">Horarios!C84</f>
        <v>46190.458333333328</v>
      </c>
      <c r="Z84" s="197" t="str">
        <f>$Z$4</f>
        <v>J1</v>
      </c>
      <c r="AA84" s="198" t="str">
        <f ca="1">A85</f>
        <v>Portugal</v>
      </c>
      <c r="AB84" s="486" t="str" cm="1">
        <f t="array" aca="1" ref="AB84" ca="1">Ver_flag_local</f>
        <v/>
      </c>
      <c r="AC84" s="199">
        <v>2</v>
      </c>
      <c r="AD84" s="200">
        <v>0</v>
      </c>
      <c r="AE84" s="491" t="str" cm="1">
        <f t="array" aca="1" ref="AE84" ca="1">Ver_flag_visit</f>
        <v/>
      </c>
      <c r="AF84" s="201" t="str">
        <f ca="1">A86</f>
        <v>RD Congo</v>
      </c>
      <c r="AG84" s="421">
        <f t="shared" ref="AG84:AG89" si="277">IF(NOT(OR(ISBLANK(AC84),ISBLANK(AD84))),1,0)</f>
        <v>1</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c r="A85" s="757" t="str">
        <f ca="1">+Equipos!B42</f>
        <v>Portugal</v>
      </c>
      <c r="B85" s="754"/>
      <c r="C85" s="754"/>
      <c r="D85" s="756" t="str">
        <f t="shared" si="264"/>
        <v>Visitante</v>
      </c>
      <c r="E85" s="756" t="str">
        <f t="shared" ca="1" si="265"/>
        <v>-</v>
      </c>
      <c r="F85" s="756" t="str">
        <f t="shared" ca="1" si="266"/>
        <v>P.2 (2)</v>
      </c>
      <c r="G85" s="756"/>
      <c r="H85" s="756" t="str">
        <f t="shared" ca="1" si="267"/>
        <v>-</v>
      </c>
      <c r="I85" s="756" t="str">
        <f t="shared" ca="1" si="268"/>
        <v>P.2 (2)</v>
      </c>
      <c r="J85" s="756"/>
      <c r="K85" s="756" t="str">
        <f t="shared" ca="1" si="269"/>
        <v>-</v>
      </c>
      <c r="L85" s="756" t="str">
        <f t="shared" ca="1" si="270"/>
        <v>P.2 (2)</v>
      </c>
      <c r="M85" s="756"/>
      <c r="N85" s="756" t="str">
        <f t="shared" ca="1" si="271"/>
        <v>-</v>
      </c>
      <c r="O85" s="756" t="str">
        <f t="shared" ca="1" si="272"/>
        <v>P.2 (2)</v>
      </c>
      <c r="P85" s="756"/>
      <c r="Q85" s="756" t="str">
        <f t="shared" ca="1" si="273"/>
        <v>-</v>
      </c>
      <c r="R85" s="756" t="str">
        <f t="shared" ca="1" si="274"/>
        <v>P.2 (2)</v>
      </c>
      <c r="S85" s="756"/>
      <c r="T85" s="756" t="str">
        <f t="shared" ca="1" si="275"/>
        <v>-</v>
      </c>
      <c r="U85" s="756" t="str">
        <f t="shared" ca="1" si="276"/>
        <v>P.2 (2)</v>
      </c>
      <c r="V85" s="178"/>
      <c r="W85" s="818"/>
      <c r="X85" s="195">
        <f ca="1">Horarios!C85</f>
        <v>46190.833333333328</v>
      </c>
      <c r="Y85" s="196">
        <f ca="1">Horarios!C85</f>
        <v>46190.833333333328</v>
      </c>
      <c r="Z85" s="197" t="str">
        <f>$Z$4</f>
        <v>J1</v>
      </c>
      <c r="AA85" s="198" t="str">
        <f ca="1">A87</f>
        <v>Uzbekistán</v>
      </c>
      <c r="AB85" s="486" t="str" cm="1">
        <f t="array" aca="1" ref="AB85" ca="1">Ver_flag_local</f>
        <v/>
      </c>
      <c r="AC85" s="199">
        <v>0</v>
      </c>
      <c r="AD85" s="200">
        <v>3</v>
      </c>
      <c r="AE85" s="491" t="str" cm="1">
        <f t="array" aca="1" ref="AE85" ca="1">Ver_flag_visit</f>
        <v/>
      </c>
      <c r="AF85" s="201" t="str">
        <f ca="1">A88</f>
        <v>Colombia</v>
      </c>
      <c r="AG85" s="421">
        <f t="shared" si="277"/>
        <v>1</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c r="A86" s="757" t="str">
        <f ca="1">+Equipos!B43</f>
        <v>RD Congo</v>
      </c>
      <c r="B86" s="754"/>
      <c r="C86" s="758"/>
      <c r="D86" s="756" t="str">
        <f t="shared" si="264"/>
        <v>Local</v>
      </c>
      <c r="E86" s="756" t="str">
        <f t="shared" ca="1" si="265"/>
        <v>-</v>
      </c>
      <c r="F86" s="756" t="str">
        <f t="shared" ca="1" si="266"/>
        <v>-</v>
      </c>
      <c r="G86" s="756"/>
      <c r="H86" s="756" t="str">
        <f t="shared" ca="1" si="267"/>
        <v>-</v>
      </c>
      <c r="I86" s="756" t="str">
        <f t="shared" ca="1" si="268"/>
        <v>-</v>
      </c>
      <c r="J86" s="756"/>
      <c r="K86" s="756" t="str">
        <f t="shared" ca="1" si="269"/>
        <v>-</v>
      </c>
      <c r="L86" s="756" t="str">
        <f t="shared" ca="1" si="270"/>
        <v>-</v>
      </c>
      <c r="M86" s="756"/>
      <c r="N86" s="756" t="str">
        <f t="shared" ca="1" si="271"/>
        <v>-</v>
      </c>
      <c r="O86" s="756" t="str">
        <f t="shared" ca="1" si="272"/>
        <v>-</v>
      </c>
      <c r="P86" s="756"/>
      <c r="Q86" s="756" t="str">
        <f t="shared" ca="1" si="273"/>
        <v>-</v>
      </c>
      <c r="R86" s="756" t="str">
        <f t="shared" ca="1" si="274"/>
        <v>-</v>
      </c>
      <c r="S86" s="756"/>
      <c r="T86" s="756" t="str">
        <f t="shared" ca="1" si="275"/>
        <v>-</v>
      </c>
      <c r="U86" s="756" t="str">
        <f t="shared" ca="1" si="276"/>
        <v>-</v>
      </c>
      <c r="V86" s="178"/>
      <c r="W86" s="818"/>
      <c r="X86" s="195">
        <f ca="1">Horarios!C86</f>
        <v>46196.458333333328</v>
      </c>
      <c r="Y86" s="196">
        <f ca="1">Horarios!C86</f>
        <v>46196.458333333328</v>
      </c>
      <c r="Z86" s="197" t="str">
        <f>$Z$6</f>
        <v>J2</v>
      </c>
      <c r="AA86" s="198" t="str">
        <f ca="1">A85</f>
        <v>Portugal</v>
      </c>
      <c r="AB86" s="486" t="str" cm="1">
        <f t="array" aca="1" ref="AB86" ca="1">Ver_flag_local</f>
        <v/>
      </c>
      <c r="AC86" s="199">
        <v>1</v>
      </c>
      <c r="AD86" s="200">
        <v>0</v>
      </c>
      <c r="AE86" s="491" t="str" cm="1">
        <f t="array" aca="1" ref="AE86" ca="1">Ver_flag_visit</f>
        <v/>
      </c>
      <c r="AF86" s="201" t="str">
        <f ca="1">A87</f>
        <v>Uzbekistán</v>
      </c>
      <c r="AG86" s="421">
        <f t="shared" si="277"/>
        <v>1</v>
      </c>
      <c r="AH86" s="202">
        <v>47</v>
      </c>
      <c r="AI86" s="19" t="str">
        <f>AJ86&amp;$B$84</f>
        <v>1K</v>
      </c>
      <c r="AJ86" s="217">
        <v>1</v>
      </c>
      <c r="AK86" s="496" t="str" cm="1">
        <f t="array" aca="1" ref="AK86" ca="1">Ver_flag_visit</f>
        <v/>
      </c>
      <c r="AL86" s="218" t="str">
        <f ca="1">IFERROR(INDEX($BD$6:$BD$53,MATCH(AI86,$BN$6:$BN$53,0)),"")</f>
        <v>Portugal</v>
      </c>
      <c r="AM86" s="219">
        <f t="shared" ref="AM86:AT89" ca="1" si="281">INDEX($BE$6:$BN$53,MATCH($AL86,$BD$6:$BD$53,0),MATCH(AM$5,$BE$5:$BN$5,0))</f>
        <v>9</v>
      </c>
      <c r="AN86" s="220">
        <f t="shared" ca="1" si="281"/>
        <v>3</v>
      </c>
      <c r="AO86" s="220">
        <f t="shared" ca="1" si="281"/>
        <v>3</v>
      </c>
      <c r="AP86" s="220">
        <f t="shared" ca="1" si="281"/>
        <v>0</v>
      </c>
      <c r="AQ86" s="220">
        <f t="shared" ca="1" si="281"/>
        <v>0</v>
      </c>
      <c r="AR86" s="220">
        <f t="shared" ca="1" si="281"/>
        <v>5</v>
      </c>
      <c r="AS86" s="220">
        <f t="shared" ca="1" si="281"/>
        <v>1</v>
      </c>
      <c r="AT86" s="221">
        <f t="shared" ca="1" si="281"/>
        <v>4</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c r="A87" s="757" t="str">
        <f ca="1">+Equipos!B44</f>
        <v>Uzbekistán</v>
      </c>
      <c r="B87" s="754"/>
      <c r="C87" s="756"/>
      <c r="D87" s="756" t="str">
        <f t="shared" si="264"/>
        <v>Empate</v>
      </c>
      <c r="E87" s="756" t="str">
        <f t="shared" ca="1" si="265"/>
        <v>P.2 (2)</v>
      </c>
      <c r="F87" s="756" t="str">
        <f t="shared" ca="1" si="266"/>
        <v>P.2 (2)</v>
      </c>
      <c r="G87" s="756"/>
      <c r="H87" s="756" t="str">
        <f t="shared" ca="1" si="267"/>
        <v>P.2 (2)</v>
      </c>
      <c r="I87" s="756" t="str">
        <f t="shared" ca="1" si="268"/>
        <v>P.2 (2)</v>
      </c>
      <c r="J87" s="756"/>
      <c r="K87" s="756" t="str">
        <f t="shared" ca="1" si="269"/>
        <v>P.2 (2)</v>
      </c>
      <c r="L87" s="756" t="str">
        <f t="shared" ca="1" si="270"/>
        <v>P.2 (2)</v>
      </c>
      <c r="M87" s="756"/>
      <c r="N87" s="756" t="str">
        <f t="shared" ca="1" si="271"/>
        <v>P.2 (2)</v>
      </c>
      <c r="O87" s="756" t="str">
        <f t="shared" ca="1" si="272"/>
        <v>P.2 (2)</v>
      </c>
      <c r="P87" s="756"/>
      <c r="Q87" s="756" t="str">
        <f t="shared" ca="1" si="273"/>
        <v>P.2 (2)</v>
      </c>
      <c r="R87" s="756" t="str">
        <f t="shared" ca="1" si="274"/>
        <v>P.2 (2)</v>
      </c>
      <c r="S87" s="756"/>
      <c r="T87" s="756" t="str">
        <f t="shared" ca="1" si="275"/>
        <v>P.2 (2)</v>
      </c>
      <c r="U87" s="756" t="str">
        <f t="shared" ca="1" si="276"/>
        <v>P.2 (2)</v>
      </c>
      <c r="V87" s="178"/>
      <c r="W87" s="818"/>
      <c r="X87" s="195">
        <f ca="1">Horarios!C87</f>
        <v>46196.833333333328</v>
      </c>
      <c r="Y87" s="196">
        <f ca="1">Horarios!C87</f>
        <v>46196.833333333328</v>
      </c>
      <c r="Z87" s="197" t="str">
        <f>$Z$6</f>
        <v>J2</v>
      </c>
      <c r="AA87" s="198" t="str">
        <f ca="1">A88</f>
        <v>Colombia</v>
      </c>
      <c r="AB87" s="486" t="str" cm="1">
        <f t="array" aca="1" ref="AB87" ca="1">Ver_flag_local</f>
        <v/>
      </c>
      <c r="AC87" s="199">
        <v>1</v>
      </c>
      <c r="AD87" s="200">
        <v>1</v>
      </c>
      <c r="AE87" s="491" t="str" cm="1">
        <f t="array" aca="1" ref="AE87" ca="1">Ver_flag_visit</f>
        <v/>
      </c>
      <c r="AF87" s="201" t="str">
        <f ca="1">A86</f>
        <v>RD Congo</v>
      </c>
      <c r="AG87" s="421">
        <f t="shared" si="277"/>
        <v>1</v>
      </c>
      <c r="AH87" s="202">
        <v>48</v>
      </c>
      <c r="AI87" s="19" t="str">
        <f t="shared" ref="AI87:AI89" si="282">AJ87&amp;$B$84</f>
        <v>2K</v>
      </c>
      <c r="AJ87" s="227">
        <v>2</v>
      </c>
      <c r="AK87" s="494" t="str" cm="1">
        <f t="array" aca="1" ref="AK87" ca="1">Ver_flag_visit</f>
        <v/>
      </c>
      <c r="AL87" s="228" t="str">
        <f ca="1">IFERROR(INDEX($BD$6:$BD$53,MATCH(AI87,$BN$6:$BN$53,0)),"")</f>
        <v>Colombia</v>
      </c>
      <c r="AM87" s="229">
        <f t="shared" ca="1" si="281"/>
        <v>4</v>
      </c>
      <c r="AN87" s="230">
        <f t="shared" ca="1" si="281"/>
        <v>3</v>
      </c>
      <c r="AO87" s="230">
        <f t="shared" ca="1" si="281"/>
        <v>1</v>
      </c>
      <c r="AP87" s="230">
        <f t="shared" ca="1" si="281"/>
        <v>1</v>
      </c>
      <c r="AQ87" s="230">
        <f t="shared" ca="1" si="281"/>
        <v>1</v>
      </c>
      <c r="AR87" s="230">
        <f t="shared" ca="1" si="281"/>
        <v>5</v>
      </c>
      <c r="AS87" s="230">
        <f t="shared" ca="1" si="281"/>
        <v>3</v>
      </c>
      <c r="AT87" s="231">
        <f t="shared" ca="1" si="281"/>
        <v>2</v>
      </c>
      <c r="AU87" s="428">
        <f ca="1">INDEX($DL$6:$DL$53,MATCH(AI87,$DP$6:$DP$53,0))</f>
        <v>1</v>
      </c>
      <c r="AV87" s="223" t="str">
        <f ca="1">INDEX($BD$6:$BD$53,MATCH(AI87,$BM$6:$BM$53,0))</f>
        <v>Colombia</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c r="A88" s="757" t="str">
        <f ca="1">+Equipos!B45</f>
        <v>Colombia</v>
      </c>
      <c r="B88" s="754"/>
      <c r="C88" s="756"/>
      <c r="D88" s="756" t="str">
        <f t="shared" si="264"/>
        <v>Visitante</v>
      </c>
      <c r="E88" s="756" t="str">
        <f t="shared" ca="1" si="265"/>
        <v>P.2 (2)</v>
      </c>
      <c r="F88" s="756" t="str">
        <f t="shared" ca="1" si="266"/>
        <v>-</v>
      </c>
      <c r="G88" s="756"/>
      <c r="H88" s="756" t="str">
        <f t="shared" ca="1" si="267"/>
        <v>P.2 (2)</v>
      </c>
      <c r="I88" s="756" t="str">
        <f t="shared" ca="1" si="268"/>
        <v>-</v>
      </c>
      <c r="J88" s="756"/>
      <c r="K88" s="756" t="str">
        <f t="shared" ca="1" si="269"/>
        <v>P.2 (2)</v>
      </c>
      <c r="L88" s="756" t="str">
        <f t="shared" ca="1" si="270"/>
        <v>-</v>
      </c>
      <c r="M88" s="756"/>
      <c r="N88" s="756" t="str">
        <f t="shared" ca="1" si="271"/>
        <v>P.2 (2)</v>
      </c>
      <c r="O88" s="756" t="str">
        <f t="shared" ca="1" si="272"/>
        <v>-</v>
      </c>
      <c r="P88" s="756"/>
      <c r="Q88" s="756" t="str">
        <f t="shared" ca="1" si="273"/>
        <v>P.2 (2)</v>
      </c>
      <c r="R88" s="756" t="str">
        <f t="shared" ca="1" si="274"/>
        <v>-</v>
      </c>
      <c r="S88" s="756"/>
      <c r="T88" s="756" t="str">
        <f t="shared" ca="1" si="275"/>
        <v>P.2 (2)</v>
      </c>
      <c r="U88" s="756" t="str">
        <f t="shared" ca="1" si="276"/>
        <v>-</v>
      </c>
      <c r="V88" s="178"/>
      <c r="W88" s="818"/>
      <c r="X88" s="195">
        <f ca="1">Horarios!C88</f>
        <v>46200.729166666664</v>
      </c>
      <c r="Y88" s="196">
        <f ca="1">Horarios!C88</f>
        <v>46200.729166666664</v>
      </c>
      <c r="Z88" s="197" t="str">
        <f>$Z$8</f>
        <v>J3</v>
      </c>
      <c r="AA88" s="198" t="str">
        <f ca="1">A88</f>
        <v>Colombia</v>
      </c>
      <c r="AB88" s="486" t="str" cm="1">
        <f t="array" aca="1" ref="AB88" ca="1">Ver_flag_local</f>
        <v/>
      </c>
      <c r="AC88" s="199">
        <v>1</v>
      </c>
      <c r="AD88" s="200">
        <v>2</v>
      </c>
      <c r="AE88" s="491" t="str" cm="1">
        <f t="array" aca="1" ref="AE88" ca="1">Ver_flag_visit</f>
        <v/>
      </c>
      <c r="AF88" s="201" t="str">
        <f ca="1">A85</f>
        <v>Portugal</v>
      </c>
      <c r="AG88" s="421">
        <f t="shared" si="277"/>
        <v>1</v>
      </c>
      <c r="AH88" s="202">
        <v>71</v>
      </c>
      <c r="AI88" s="19" t="str">
        <f t="shared" si="282"/>
        <v>3K</v>
      </c>
      <c r="AJ88" s="227">
        <v>3</v>
      </c>
      <c r="AK88" s="494" t="str" cm="1">
        <f t="array" aca="1" ref="AK88" ca="1">Ver_flag_visit</f>
        <v/>
      </c>
      <c r="AL88" s="228" t="str">
        <f ca="1">IFERROR(INDEX($BD$6:$BD$53,MATCH(AI88,$BN$6:$BN$53,0)),"")</f>
        <v>RD Congo</v>
      </c>
      <c r="AM88" s="229">
        <f t="shared" ca="1" si="281"/>
        <v>4</v>
      </c>
      <c r="AN88" s="230">
        <f t="shared" ca="1" si="281"/>
        <v>3</v>
      </c>
      <c r="AO88" s="230">
        <f t="shared" ca="1" si="281"/>
        <v>1</v>
      </c>
      <c r="AP88" s="230">
        <f t="shared" ca="1" si="281"/>
        <v>1</v>
      </c>
      <c r="AQ88" s="230">
        <f t="shared" ca="1" si="281"/>
        <v>1</v>
      </c>
      <c r="AR88" s="230">
        <f t="shared" ca="1" si="281"/>
        <v>4</v>
      </c>
      <c r="AS88" s="230">
        <f t="shared" ca="1" si="281"/>
        <v>3</v>
      </c>
      <c r="AT88" s="231">
        <f t="shared" ca="1" si="281"/>
        <v>1</v>
      </c>
      <c r="AU88" s="428">
        <f ca="1">INDEX($DL$6:$DL$53,MATCH(AI88,$DP$6:$DP$53,0))</f>
        <v>1</v>
      </c>
      <c r="AV88" s="223" t="str">
        <f ca="1">INDEX($BD$6:$BD$53,MATCH(AI88,$BM$6:$BM$53,0))</f>
        <v>RD Congo</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149999999999999" customHeight="1" thickBot="1">
      <c r="A89" s="751"/>
      <c r="B89" s="751"/>
      <c r="C89" s="751"/>
      <c r="D89" s="756" t="str">
        <f t="shared" si="264"/>
        <v>Local</v>
      </c>
      <c r="E89" s="756" t="str">
        <f t="shared" ca="1" si="265"/>
        <v>P.2 (2)</v>
      </c>
      <c r="F89" s="756" t="str">
        <f t="shared" ca="1" si="266"/>
        <v>-</v>
      </c>
      <c r="G89" s="756"/>
      <c r="H89" s="756" t="str">
        <f t="shared" ca="1" si="267"/>
        <v>P.2 (2)</v>
      </c>
      <c r="I89" s="756" t="str">
        <f t="shared" ca="1" si="268"/>
        <v>-</v>
      </c>
      <c r="J89" s="756"/>
      <c r="K89" s="756" t="str">
        <f t="shared" ca="1" si="269"/>
        <v>P.2 (2)</v>
      </c>
      <c r="L89" s="756" t="str">
        <f t="shared" ca="1" si="270"/>
        <v>-</v>
      </c>
      <c r="M89" s="756"/>
      <c r="N89" s="756" t="str">
        <f t="shared" ca="1" si="271"/>
        <v>P.2 (2)</v>
      </c>
      <c r="O89" s="756" t="str">
        <f t="shared" ca="1" si="272"/>
        <v>-</v>
      </c>
      <c r="P89" s="756"/>
      <c r="Q89" s="756" t="str">
        <f t="shared" ca="1" si="273"/>
        <v>P.2 (2)</v>
      </c>
      <c r="R89" s="756" t="str">
        <f t="shared" ca="1" si="274"/>
        <v>-</v>
      </c>
      <c r="S89" s="756"/>
      <c r="T89" s="756" t="str">
        <f t="shared" ca="1" si="275"/>
        <v>P.2 (2)</v>
      </c>
      <c r="U89" s="756" t="str">
        <f t="shared" ca="1" si="276"/>
        <v>-</v>
      </c>
      <c r="V89" s="178"/>
      <c r="W89" s="819"/>
      <c r="X89" s="234">
        <f ca="1">Horarios!C89</f>
        <v>46200.729166666664</v>
      </c>
      <c r="Y89" s="235">
        <f ca="1">Horarios!C89</f>
        <v>46200.729166666664</v>
      </c>
      <c r="Z89" s="236" t="str">
        <f>$Z$8</f>
        <v>J3</v>
      </c>
      <c r="AA89" s="237" t="str">
        <f ca="1">A86</f>
        <v>RD Congo</v>
      </c>
      <c r="AB89" s="487" t="str" cm="1">
        <f t="array" aca="1" ref="AB89" ca="1">Ver_flag_local</f>
        <v/>
      </c>
      <c r="AC89" s="238">
        <v>3</v>
      </c>
      <c r="AD89" s="239">
        <v>0</v>
      </c>
      <c r="AE89" s="492" t="str" cm="1">
        <f t="array" aca="1" ref="AE89" ca="1">Ver_flag_visit</f>
        <v/>
      </c>
      <c r="AF89" s="240" t="str">
        <f ca="1">A87</f>
        <v>Uzbekistán</v>
      </c>
      <c r="AG89" s="421">
        <f t="shared" si="277"/>
        <v>1</v>
      </c>
      <c r="AH89" s="202">
        <v>72</v>
      </c>
      <c r="AI89" s="19" t="str">
        <f t="shared" si="282"/>
        <v>4K</v>
      </c>
      <c r="AJ89" s="241">
        <v>4</v>
      </c>
      <c r="AK89" s="495" t="str" cm="1">
        <f t="array" aca="1" ref="AK89" ca="1">Ver_flag_visit</f>
        <v/>
      </c>
      <c r="AL89" s="242" t="str">
        <f ca="1">IFERROR(INDEX($BD$6:$BD$53,MATCH(AI89,$BN$6:$BN$53,0)),"")</f>
        <v>Uzbekistán</v>
      </c>
      <c r="AM89" s="243">
        <f t="shared" ca="1" si="281"/>
        <v>0</v>
      </c>
      <c r="AN89" s="244">
        <f t="shared" ca="1" si="281"/>
        <v>3</v>
      </c>
      <c r="AO89" s="244">
        <f t="shared" ca="1" si="281"/>
        <v>0</v>
      </c>
      <c r="AP89" s="244">
        <f t="shared" ca="1" si="281"/>
        <v>0</v>
      </c>
      <c r="AQ89" s="244">
        <f t="shared" ca="1" si="281"/>
        <v>3</v>
      </c>
      <c r="AR89" s="244">
        <f t="shared" ca="1" si="281"/>
        <v>0</v>
      </c>
      <c r="AS89" s="244">
        <f t="shared" ca="1" si="281"/>
        <v>7</v>
      </c>
      <c r="AT89" s="245">
        <f t="shared" ca="1" si="281"/>
        <v>-7</v>
      </c>
      <c r="AU89" s="428">
        <f ca="1">INDEX($DL$6:$DL$53,MATCH(AI89,$DP$6:$DP$53,0))</f>
        <v>1</v>
      </c>
      <c r="AV89" s="223" t="str">
        <f ca="1">INDEX($BD$6:$BD$53,MATCH(AI89,$BM$6:$BM$53,0))</f>
        <v>Uzbekistán</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5" thickBot="1">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5" thickBot="1">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c r="A92" s="753" t="s">
        <v>30</v>
      </c>
      <c r="B92" s="754" t="s">
        <v>238</v>
      </c>
      <c r="C92" s="755">
        <f>COUNTIF(Equipos!$C$2:$C$49,WORLDCUP!B92)</f>
        <v>4</v>
      </c>
      <c r="D92" s="756" t="str">
        <f t="shared" ref="D92:D97" si="283">IF(OR(AC92="",AD92=""),"Pendiente",IF(AC92&gt;AD92,"Local",IF(AC92&lt;AD92,"Visitante","Empate")))</f>
        <v>Empate</v>
      </c>
      <c r="E92" s="756" t="str">
        <f t="shared" ref="E92:E97" ca="1" si="284">IF(D92="Pendiente","-",INDEX($BT$6:$BT$53,MATCH($AA92,$BD$6:$BD$53,0)))</f>
        <v>-</v>
      </c>
      <c r="F92" s="756" t="str">
        <f t="shared" ref="F92:F97" ca="1" si="285">IF(D92="Pendiente","-",INDEX($BT$6:$BT$53,MATCH($AF92,$BD$6:$BD$53,0)))</f>
        <v>-</v>
      </c>
      <c r="G92" s="756"/>
      <c r="H92" s="756" t="str">
        <f t="shared" ref="H92:H97" ca="1" si="286">IF(D92="Pendiente","-",INDEX($BZ$6:$BZ$53,MATCH($AA92,$BD$6:$BD$53,0)))</f>
        <v>-</v>
      </c>
      <c r="I92" s="756" t="str">
        <f t="shared" ref="I92:I97" ca="1" si="287">IF(D92="Pendiente","-",INDEX($BZ$6:$BZ$53,MATCH($AF92,$BD$6:$BD$53,0)))</f>
        <v>-</v>
      </c>
      <c r="J92" s="756"/>
      <c r="K92" s="756" t="str">
        <f t="shared" ref="K92:K97" ca="1" si="288">IF(D92="Pendiente","-",INDEX($CE$6:$CE$53,MATCH($AA92,$BD$6:$BD$53,0)))</f>
        <v>-</v>
      </c>
      <c r="L92" s="756" t="str">
        <f t="shared" ref="L92:L97" ca="1" si="289">IF(D92="Pendiente","-",INDEX($CE$6:$CE$53,MATCH($AF92,$BD$6:$BD$53,0)))</f>
        <v>-</v>
      </c>
      <c r="M92" s="756"/>
      <c r="N92" s="756" t="str">
        <f t="shared" ref="N92:N97" ca="1" si="290">IF(D92="Pendiente","-",INDEX($CH$6:$CH$53,MATCH($AA92,$BD$6:$BD$53,0)))</f>
        <v>-</v>
      </c>
      <c r="O92" s="756" t="str">
        <f t="shared" ref="O92:O97" ca="1" si="291">IF(D92="Pendiente","-",INDEX($CH$6:$CH$53,MATCH($AF92,$BD$6:$BD$53,0)))</f>
        <v>-</v>
      </c>
      <c r="P92" s="756"/>
      <c r="Q92" s="756" t="str">
        <f t="shared" ref="Q92:Q97" ca="1" si="292">IF(D92="Pendiente","-",INDEX($CN$6:$CN$53,MATCH($AA92,$BD$6:$BD$53,0)))</f>
        <v>-</v>
      </c>
      <c r="R92" s="756" t="str">
        <f t="shared" ref="R92:R97" ca="1" si="293">IF(D92="Pendiente","-",INDEX($CN$6:$CN$53,MATCH($AF92,$BD$6:$BD$53,0)))</f>
        <v>-</v>
      </c>
      <c r="S92" s="756"/>
      <c r="T92" s="756" t="str">
        <f t="shared" ref="T92:T97" ca="1" si="294">IF(D92="Pendiente","-",INDEX($CS$6:$CS$53,MATCH($AA92,$BD$6:$BD$53,0)))</f>
        <v>-</v>
      </c>
      <c r="U92" s="756" t="str">
        <f t="shared" ref="U92:U97" ca="1" si="295">IF(D92="Pendiente","-",INDEX($CS$6:$CS$53,MATCH($AF92,$BD$6:$BD$53,0)))</f>
        <v>-</v>
      </c>
      <c r="V92" s="178"/>
      <c r="W92" s="814" t="s">
        <v>238</v>
      </c>
      <c r="X92" s="195">
        <f ca="1">Horarios!C92</f>
        <v>46190.583333333328</v>
      </c>
      <c r="Y92" s="196">
        <f ca="1">Horarios!C92</f>
        <v>46190.583333333328</v>
      </c>
      <c r="Z92" s="197" t="str">
        <f>$Z$4</f>
        <v>J1</v>
      </c>
      <c r="AA92" s="198" t="str">
        <f ca="1">A93</f>
        <v>Inglaterra</v>
      </c>
      <c r="AB92" s="486" t="str" cm="1">
        <f t="array" aca="1" ref="AB92" ca="1">Ver_flag_local</f>
        <v/>
      </c>
      <c r="AC92" s="199">
        <v>2</v>
      </c>
      <c r="AD92" s="200">
        <v>2</v>
      </c>
      <c r="AE92" s="491" t="str" cm="1">
        <f t="array" aca="1" ref="AE92" ca="1">Ver_flag_visit</f>
        <v/>
      </c>
      <c r="AF92" s="201" t="str">
        <f ca="1">A94</f>
        <v>Croacia</v>
      </c>
      <c r="AG92" s="421">
        <f t="shared" ref="AG92:AG97" si="296">IF(NOT(OR(ISBLANK(AC92),ISBLANK(AD92))),1,0)</f>
        <v>1</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c r="A93" s="757" t="str">
        <f ca="1">+Equipos!B46</f>
        <v>Inglaterra</v>
      </c>
      <c r="B93" s="754"/>
      <c r="C93" s="754"/>
      <c r="D93" s="756" t="str">
        <f t="shared" si="283"/>
        <v>Local</v>
      </c>
      <c r="E93" s="756" t="str">
        <f t="shared" ca="1" si="284"/>
        <v>-</v>
      </c>
      <c r="F93" s="756" t="str">
        <f t="shared" ca="1" si="285"/>
        <v>-</v>
      </c>
      <c r="G93" s="756"/>
      <c r="H93" s="756" t="str">
        <f t="shared" ca="1" si="286"/>
        <v>-</v>
      </c>
      <c r="I93" s="756" t="str">
        <f t="shared" ca="1" si="287"/>
        <v>-</v>
      </c>
      <c r="J93" s="756"/>
      <c r="K93" s="756" t="str">
        <f t="shared" ca="1" si="288"/>
        <v>-</v>
      </c>
      <c r="L93" s="756" t="str">
        <f t="shared" ca="1" si="289"/>
        <v>-</v>
      </c>
      <c r="M93" s="756"/>
      <c r="N93" s="756" t="str">
        <f t="shared" ca="1" si="290"/>
        <v>-</v>
      </c>
      <c r="O93" s="756" t="str">
        <f t="shared" ca="1" si="291"/>
        <v>-</v>
      </c>
      <c r="P93" s="756"/>
      <c r="Q93" s="756" t="str">
        <f t="shared" ca="1" si="292"/>
        <v>-</v>
      </c>
      <c r="R93" s="756" t="str">
        <f t="shared" ca="1" si="293"/>
        <v>-</v>
      </c>
      <c r="S93" s="756"/>
      <c r="T93" s="756" t="str">
        <f t="shared" ca="1" si="294"/>
        <v>-</v>
      </c>
      <c r="U93" s="756" t="str">
        <f t="shared" ca="1" si="295"/>
        <v>-</v>
      </c>
      <c r="V93" s="178"/>
      <c r="W93" s="814"/>
      <c r="X93" s="195">
        <f ca="1">Horarios!C93</f>
        <v>46190.708333333328</v>
      </c>
      <c r="Y93" s="196">
        <f ca="1">Horarios!C93</f>
        <v>46190.708333333328</v>
      </c>
      <c r="Z93" s="197" t="str">
        <f>$Z$4</f>
        <v>J1</v>
      </c>
      <c r="AA93" s="198" t="str">
        <f ca="1">A95</f>
        <v>Ghana</v>
      </c>
      <c r="AB93" s="486" t="str" cm="1">
        <f t="array" aca="1" ref="AB93" ca="1">Ver_flag_local</f>
        <v/>
      </c>
      <c r="AC93" s="199">
        <v>3</v>
      </c>
      <c r="AD93" s="200">
        <v>1</v>
      </c>
      <c r="AE93" s="491" t="str" cm="1">
        <f t="array" aca="1" ref="AE93" ca="1">Ver_flag_visit</f>
        <v/>
      </c>
      <c r="AF93" s="201" t="str">
        <f ca="1">A96</f>
        <v>Panamá</v>
      </c>
      <c r="AG93" s="421">
        <f t="shared" si="296"/>
        <v>1</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c r="A94" s="757" t="str">
        <f ca="1">+Equipos!B47</f>
        <v>Croacia</v>
      </c>
      <c r="B94" s="754"/>
      <c r="C94" s="758"/>
      <c r="D94" s="756" t="str">
        <f t="shared" si="283"/>
        <v>Local</v>
      </c>
      <c r="E94" s="756" t="str">
        <f t="shared" ca="1" si="284"/>
        <v>-</v>
      </c>
      <c r="F94" s="756" t="str">
        <f t="shared" ca="1" si="285"/>
        <v>-</v>
      </c>
      <c r="G94" s="756"/>
      <c r="H94" s="756" t="str">
        <f t="shared" ca="1" si="286"/>
        <v>-</v>
      </c>
      <c r="I94" s="756" t="str">
        <f t="shared" ca="1" si="287"/>
        <v>-</v>
      </c>
      <c r="J94" s="756"/>
      <c r="K94" s="756" t="str">
        <f t="shared" ca="1" si="288"/>
        <v>-</v>
      </c>
      <c r="L94" s="756" t="str">
        <f t="shared" ca="1" si="289"/>
        <v>-</v>
      </c>
      <c r="M94" s="756"/>
      <c r="N94" s="756" t="str">
        <f t="shared" ca="1" si="290"/>
        <v>-</v>
      </c>
      <c r="O94" s="756" t="str">
        <f t="shared" ca="1" si="291"/>
        <v>-</v>
      </c>
      <c r="P94" s="756"/>
      <c r="Q94" s="756" t="str">
        <f t="shared" ca="1" si="292"/>
        <v>-</v>
      </c>
      <c r="R94" s="756" t="str">
        <f t="shared" ca="1" si="293"/>
        <v>-</v>
      </c>
      <c r="S94" s="756"/>
      <c r="T94" s="756" t="str">
        <f t="shared" ca="1" si="294"/>
        <v>-</v>
      </c>
      <c r="U94" s="756" t="str">
        <f t="shared" ca="1" si="295"/>
        <v>-</v>
      </c>
      <c r="V94" s="178"/>
      <c r="W94" s="814"/>
      <c r="X94" s="195">
        <f ca="1">Horarios!C94</f>
        <v>46196.583333333328</v>
      </c>
      <c r="Y94" s="196">
        <f ca="1">Horarios!C94</f>
        <v>46196.583333333328</v>
      </c>
      <c r="Z94" s="197" t="str">
        <f>$Z$6</f>
        <v>J2</v>
      </c>
      <c r="AA94" s="198" t="str">
        <f ca="1">A93</f>
        <v>Inglaterra</v>
      </c>
      <c r="AB94" s="486" t="str" cm="1">
        <f t="array" aca="1" ref="AB94" ca="1">Ver_flag_local</f>
        <v/>
      </c>
      <c r="AC94" s="199">
        <v>1</v>
      </c>
      <c r="AD94" s="200">
        <v>0</v>
      </c>
      <c r="AE94" s="491" t="str" cm="1">
        <f t="array" aca="1" ref="AE94" ca="1">Ver_flag_visit</f>
        <v/>
      </c>
      <c r="AF94" s="201" t="str">
        <f ca="1">A95</f>
        <v>Ghana</v>
      </c>
      <c r="AG94" s="421">
        <f t="shared" si="296"/>
        <v>1</v>
      </c>
      <c r="AH94" s="202">
        <v>45</v>
      </c>
      <c r="AI94" s="19" t="str">
        <f>AJ94&amp;$B$92</f>
        <v>1L</v>
      </c>
      <c r="AJ94" s="217">
        <v>1</v>
      </c>
      <c r="AK94" s="496" t="str" cm="1">
        <f t="array" aca="1" ref="AK94" ca="1">Ver_flag_visit</f>
        <v/>
      </c>
      <c r="AL94" s="218" t="str">
        <f ca="1">IFERROR(INDEX($BD$6:$BD$53,MATCH(AI94,$BN$6:$BN$53,0)),"")</f>
        <v>Inglaterra</v>
      </c>
      <c r="AM94" s="219">
        <f t="shared" ref="AM94:AT97" ca="1" si="300">INDEX($BE$6:$BN$53,MATCH($AL94,$BD$6:$BD$53,0),MATCH(AM$5,$BE$5:$BN$5,0))</f>
        <v>7</v>
      </c>
      <c r="AN94" s="220">
        <f t="shared" ca="1" si="300"/>
        <v>3</v>
      </c>
      <c r="AO94" s="220">
        <f t="shared" ca="1" si="300"/>
        <v>2</v>
      </c>
      <c r="AP94" s="220">
        <f t="shared" ca="1" si="300"/>
        <v>1</v>
      </c>
      <c r="AQ94" s="220">
        <f t="shared" ca="1" si="300"/>
        <v>0</v>
      </c>
      <c r="AR94" s="220">
        <f t="shared" ca="1" si="300"/>
        <v>9</v>
      </c>
      <c r="AS94" s="220">
        <f t="shared" ca="1" si="300"/>
        <v>2</v>
      </c>
      <c r="AT94" s="221">
        <f t="shared" ca="1" si="300"/>
        <v>7</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c r="A95" s="757" t="str">
        <f ca="1">+Equipos!B48</f>
        <v>Ghana</v>
      </c>
      <c r="B95" s="754"/>
      <c r="C95" s="756"/>
      <c r="D95" s="756" t="str">
        <f t="shared" si="283"/>
        <v>Visitante</v>
      </c>
      <c r="E95" s="756" t="str">
        <f t="shared" ca="1" si="284"/>
        <v>-</v>
      </c>
      <c r="F95" s="756" t="str">
        <f t="shared" ca="1" si="285"/>
        <v>-</v>
      </c>
      <c r="G95" s="756"/>
      <c r="H95" s="756" t="str">
        <f t="shared" ca="1" si="286"/>
        <v>-</v>
      </c>
      <c r="I95" s="756" t="str">
        <f t="shared" ca="1" si="287"/>
        <v>-</v>
      </c>
      <c r="J95" s="756"/>
      <c r="K95" s="756" t="str">
        <f t="shared" ca="1" si="288"/>
        <v>-</v>
      </c>
      <c r="L95" s="756" t="str">
        <f t="shared" ca="1" si="289"/>
        <v>-</v>
      </c>
      <c r="M95" s="756"/>
      <c r="N95" s="756" t="str">
        <f t="shared" ca="1" si="290"/>
        <v>-</v>
      </c>
      <c r="O95" s="756" t="str">
        <f t="shared" ca="1" si="291"/>
        <v>-</v>
      </c>
      <c r="P95" s="756"/>
      <c r="Q95" s="756" t="str">
        <f t="shared" ca="1" si="292"/>
        <v>-</v>
      </c>
      <c r="R95" s="756" t="str">
        <f t="shared" ca="1" si="293"/>
        <v>-</v>
      </c>
      <c r="S95" s="756"/>
      <c r="T95" s="756" t="str">
        <f t="shared" ca="1" si="294"/>
        <v>-</v>
      </c>
      <c r="U95" s="756" t="str">
        <f t="shared" ca="1" si="295"/>
        <v>-</v>
      </c>
      <c r="V95" s="178"/>
      <c r="W95" s="814"/>
      <c r="X95" s="195">
        <f ca="1">Horarios!C95</f>
        <v>46196.708333333328</v>
      </c>
      <c r="Y95" s="196">
        <f ca="1">Horarios!C95</f>
        <v>46196.708333333328</v>
      </c>
      <c r="Z95" s="197" t="str">
        <f>$Z$6</f>
        <v>J2</v>
      </c>
      <c r="AA95" s="198" t="str">
        <f ca="1">A96</f>
        <v>Panamá</v>
      </c>
      <c r="AB95" s="486" t="str" cm="1">
        <f t="array" aca="1" ref="AB95" ca="1">Ver_flag_local</f>
        <v/>
      </c>
      <c r="AC95" s="199">
        <v>1</v>
      </c>
      <c r="AD95" s="200">
        <v>2</v>
      </c>
      <c r="AE95" s="491" t="str" cm="1">
        <f t="array" aca="1" ref="AE95" ca="1">Ver_flag_visit</f>
        <v/>
      </c>
      <c r="AF95" s="201" t="str">
        <f ca="1">A94</f>
        <v>Croacia</v>
      </c>
      <c r="AG95" s="421">
        <f t="shared" si="296"/>
        <v>1</v>
      </c>
      <c r="AH95" s="202">
        <v>46</v>
      </c>
      <c r="AI95" s="19" t="str">
        <f t="shared" ref="AI95:AI97" si="301">AJ95&amp;$B$92</f>
        <v>2L</v>
      </c>
      <c r="AJ95" s="227">
        <v>2</v>
      </c>
      <c r="AK95" s="494" t="str" cm="1">
        <f t="array" aca="1" ref="AK95" ca="1">Ver_flag_visit</f>
        <v/>
      </c>
      <c r="AL95" s="228" t="str">
        <f ca="1">IFERROR(INDEX($BD$6:$BD$53,MATCH(AI95,$BN$6:$BN$53,0)),"")</f>
        <v>Croacia</v>
      </c>
      <c r="AM95" s="229">
        <f t="shared" ca="1" si="300"/>
        <v>5</v>
      </c>
      <c r="AN95" s="230">
        <f t="shared" ca="1" si="300"/>
        <v>3</v>
      </c>
      <c r="AO95" s="230">
        <f t="shared" ca="1" si="300"/>
        <v>1</v>
      </c>
      <c r="AP95" s="230">
        <f t="shared" ca="1" si="300"/>
        <v>2</v>
      </c>
      <c r="AQ95" s="230">
        <f t="shared" ca="1" si="300"/>
        <v>0</v>
      </c>
      <c r="AR95" s="230">
        <f t="shared" ca="1" si="300"/>
        <v>5</v>
      </c>
      <c r="AS95" s="230">
        <f t="shared" ca="1" si="300"/>
        <v>4</v>
      </c>
      <c r="AT95" s="231">
        <f t="shared" ca="1" si="300"/>
        <v>1</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c r="A96" s="757" t="str">
        <f ca="1">+Equipos!B49</f>
        <v>Panamá</v>
      </c>
      <c r="B96" s="754"/>
      <c r="C96" s="756"/>
      <c r="D96" s="756" t="str">
        <f t="shared" si="283"/>
        <v>Visitante</v>
      </c>
      <c r="E96" s="756" t="str">
        <f t="shared" ca="1" si="284"/>
        <v>-</v>
      </c>
      <c r="F96" s="756" t="str">
        <f t="shared" ca="1" si="285"/>
        <v>-</v>
      </c>
      <c r="G96" s="756"/>
      <c r="H96" s="756" t="str">
        <f t="shared" ca="1" si="286"/>
        <v>-</v>
      </c>
      <c r="I96" s="756" t="str">
        <f t="shared" ca="1" si="287"/>
        <v>-</v>
      </c>
      <c r="J96" s="756"/>
      <c r="K96" s="756" t="str">
        <f t="shared" ca="1" si="288"/>
        <v>-</v>
      </c>
      <c r="L96" s="756" t="str">
        <f t="shared" ca="1" si="289"/>
        <v>-</v>
      </c>
      <c r="M96" s="756"/>
      <c r="N96" s="756" t="str">
        <f t="shared" ca="1" si="290"/>
        <v>-</v>
      </c>
      <c r="O96" s="756" t="str">
        <f t="shared" ca="1" si="291"/>
        <v>-</v>
      </c>
      <c r="P96" s="756"/>
      <c r="Q96" s="756" t="str">
        <f t="shared" ca="1" si="292"/>
        <v>-</v>
      </c>
      <c r="R96" s="756" t="str">
        <f t="shared" ca="1" si="293"/>
        <v>-</v>
      </c>
      <c r="S96" s="756"/>
      <c r="T96" s="756" t="str">
        <f t="shared" ca="1" si="294"/>
        <v>-</v>
      </c>
      <c r="U96" s="756" t="str">
        <f t="shared" ca="1" si="295"/>
        <v>-</v>
      </c>
      <c r="V96" s="178"/>
      <c r="W96" s="814"/>
      <c r="X96" s="195">
        <f ca="1">Horarios!C96</f>
        <v>46200.625</v>
      </c>
      <c r="Y96" s="196">
        <f ca="1">Horarios!C96</f>
        <v>46200.625</v>
      </c>
      <c r="Z96" s="197" t="str">
        <f>$Z$8</f>
        <v>J3</v>
      </c>
      <c r="AA96" s="198" t="str">
        <f ca="1">A96</f>
        <v>Panamá</v>
      </c>
      <c r="AB96" s="486" t="str" cm="1">
        <f t="array" aca="1" ref="AB96" ca="1">Ver_flag_local</f>
        <v/>
      </c>
      <c r="AC96" s="199">
        <v>0</v>
      </c>
      <c r="AD96" s="200">
        <v>6</v>
      </c>
      <c r="AE96" s="491" t="str" cm="1">
        <f t="array" aca="1" ref="AE96" ca="1">Ver_flag_visit</f>
        <v/>
      </c>
      <c r="AF96" s="201" t="str">
        <f ca="1">A93</f>
        <v>Inglaterra</v>
      </c>
      <c r="AG96" s="421">
        <f t="shared" si="296"/>
        <v>1</v>
      </c>
      <c r="AH96" s="202">
        <v>67</v>
      </c>
      <c r="AI96" s="19" t="str">
        <f t="shared" si="301"/>
        <v>3L</v>
      </c>
      <c r="AJ96" s="227">
        <v>3</v>
      </c>
      <c r="AK96" s="494" t="str" cm="1">
        <f t="array" aca="1" ref="AK96" ca="1">Ver_flag_visit</f>
        <v/>
      </c>
      <c r="AL96" s="228" t="str">
        <f ca="1">IFERROR(INDEX($BD$6:$BD$53,MATCH(AI96,$BN$6:$BN$53,0)),"")</f>
        <v>Ghana</v>
      </c>
      <c r="AM96" s="229">
        <f t="shared" ca="1" si="300"/>
        <v>4</v>
      </c>
      <c r="AN96" s="230">
        <f t="shared" ca="1" si="300"/>
        <v>3</v>
      </c>
      <c r="AO96" s="230">
        <f t="shared" ca="1" si="300"/>
        <v>1</v>
      </c>
      <c r="AP96" s="230">
        <f t="shared" ca="1" si="300"/>
        <v>1</v>
      </c>
      <c r="AQ96" s="230">
        <f t="shared" ca="1" si="300"/>
        <v>1</v>
      </c>
      <c r="AR96" s="230">
        <f t="shared" ca="1" si="300"/>
        <v>4</v>
      </c>
      <c r="AS96" s="230">
        <f t="shared" ca="1" si="300"/>
        <v>3</v>
      </c>
      <c r="AT96" s="231">
        <f t="shared" ca="1" si="300"/>
        <v>1</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149999999999999" customHeight="1" thickBot="1">
      <c r="A97" s="751"/>
      <c r="B97" s="751"/>
      <c r="C97" s="751"/>
      <c r="D97" s="756" t="str">
        <f t="shared" si="283"/>
        <v>Empate</v>
      </c>
      <c r="E97" s="756" t="str">
        <f t="shared" ca="1" si="284"/>
        <v>-</v>
      </c>
      <c r="F97" s="756" t="str">
        <f t="shared" ca="1" si="285"/>
        <v>-</v>
      </c>
      <c r="G97" s="756"/>
      <c r="H97" s="756" t="str">
        <f t="shared" ca="1" si="286"/>
        <v>-</v>
      </c>
      <c r="I97" s="756" t="str">
        <f t="shared" ca="1" si="287"/>
        <v>-</v>
      </c>
      <c r="J97" s="756"/>
      <c r="K97" s="756" t="str">
        <f t="shared" ca="1" si="288"/>
        <v>-</v>
      </c>
      <c r="L97" s="756" t="str">
        <f t="shared" ca="1" si="289"/>
        <v>-</v>
      </c>
      <c r="M97" s="756"/>
      <c r="N97" s="756" t="str">
        <f t="shared" ca="1" si="290"/>
        <v>-</v>
      </c>
      <c r="O97" s="756" t="str">
        <f t="shared" ca="1" si="291"/>
        <v>-</v>
      </c>
      <c r="P97" s="756"/>
      <c r="Q97" s="756" t="str">
        <f t="shared" ca="1" si="292"/>
        <v>-</v>
      </c>
      <c r="R97" s="756" t="str">
        <f t="shared" ca="1" si="293"/>
        <v>-</v>
      </c>
      <c r="S97" s="756"/>
      <c r="T97" s="756" t="str">
        <f t="shared" ca="1" si="294"/>
        <v>-</v>
      </c>
      <c r="U97" s="756" t="str">
        <f t="shared" ca="1" si="295"/>
        <v>-</v>
      </c>
      <c r="V97" s="178"/>
      <c r="W97" s="815"/>
      <c r="X97" s="234">
        <f ca="1">Horarios!C97</f>
        <v>46200.625</v>
      </c>
      <c r="Y97" s="235">
        <f ca="1">Horarios!C97</f>
        <v>46200.625</v>
      </c>
      <c r="Z97" s="236" t="str">
        <f>$Z$8</f>
        <v>J3</v>
      </c>
      <c r="AA97" s="237" t="str">
        <f ca="1">A94</f>
        <v>Croacia</v>
      </c>
      <c r="AB97" s="487" t="str" cm="1">
        <f t="array" aca="1" ref="AB97" ca="1">Ver_flag_local</f>
        <v/>
      </c>
      <c r="AC97" s="238">
        <v>1</v>
      </c>
      <c r="AD97" s="239">
        <v>1</v>
      </c>
      <c r="AE97" s="492" t="str" cm="1">
        <f t="array" aca="1" ref="AE97" ca="1">Ver_flag_visit</f>
        <v/>
      </c>
      <c r="AF97" s="240" t="str">
        <f ca="1">A95</f>
        <v>Ghana</v>
      </c>
      <c r="AG97" s="421">
        <f t="shared" si="296"/>
        <v>1</v>
      </c>
      <c r="AH97" s="202">
        <v>68</v>
      </c>
      <c r="AI97" s="19" t="str">
        <f t="shared" si="301"/>
        <v>4L</v>
      </c>
      <c r="AJ97" s="241">
        <v>4</v>
      </c>
      <c r="AK97" s="495" t="str" cm="1">
        <f t="array" aca="1" ref="AK97" ca="1">Ver_flag_visit</f>
        <v/>
      </c>
      <c r="AL97" s="242" t="str">
        <f ca="1">IFERROR(INDEX($BD$6:$BD$53,MATCH(AI97,$BN$6:$BN$53,0)),"")</f>
        <v>Panamá</v>
      </c>
      <c r="AM97" s="243">
        <f t="shared" ca="1" si="300"/>
        <v>0</v>
      </c>
      <c r="AN97" s="244">
        <f t="shared" ca="1" si="300"/>
        <v>3</v>
      </c>
      <c r="AO97" s="244">
        <f t="shared" ca="1" si="300"/>
        <v>0</v>
      </c>
      <c r="AP97" s="244">
        <f t="shared" ca="1" si="300"/>
        <v>0</v>
      </c>
      <c r="AQ97" s="244">
        <f t="shared" ca="1" si="300"/>
        <v>3</v>
      </c>
      <c r="AR97" s="244">
        <f t="shared" ca="1" si="300"/>
        <v>2</v>
      </c>
      <c r="AS97" s="244">
        <f t="shared" ca="1" si="300"/>
        <v>11</v>
      </c>
      <c r="AT97" s="245">
        <f t="shared" ca="1" si="300"/>
        <v>-9</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5" thickBot="1">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5" thickBot="1">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¡EMPATE! Puedes seleccionar el orden de los empatados.</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c r="A101" s="750" t="s">
        <v>646</v>
      </c>
      <c r="B101" s="750" t="s">
        <v>649</v>
      </c>
      <c r="C101" s="751"/>
      <c r="D101" s="759" t="str">
        <f t="shared" ref="D101:D116" ca="1" si="302">IF(AND(OR(AC101="",AD101="")),"W"&amp;AH101,IF(AC101&gt;AD101,AA101,IF(AC101&lt;AD101,AF101,IF(AND(AC101=AD101,AB101=AE101),"W"&amp;AH101,IF(AND(AC101=AD101,OR(AB101="",AE101="")),"W"&amp;AH101,IF(AND(AC101=AD101,AB101&gt;AE101),AA101,AF101))))))</f>
        <v>Corea del Sur</v>
      </c>
      <c r="E101" s="751" t="s">
        <v>0</v>
      </c>
      <c r="F101" s="751" t="s">
        <v>1</v>
      </c>
      <c r="G101" s="760" t="s">
        <v>0</v>
      </c>
      <c r="H101" s="761">
        <f t="shared" ref="H101:H112" ca="1" si="303">+SUMIF($BC$6:$BC$53,G101,$BF$6:$BF$53)</f>
        <v>12</v>
      </c>
      <c r="I101" s="756"/>
      <c r="J101" s="750">
        <v>73</v>
      </c>
      <c r="K101" s="750">
        <v>46201.75</v>
      </c>
      <c r="L101" s="750" t="s">
        <v>685</v>
      </c>
      <c r="M101" s="750" t="str">
        <f t="shared" ref="M101:M116" ca="1" si="304">+IF(OR(INDEX($H$101:$H$113,MATCH(E101,$G$101:$G$113,0))=12,$AJ$99=144),INDEX($AL$6:$AL$97,MATCH(A101,$AI$6:$AI$97,0)),A101)</f>
        <v>Corea del Sur</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Bosnia y Herzegovina</v>
      </c>
      <c r="O101" s="750"/>
      <c r="P101" s="750"/>
      <c r="Q101" s="750"/>
      <c r="R101" s="750"/>
      <c r="S101" s="750"/>
      <c r="T101" s="750"/>
      <c r="U101" s="750"/>
      <c r="V101" s="178"/>
      <c r="W101" s="820" t="s">
        <v>483</v>
      </c>
      <c r="X101" s="195">
        <f ca="1">Horarios!C101</f>
        <v>46201.541666666664</v>
      </c>
      <c r="Y101" s="196">
        <f ca="1">Horarios!C101</f>
        <v>46201.541666666664</v>
      </c>
      <c r="Z101" s="282">
        <f>AH101</f>
        <v>73</v>
      </c>
      <c r="AA101" s="283" t="str">
        <f t="shared" ref="AA101:AA116" ca="1" si="305">+INDEX($M$101:$M$147,MATCH(AH101,$J$101:$J$147,0))</f>
        <v>Corea del Sur</v>
      </c>
      <c r="AB101" s="284"/>
      <c r="AC101" s="200">
        <v>2</v>
      </c>
      <c r="AD101" s="200">
        <v>1</v>
      </c>
      <c r="AE101" s="285"/>
      <c r="AF101" s="286" t="str">
        <f t="shared" ref="AF101:AF116" ca="1" si="306">+INDEX($N$101:$N$147,MATCH(AH101,$J$101:$J$147,0))</f>
        <v>Bosnia y Herzegovina</v>
      </c>
      <c r="AG101" s="425">
        <f t="shared" ref="AG101:AG116" ca="1" si="307">IF(D101="W"&amp;AH101,0,1)</f>
        <v>1</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2</v>
      </c>
      <c r="AV101" s="22"/>
      <c r="AW101" s="437"/>
      <c r="AX101" s="280"/>
      <c r="AY101" s="431" t="str">
        <f ca="1">+IF(OR($H$113&gt;=48,$AJ$99=144),Idiomas!D70,"")</f>
        <v xml:space="preserve">Grupos mejores 3ºs: </v>
      </c>
      <c r="AZ101" s="432" t="str">
        <f ca="1">+IF(OR($H$113&gt;=48,$AJ$99=144),BI112,"")</f>
        <v>ACDEFIKL</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Corea del Sur-Bosnia y Herzegovina</v>
      </c>
      <c r="DU101" s="756"/>
      <c r="DV101" s="756"/>
      <c r="DW101" s="8"/>
    </row>
    <row r="102" spans="1:127" ht="16" customHeight="1">
      <c r="A102" s="750" t="s">
        <v>661</v>
      </c>
      <c r="B102" s="750" t="s">
        <v>722</v>
      </c>
      <c r="C102" s="751"/>
      <c r="D102" s="759" t="str">
        <f t="shared" ca="1" si="302"/>
        <v>Brasil</v>
      </c>
      <c r="E102" s="751" t="s">
        <v>3</v>
      </c>
      <c r="F102" s="751" t="s">
        <v>721</v>
      </c>
      <c r="G102" s="760" t="s">
        <v>1</v>
      </c>
      <c r="H102" s="761">
        <f t="shared" ca="1" si="303"/>
        <v>12</v>
      </c>
      <c r="I102" s="756"/>
      <c r="J102" s="750">
        <v>74</v>
      </c>
      <c r="K102" s="750">
        <v>46202.75</v>
      </c>
      <c r="L102" s="750" t="s">
        <v>686</v>
      </c>
      <c r="M102" s="750" t="str">
        <f t="shared" ca="1" si="304"/>
        <v>Alemania</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Paraguay</v>
      </c>
      <c r="O102" s="750"/>
      <c r="P102" s="750"/>
      <c r="Q102" s="750"/>
      <c r="R102" s="750"/>
      <c r="S102" s="750"/>
      <c r="T102" s="750"/>
      <c r="U102" s="750"/>
      <c r="V102" s="178"/>
      <c r="W102" s="820"/>
      <c r="X102" s="195">
        <f ca="1">Horarios!C102</f>
        <v>46202.458333333328</v>
      </c>
      <c r="Y102" s="196">
        <f ca="1">Horarios!C102</f>
        <v>46202.458333333328</v>
      </c>
      <c r="Z102" s="282">
        <f t="shared" ref="Z102:Z116" si="309">AH102</f>
        <v>76</v>
      </c>
      <c r="AA102" s="283" t="str">
        <f t="shared" ca="1" si="305"/>
        <v>Brasil</v>
      </c>
      <c r="AB102" s="284"/>
      <c r="AC102" s="287">
        <v>3</v>
      </c>
      <c r="AD102" s="287">
        <v>2</v>
      </c>
      <c r="AE102" s="284"/>
      <c r="AF102" s="286" t="str">
        <f t="shared" ca="1" si="306"/>
        <v>Países Bajos</v>
      </c>
      <c r="AG102" s="425">
        <f t="shared" ca="1" si="307"/>
        <v>1</v>
      </c>
      <c r="AH102" s="202">
        <v>76</v>
      </c>
      <c r="AI102" s="223">
        <v>1</v>
      </c>
      <c r="AJ102" s="288">
        <v>1</v>
      </c>
      <c r="AK102" s="493" t="str" cm="1">
        <f t="array" aca="1" ref="AK102" ca="1">Ver_flag_visit</f>
        <v/>
      </c>
      <c r="AL102" s="289" t="str">
        <f t="shared" ref="AL102:AL113" ca="1" si="310">+IF($H$113&gt;=48,INDEX($BD$58:$BD$69,MATCH(AI102,$BN$58:$BN$69,0)),BB58)</f>
        <v>Ecuador</v>
      </c>
      <c r="AM102" s="290">
        <f t="shared" ref="AM102:AT102" ca="1" si="311">+IF($H$113&gt;=48,INDEX($BE$58:$BN$69,MATCH($AL102,$BD$58:$BD$69,0),MATCH(AM$5,$BE$57:$BN$57,0)),$BB58)</f>
        <v>4</v>
      </c>
      <c r="AN102" s="291">
        <f t="shared" ca="1" si="311"/>
        <v>3</v>
      </c>
      <c r="AO102" s="291">
        <f t="shared" ca="1" si="311"/>
        <v>1</v>
      </c>
      <c r="AP102" s="291">
        <f t="shared" ca="1" si="311"/>
        <v>1</v>
      </c>
      <c r="AQ102" s="292">
        <f t="shared" ca="1" si="311"/>
        <v>1</v>
      </c>
      <c r="AR102" s="292">
        <f t="shared" ca="1" si="311"/>
        <v>7</v>
      </c>
      <c r="AS102" s="292">
        <f t="shared" ca="1" si="311"/>
        <v>6</v>
      </c>
      <c r="AT102" s="293">
        <f t="shared" ca="1" si="311"/>
        <v>1</v>
      </c>
      <c r="AU102" s="428">
        <f t="shared" ref="AU102:AU113" ca="1" si="312">IF($H$113=144,INDEX($DL$58:$DL$69,MATCH(AI102,$DP$58:$DP$69,0)),"")</f>
        <v>1</v>
      </c>
      <c r="AV102" s="223" t="str">
        <f t="shared" ref="AV102:AV113" ca="1" si="313">INDEX($BD$58:$BD$69,MATCH(AI102,$BM$58:$BM$69,0))</f>
        <v>Ecuador</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Brasil-Países Bajos</v>
      </c>
      <c r="DU102" s="750"/>
      <c r="DV102" s="750"/>
      <c r="DW102" s="11"/>
    </row>
    <row r="103" spans="1:127" ht="16" customHeight="1">
      <c r="A103" s="750" t="s">
        <v>664</v>
      </c>
      <c r="B103" s="750" t="s">
        <v>656</v>
      </c>
      <c r="C103" s="751"/>
      <c r="D103" s="759" t="str">
        <f t="shared" ca="1" si="302"/>
        <v>Alemania</v>
      </c>
      <c r="E103" s="751" t="s">
        <v>4</v>
      </c>
      <c r="F103" s="751" t="s">
        <v>2</v>
      </c>
      <c r="G103" s="760" t="s">
        <v>2</v>
      </c>
      <c r="H103" s="761">
        <f t="shared" ca="1" si="303"/>
        <v>12</v>
      </c>
      <c r="I103" s="756"/>
      <c r="J103" s="750">
        <v>75</v>
      </c>
      <c r="K103" s="750">
        <v>46202.75</v>
      </c>
      <c r="L103" s="750" t="s">
        <v>687</v>
      </c>
      <c r="M103" s="750" t="str">
        <f t="shared" ca="1" si="304"/>
        <v>Japón</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Escocia</v>
      </c>
      <c r="O103" s="750"/>
      <c r="P103" s="750"/>
      <c r="Q103" s="750"/>
      <c r="R103" s="750"/>
      <c r="S103" s="750"/>
      <c r="T103" s="750"/>
      <c r="U103" s="750"/>
      <c r="V103" s="178"/>
      <c r="W103" s="820"/>
      <c r="X103" s="195">
        <f ca="1">Horarios!C103</f>
        <v>46202.604166666664</v>
      </c>
      <c r="Y103" s="196">
        <f ca="1">Horarios!C103</f>
        <v>46202.604166666664</v>
      </c>
      <c r="Z103" s="282">
        <f t="shared" si="309"/>
        <v>74</v>
      </c>
      <c r="AA103" s="283" t="str">
        <f t="shared" ca="1" si="305"/>
        <v>Alemania</v>
      </c>
      <c r="AB103" s="284"/>
      <c r="AC103" s="287">
        <v>1</v>
      </c>
      <c r="AD103" s="287">
        <v>0</v>
      </c>
      <c r="AE103" s="284"/>
      <c r="AF103" s="286" t="str">
        <f t="shared" ca="1" si="306"/>
        <v>Paraguay</v>
      </c>
      <c r="AG103" s="425">
        <f t="shared" ca="1" si="307"/>
        <v>1</v>
      </c>
      <c r="AH103" s="202">
        <v>74</v>
      </c>
      <c r="AI103" s="223">
        <v>2</v>
      </c>
      <c r="AJ103" s="227">
        <v>2</v>
      </c>
      <c r="AK103" s="494" t="str" cm="1">
        <f t="array" aca="1" ref="AK103" ca="1">Ver_flag_visit</f>
        <v/>
      </c>
      <c r="AL103" s="295" t="str">
        <f t="shared" ca="1" si="310"/>
        <v>Senegal</v>
      </c>
      <c r="AM103" s="296">
        <f t="shared" ref="AM103:AT103" ca="1" si="314">+IF($H$113&gt;=48,INDEX($BE$58:$BN$69,MATCH($AL103,$BD$58:$BD$69,0),MATCH(AM$5,$BE$57:$BN$57,0)),$BB59)</f>
        <v>4</v>
      </c>
      <c r="AN103" s="297">
        <f t="shared" ca="1" si="314"/>
        <v>3</v>
      </c>
      <c r="AO103" s="297">
        <f t="shared" ca="1" si="314"/>
        <v>1</v>
      </c>
      <c r="AP103" s="297">
        <f t="shared" ca="1" si="314"/>
        <v>1</v>
      </c>
      <c r="AQ103" s="297">
        <f t="shared" ca="1" si="314"/>
        <v>1</v>
      </c>
      <c r="AR103" s="297">
        <f t="shared" ca="1" si="314"/>
        <v>5</v>
      </c>
      <c r="AS103" s="297">
        <f t="shared" ca="1" si="314"/>
        <v>4</v>
      </c>
      <c r="AT103" s="298">
        <f t="shared" ca="1" si="314"/>
        <v>1</v>
      </c>
      <c r="AU103" s="428">
        <f t="shared" ca="1" si="312"/>
        <v>1</v>
      </c>
      <c r="AV103" s="223" t="str">
        <f t="shared" ca="1" si="313"/>
        <v>Senegal</v>
      </c>
      <c r="AW103" s="435"/>
      <c r="AX103" s="294"/>
      <c r="AY103" s="299"/>
      <c r="AZ103" s="300" t="str">
        <f t="shared" ref="AZ103:AZ110" ca="1" si="315">+IF(OR($H$113&gt;=48,$AJ$99=144),BF117&amp;" - "&amp;BG117,"")</f>
        <v>1A - 3C</v>
      </c>
      <c r="BA103" s="181"/>
      <c r="BB103" s="750"/>
      <c r="BC103" s="756"/>
      <c r="BD103" s="750"/>
      <c r="BE103" s="750"/>
      <c r="BF103" s="750" t="str">
        <f t="shared" ref="BF103:BF110" ca="1" si="316">IFERROR(INDEX($BC$6:$BC$53,MATCH(AL102,$BD$6:$BD$53,0)),"")</f>
        <v>E</v>
      </c>
      <c r="BG103" s="750">
        <f t="shared" ref="BG103:BG110" ca="1" si="317">COUNTIF($BF$103:$BF$110,"&lt;="&amp;BF103)</f>
        <v>4</v>
      </c>
      <c r="BH103" s="750"/>
      <c r="BI103" s="756">
        <v>1</v>
      </c>
      <c r="BJ103" s="750" t="str">
        <f t="shared" ref="BJ103:BJ110" ca="1" si="318">IFERROR(INDEX($BF$103:$BF$110,MATCH(BI103,$BG$103:$BG$110,0)),"Grupo")</f>
        <v>A</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Alemania-Paraguay</v>
      </c>
      <c r="DU103" s="750"/>
      <c r="DV103" s="750"/>
      <c r="DW103" s="11"/>
    </row>
    <row r="104" spans="1:127" ht="16" customHeight="1">
      <c r="A104" s="750" t="s">
        <v>651</v>
      </c>
      <c r="B104" s="750" t="s">
        <v>665</v>
      </c>
      <c r="C104" s="751"/>
      <c r="D104" s="759" t="str">
        <f t="shared" ca="1" si="302"/>
        <v>Japón</v>
      </c>
      <c r="E104" s="751" t="s">
        <v>2</v>
      </c>
      <c r="F104" s="751" t="s">
        <v>4</v>
      </c>
      <c r="G104" s="760" t="s">
        <v>73</v>
      </c>
      <c r="H104" s="761">
        <f t="shared" ca="1" si="303"/>
        <v>12</v>
      </c>
      <c r="I104" s="756"/>
      <c r="J104" s="750">
        <v>76</v>
      </c>
      <c r="K104" s="750">
        <v>46202.75</v>
      </c>
      <c r="L104" s="750" t="s">
        <v>688</v>
      </c>
      <c r="M104" s="750" t="str">
        <f t="shared" ca="1" si="304"/>
        <v>Brasil</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Países Bajos</v>
      </c>
      <c r="O104" s="750"/>
      <c r="P104" s="750"/>
      <c r="Q104" s="750"/>
      <c r="R104" s="750"/>
      <c r="S104" s="750"/>
      <c r="T104" s="750"/>
      <c r="U104" s="750"/>
      <c r="V104" s="178"/>
      <c r="W104" s="820"/>
      <c r="X104" s="195">
        <f ca="1">Horarios!C104</f>
        <v>46202.791666666664</v>
      </c>
      <c r="Y104" s="196">
        <f ca="1">Horarios!C104</f>
        <v>46202.791666666664</v>
      </c>
      <c r="Z104" s="282">
        <f t="shared" si="309"/>
        <v>75</v>
      </c>
      <c r="AA104" s="283" t="str">
        <f t="shared" ca="1" si="305"/>
        <v>Japón</v>
      </c>
      <c r="AB104" s="284"/>
      <c r="AC104" s="287">
        <v>2</v>
      </c>
      <c r="AD104" s="287">
        <v>1</v>
      </c>
      <c r="AE104" s="284"/>
      <c r="AF104" s="286" t="str">
        <f t="shared" ca="1" si="306"/>
        <v>Escocia</v>
      </c>
      <c r="AG104" s="425">
        <f t="shared" ca="1" si="307"/>
        <v>1</v>
      </c>
      <c r="AH104" s="202">
        <v>75</v>
      </c>
      <c r="AI104" s="223">
        <v>3</v>
      </c>
      <c r="AJ104" s="227">
        <v>3</v>
      </c>
      <c r="AK104" s="494" t="str" cm="1">
        <f t="array" aca="1" ref="AK104" ca="1">Ver_flag_visit</f>
        <v/>
      </c>
      <c r="AL104" s="295" t="str">
        <f t="shared" ca="1" si="310"/>
        <v>Ghana</v>
      </c>
      <c r="AM104" s="296">
        <f t="shared" ref="AM104:AT104" ca="1" si="319">+IF($H$113&gt;=48,INDEX($BE$58:$BN$69,MATCH($AL104,$BD$58:$BD$69,0),MATCH(AM$5,$BE$57:$BN$57,0)),$BB60)</f>
        <v>4</v>
      </c>
      <c r="AN104" s="297">
        <f t="shared" ca="1" si="319"/>
        <v>3</v>
      </c>
      <c r="AO104" s="297">
        <f t="shared" ca="1" si="319"/>
        <v>1</v>
      </c>
      <c r="AP104" s="297">
        <f t="shared" ca="1" si="319"/>
        <v>1</v>
      </c>
      <c r="AQ104" s="297">
        <f t="shared" ca="1" si="319"/>
        <v>1</v>
      </c>
      <c r="AR104" s="297">
        <f t="shared" ca="1" si="319"/>
        <v>4</v>
      </c>
      <c r="AS104" s="297">
        <f t="shared" ca="1" si="319"/>
        <v>3</v>
      </c>
      <c r="AT104" s="298">
        <f t="shared" ca="1" si="319"/>
        <v>1</v>
      </c>
      <c r="AU104" s="428">
        <f t="shared" ca="1" si="312"/>
        <v>2</v>
      </c>
      <c r="AV104" s="223" t="str">
        <f t="shared" ca="1" si="313"/>
        <v>Ghana</v>
      </c>
      <c r="AW104" s="435"/>
      <c r="AX104" s="294"/>
      <c r="AY104" s="299"/>
      <c r="AZ104" s="300" t="str">
        <f t="shared" ca="1" si="315"/>
        <v>1B - 3E</v>
      </c>
      <c r="BA104" s="181"/>
      <c r="BB104" s="750"/>
      <c r="BC104" s="756"/>
      <c r="BD104" s="750"/>
      <c r="BE104" s="750"/>
      <c r="BF104" s="750" t="str">
        <f t="shared" ca="1" si="316"/>
        <v>I</v>
      </c>
      <c r="BG104" s="750">
        <f t="shared" ca="1" si="317"/>
        <v>6</v>
      </c>
      <c r="BH104" s="750"/>
      <c r="BI104" s="756">
        <v>2</v>
      </c>
      <c r="BJ104" s="750" t="str">
        <f t="shared" ca="1" si="318"/>
        <v>C</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Japón-Escocia</v>
      </c>
      <c r="DU104" s="750"/>
      <c r="DV104" s="750"/>
      <c r="DW104" s="11"/>
    </row>
    <row r="105" spans="1:127" ht="16" customHeight="1">
      <c r="A105" s="750" t="s">
        <v>673</v>
      </c>
      <c r="B105" s="750" t="s">
        <v>723</v>
      </c>
      <c r="C105" s="751"/>
      <c r="D105" s="759" t="str">
        <f t="shared" ca="1" si="302"/>
        <v>Noruega</v>
      </c>
      <c r="E105" s="751" t="s">
        <v>438</v>
      </c>
      <c r="F105" s="751" t="s">
        <v>721</v>
      </c>
      <c r="G105" s="760" t="s">
        <v>3</v>
      </c>
      <c r="H105" s="761">
        <f t="shared" ca="1" si="303"/>
        <v>12</v>
      </c>
      <c r="I105" s="756"/>
      <c r="J105" s="750">
        <v>77</v>
      </c>
      <c r="K105" s="750">
        <v>46203.75</v>
      </c>
      <c r="L105" s="750" t="s">
        <v>689</v>
      </c>
      <c r="M105" s="750" t="str">
        <f t="shared" ca="1" si="304"/>
        <v>Francia</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Suecia</v>
      </c>
      <c r="O105" s="750"/>
      <c r="P105" s="750"/>
      <c r="Q105" s="750"/>
      <c r="R105" s="750"/>
      <c r="S105" s="750"/>
      <c r="T105" s="750"/>
      <c r="U105" s="750"/>
      <c r="V105" s="178"/>
      <c r="W105" s="820"/>
      <c r="X105" s="195">
        <f ca="1">Horarios!C105</f>
        <v>46203.458333333328</v>
      </c>
      <c r="Y105" s="196">
        <f ca="1">Horarios!C105</f>
        <v>46203.458333333328</v>
      </c>
      <c r="Z105" s="282">
        <f t="shared" si="309"/>
        <v>78</v>
      </c>
      <c r="AA105" s="283" t="str">
        <f t="shared" ca="1" si="305"/>
        <v>Costa de Marfil</v>
      </c>
      <c r="AB105" s="284"/>
      <c r="AC105" s="287">
        <v>0</v>
      </c>
      <c r="AD105" s="287">
        <v>2</v>
      </c>
      <c r="AE105" s="284"/>
      <c r="AF105" s="286" t="str">
        <f t="shared" ca="1" si="306"/>
        <v>Noruega</v>
      </c>
      <c r="AG105" s="425">
        <f t="shared" ca="1" si="307"/>
        <v>1</v>
      </c>
      <c r="AH105" s="202">
        <v>78</v>
      </c>
      <c r="AI105" s="223">
        <v>4</v>
      </c>
      <c r="AJ105" s="227">
        <v>4</v>
      </c>
      <c r="AK105" s="494" t="str" cm="1">
        <f t="array" aca="1" ref="AK105" ca="1">Ver_flag_visit</f>
        <v/>
      </c>
      <c r="AL105" s="295" t="str">
        <f t="shared" ca="1" si="310"/>
        <v>RD Congo</v>
      </c>
      <c r="AM105" s="296">
        <f t="shared" ref="AM105:AT105" ca="1" si="320">+IF($H$113&gt;=48,INDEX($BE$58:$BN$69,MATCH($AL105,$BD$58:$BD$69,0),MATCH(AM$5,$BE$57:$BN$57,0)),$BB61)</f>
        <v>4</v>
      </c>
      <c r="AN105" s="297">
        <f t="shared" ca="1" si="320"/>
        <v>3</v>
      </c>
      <c r="AO105" s="297">
        <f t="shared" ca="1" si="320"/>
        <v>1</v>
      </c>
      <c r="AP105" s="297">
        <f t="shared" ca="1" si="320"/>
        <v>1</v>
      </c>
      <c r="AQ105" s="297">
        <f t="shared" ca="1" si="320"/>
        <v>1</v>
      </c>
      <c r="AR105" s="297">
        <f t="shared" ca="1" si="320"/>
        <v>4</v>
      </c>
      <c r="AS105" s="297">
        <f t="shared" ca="1" si="320"/>
        <v>3</v>
      </c>
      <c r="AT105" s="298">
        <f t="shared" ca="1" si="320"/>
        <v>1</v>
      </c>
      <c r="AU105" s="428">
        <f t="shared" ca="1" si="312"/>
        <v>2</v>
      </c>
      <c r="AV105" s="223" t="str">
        <f t="shared" ca="1" si="313"/>
        <v>RD Congo</v>
      </c>
      <c r="AW105" s="435"/>
      <c r="AX105" s="294"/>
      <c r="AY105" s="299"/>
      <c r="AZ105" s="300" t="str">
        <f t="shared" ca="1" si="315"/>
        <v>1D - 3I</v>
      </c>
      <c r="BA105" s="181"/>
      <c r="BB105" s="750"/>
      <c r="BC105" s="756"/>
      <c r="BD105" s="750"/>
      <c r="BE105" s="750"/>
      <c r="BF105" s="750" t="str">
        <f t="shared" ca="1" si="316"/>
        <v>L</v>
      </c>
      <c r="BG105" s="750">
        <f t="shared" ca="1" si="317"/>
        <v>8</v>
      </c>
      <c r="BH105" s="750"/>
      <c r="BI105" s="756">
        <v>3</v>
      </c>
      <c r="BJ105" s="750" t="str">
        <f t="shared" ca="1" si="318"/>
        <v>D</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Costa de Marfil-Noruega</v>
      </c>
      <c r="DU105" s="750"/>
      <c r="DV105" s="750"/>
      <c r="DW105" s="11"/>
    </row>
    <row r="106" spans="1:127" ht="16" customHeight="1">
      <c r="A106" s="750" t="s">
        <v>662</v>
      </c>
      <c r="B106" s="750" t="s">
        <v>674</v>
      </c>
      <c r="C106" s="751"/>
      <c r="D106" s="759" t="str">
        <f t="shared" ca="1" si="302"/>
        <v>Francia</v>
      </c>
      <c r="E106" s="751" t="s">
        <v>3</v>
      </c>
      <c r="F106" s="751" t="s">
        <v>438</v>
      </c>
      <c r="G106" s="760" t="s">
        <v>4</v>
      </c>
      <c r="H106" s="761">
        <f t="shared" ca="1" si="303"/>
        <v>12</v>
      </c>
      <c r="I106" s="756"/>
      <c r="J106" s="750">
        <v>78</v>
      </c>
      <c r="K106" s="750">
        <v>46203.75</v>
      </c>
      <c r="L106" s="750" t="s">
        <v>690</v>
      </c>
      <c r="M106" s="750" t="str">
        <f t="shared" ca="1" si="304"/>
        <v>Costa de Marfil</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750"/>
      <c r="P106" s="750"/>
      <c r="Q106" s="750"/>
      <c r="R106" s="750"/>
      <c r="S106" s="750"/>
      <c r="T106" s="750"/>
      <c r="U106" s="750"/>
      <c r="V106" s="178"/>
      <c r="W106" s="820"/>
      <c r="X106" s="195">
        <f ca="1">Horarios!C106</f>
        <v>46203.625</v>
      </c>
      <c r="Y106" s="196">
        <f ca="1">Horarios!C106</f>
        <v>46203.625</v>
      </c>
      <c r="Z106" s="282">
        <f t="shared" si="309"/>
        <v>77</v>
      </c>
      <c r="AA106" s="283" t="str">
        <f t="shared" ca="1" si="305"/>
        <v>Francia</v>
      </c>
      <c r="AB106" s="284"/>
      <c r="AC106" s="287">
        <v>3</v>
      </c>
      <c r="AD106" s="287">
        <v>2</v>
      </c>
      <c r="AE106" s="284"/>
      <c r="AF106" s="286" t="str">
        <f t="shared" ca="1" si="306"/>
        <v>Suecia</v>
      </c>
      <c r="AG106" s="425">
        <f t="shared" ca="1" si="307"/>
        <v>1</v>
      </c>
      <c r="AH106" s="202">
        <v>77</v>
      </c>
      <c r="AI106" s="223">
        <v>5</v>
      </c>
      <c r="AJ106" s="227">
        <v>5</v>
      </c>
      <c r="AK106" s="494" t="str" cm="1">
        <f t="array" aca="1" ref="AK106" ca="1">Ver_flag_visit</f>
        <v/>
      </c>
      <c r="AL106" s="295" t="str">
        <f t="shared" ca="1" si="310"/>
        <v>Paraguay</v>
      </c>
      <c r="AM106" s="296">
        <f t="shared" ref="AM106:AT106" ca="1" si="321">+IF($H$113&gt;=48,INDEX($BE$58:$BN$69,MATCH($AL106,$BD$58:$BD$69,0),MATCH(AM$5,$BE$57:$BN$57,0)),$BB62)</f>
        <v>4</v>
      </c>
      <c r="AN106" s="297">
        <f t="shared" ca="1" si="321"/>
        <v>3</v>
      </c>
      <c r="AO106" s="297">
        <f t="shared" ca="1" si="321"/>
        <v>1</v>
      </c>
      <c r="AP106" s="297">
        <f t="shared" ca="1" si="321"/>
        <v>1</v>
      </c>
      <c r="AQ106" s="297">
        <f t="shared" ca="1" si="321"/>
        <v>1</v>
      </c>
      <c r="AR106" s="297">
        <f t="shared" ca="1" si="321"/>
        <v>4</v>
      </c>
      <c r="AS106" s="297">
        <f t="shared" ca="1" si="321"/>
        <v>5</v>
      </c>
      <c r="AT106" s="298">
        <f t="shared" ca="1" si="321"/>
        <v>-1</v>
      </c>
      <c r="AU106" s="428">
        <f t="shared" ca="1" si="312"/>
        <v>1</v>
      </c>
      <c r="AV106" s="223" t="str">
        <f t="shared" ca="1" si="313"/>
        <v>Paraguay</v>
      </c>
      <c r="AW106" s="435"/>
      <c r="AX106" s="294"/>
      <c r="AY106" s="299"/>
      <c r="AZ106" s="300" t="str">
        <f t="shared" ca="1" si="315"/>
        <v>1E - 3D</v>
      </c>
      <c r="BA106" s="181"/>
      <c r="BB106" s="750"/>
      <c r="BC106" s="756"/>
      <c r="BD106" s="750"/>
      <c r="BE106" s="750"/>
      <c r="BF106" s="750" t="str">
        <f t="shared" ca="1" si="316"/>
        <v>K</v>
      </c>
      <c r="BG106" s="750">
        <f t="shared" ca="1" si="317"/>
        <v>7</v>
      </c>
      <c r="BH106" s="750"/>
      <c r="BI106" s="756">
        <v>4</v>
      </c>
      <c r="BJ106" s="750" t="str">
        <f t="shared" ca="1" si="318"/>
        <v>E</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Francia-Suecia</v>
      </c>
      <c r="DU106" s="750"/>
      <c r="DV106" s="750"/>
      <c r="DW106" s="11"/>
    </row>
    <row r="107" spans="1:127" ht="16" customHeight="1">
      <c r="A107" s="750" t="s">
        <v>645</v>
      </c>
      <c r="B107" s="750" t="s">
        <v>724</v>
      </c>
      <c r="C107" s="751"/>
      <c r="D107" s="759" t="str">
        <f t="shared" ca="1" si="302"/>
        <v>México</v>
      </c>
      <c r="E107" s="751" t="s">
        <v>0</v>
      </c>
      <c r="F107" s="751" t="s">
        <v>721</v>
      </c>
      <c r="G107" s="760" t="s">
        <v>6</v>
      </c>
      <c r="H107" s="761">
        <f t="shared" ca="1" si="303"/>
        <v>12</v>
      </c>
      <c r="I107" s="756"/>
      <c r="J107" s="750">
        <v>79</v>
      </c>
      <c r="K107" s="750">
        <v>46203.75</v>
      </c>
      <c r="L107" s="750" t="s">
        <v>691</v>
      </c>
      <c r="M107" s="750" t="str">
        <f t="shared" ca="1" si="304"/>
        <v>México</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Marruecos</v>
      </c>
      <c r="O107" s="750"/>
      <c r="P107" s="750"/>
      <c r="Q107" s="750"/>
      <c r="R107" s="750"/>
      <c r="S107" s="750"/>
      <c r="T107" s="750"/>
      <c r="U107" s="750"/>
      <c r="V107" s="178"/>
      <c r="W107" s="820"/>
      <c r="X107" s="195">
        <f ca="1">Horarios!C107</f>
        <v>46203.791666666664</v>
      </c>
      <c r="Y107" s="196">
        <f ca="1">Horarios!C107</f>
        <v>46203.791666666664</v>
      </c>
      <c r="Z107" s="282">
        <f t="shared" si="309"/>
        <v>79</v>
      </c>
      <c r="AA107" s="283" t="str">
        <f t="shared" ca="1" si="305"/>
        <v>México</v>
      </c>
      <c r="AB107" s="284"/>
      <c r="AC107" s="287">
        <v>1</v>
      </c>
      <c r="AD107" s="287">
        <v>0</v>
      </c>
      <c r="AE107" s="284"/>
      <c r="AF107" s="286" t="str">
        <f t="shared" ca="1" si="306"/>
        <v>Marruecos</v>
      </c>
      <c r="AG107" s="425">
        <f t="shared" ca="1" si="307"/>
        <v>1</v>
      </c>
      <c r="AH107" s="202">
        <v>79</v>
      </c>
      <c r="AI107" s="223">
        <v>6</v>
      </c>
      <c r="AJ107" s="227">
        <v>6</v>
      </c>
      <c r="AK107" s="494" t="str" cm="1">
        <f t="array" aca="1" ref="AK107" ca="1">Ver_flag_visit</f>
        <v/>
      </c>
      <c r="AL107" s="295" t="str">
        <f t="shared" ca="1" si="310"/>
        <v>Suecia</v>
      </c>
      <c r="AM107" s="296">
        <f t="shared" ref="AM107:AT107" ca="1" si="322">+IF($H$113&gt;=48,INDEX($BE$58:$BN$69,MATCH($AL107,$BD$58:$BD$69,0),MATCH(AM$5,$BE$57:$BN$57,0)),$BB63)</f>
        <v>3</v>
      </c>
      <c r="AN107" s="297">
        <f t="shared" ca="1" si="322"/>
        <v>3</v>
      </c>
      <c r="AO107" s="297">
        <f t="shared" ca="1" si="322"/>
        <v>1</v>
      </c>
      <c r="AP107" s="297">
        <f t="shared" ca="1" si="322"/>
        <v>0</v>
      </c>
      <c r="AQ107" s="297">
        <f t="shared" ca="1" si="322"/>
        <v>2</v>
      </c>
      <c r="AR107" s="297">
        <f t="shared" ca="1" si="322"/>
        <v>4</v>
      </c>
      <c r="AS107" s="297">
        <f t="shared" ca="1" si="322"/>
        <v>4</v>
      </c>
      <c r="AT107" s="298">
        <f t="shared" ca="1" si="322"/>
        <v>0</v>
      </c>
      <c r="AU107" s="428">
        <f t="shared" ca="1" si="312"/>
        <v>1</v>
      </c>
      <c r="AV107" s="223" t="str">
        <f ca="1">INDEX($BD$58:$BD$69,MATCH(AI107,$BM$58:$BM$69,0))</f>
        <v>Suecia</v>
      </c>
      <c r="AW107" s="435"/>
      <c r="AX107" s="294"/>
      <c r="AY107" s="299"/>
      <c r="AZ107" s="300" t="str">
        <f t="shared" ca="1" si="315"/>
        <v>1G - 3A</v>
      </c>
      <c r="BA107" s="181"/>
      <c r="BB107" s="750"/>
      <c r="BC107" s="756"/>
      <c r="BD107" s="750"/>
      <c r="BE107" s="756"/>
      <c r="BF107" s="750" t="str">
        <f t="shared" ca="1" si="316"/>
        <v>D</v>
      </c>
      <c r="BG107" s="750">
        <f t="shared" ca="1" si="317"/>
        <v>3</v>
      </c>
      <c r="BH107" s="750"/>
      <c r="BI107" s="750">
        <v>5</v>
      </c>
      <c r="BJ107" s="750" t="str">
        <f t="shared" ca="1" si="318"/>
        <v>F</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México-Marruecos</v>
      </c>
      <c r="DU107" s="750"/>
      <c r="DV107" s="750"/>
      <c r="DW107" s="11"/>
    </row>
    <row r="108" spans="1:127" ht="16" customHeight="1">
      <c r="A108" s="750" t="s">
        <v>682</v>
      </c>
      <c r="B108" s="750" t="s">
        <v>725</v>
      </c>
      <c r="C108" s="751"/>
      <c r="D108" s="759" t="str">
        <f t="shared" ca="1" si="302"/>
        <v>Inglaterra</v>
      </c>
      <c r="E108" s="751" t="s">
        <v>238</v>
      </c>
      <c r="F108" s="751" t="s">
        <v>721</v>
      </c>
      <c r="G108" s="760" t="s">
        <v>437</v>
      </c>
      <c r="H108" s="761">
        <f t="shared" ca="1" si="303"/>
        <v>12</v>
      </c>
      <c r="I108" s="756"/>
      <c r="J108" s="750">
        <v>80</v>
      </c>
      <c r="K108" s="750">
        <v>46204.75</v>
      </c>
      <c r="L108" s="750" t="s">
        <v>692</v>
      </c>
      <c r="M108" s="750" t="str">
        <f t="shared" ca="1" si="304"/>
        <v>Inglaterra</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RD Congo</v>
      </c>
      <c r="O108" s="750"/>
      <c r="P108" s="750"/>
      <c r="Q108" s="750"/>
      <c r="R108" s="750"/>
      <c r="S108" s="750"/>
      <c r="T108" s="750"/>
      <c r="U108" s="750"/>
      <c r="V108" s="178"/>
      <c r="W108" s="820"/>
      <c r="X108" s="195">
        <f ca="1">Horarios!C108</f>
        <v>46204.416666666664</v>
      </c>
      <c r="Y108" s="196">
        <f ca="1">Horarios!C108</f>
        <v>46204.416666666664</v>
      </c>
      <c r="Z108" s="282">
        <f t="shared" si="309"/>
        <v>80</v>
      </c>
      <c r="AA108" s="283" t="str">
        <f t="shared" ca="1" si="305"/>
        <v>Inglaterra</v>
      </c>
      <c r="AB108" s="284"/>
      <c r="AC108" s="287">
        <v>4</v>
      </c>
      <c r="AD108" s="287">
        <v>0</v>
      </c>
      <c r="AE108" s="284"/>
      <c r="AF108" s="286" t="str">
        <f t="shared" ca="1" si="306"/>
        <v>RD Congo</v>
      </c>
      <c r="AG108" s="425">
        <f t="shared" ca="1" si="307"/>
        <v>1</v>
      </c>
      <c r="AH108" s="202">
        <v>80</v>
      </c>
      <c r="AI108" s="223">
        <v>7</v>
      </c>
      <c r="AJ108" s="227">
        <v>7</v>
      </c>
      <c r="AK108" s="494" t="str" cm="1">
        <f t="array" aca="1" ref="AK108" ca="1">Ver_flag_visit</f>
        <v/>
      </c>
      <c r="AL108" s="295" t="str">
        <f t="shared" ca="1" si="310"/>
        <v>República Checa</v>
      </c>
      <c r="AM108" s="296">
        <f t="shared" ref="AM108:AT108" ca="1" si="323">+IF($H$113&gt;=48,INDEX($BE$58:$BN$69,MATCH($AL108,$BD$58:$BD$69,0),MATCH(AM$5,$BE$57:$BN$57,0)),$BB64)</f>
        <v>3</v>
      </c>
      <c r="AN108" s="297">
        <f t="shared" ca="1" si="323"/>
        <v>3</v>
      </c>
      <c r="AO108" s="297">
        <f t="shared" ca="1" si="323"/>
        <v>1</v>
      </c>
      <c r="AP108" s="297">
        <f t="shared" ca="1" si="323"/>
        <v>0</v>
      </c>
      <c r="AQ108" s="297">
        <f t="shared" ca="1" si="323"/>
        <v>2</v>
      </c>
      <c r="AR108" s="297">
        <f t="shared" ca="1" si="323"/>
        <v>2</v>
      </c>
      <c r="AS108" s="297">
        <f t="shared" ca="1" si="323"/>
        <v>2</v>
      </c>
      <c r="AT108" s="298">
        <f t="shared" ca="1" si="323"/>
        <v>0</v>
      </c>
      <c r="AU108" s="428">
        <f t="shared" ca="1" si="312"/>
        <v>1</v>
      </c>
      <c r="AV108" s="223" t="str">
        <f t="shared" ca="1" si="313"/>
        <v>República Checa</v>
      </c>
      <c r="AW108" s="435"/>
      <c r="AX108" s="294"/>
      <c r="AY108" s="299"/>
      <c r="AZ108" s="300" t="str">
        <f t="shared" ca="1" si="315"/>
        <v>1I - 3F</v>
      </c>
      <c r="BA108" s="181"/>
      <c r="BB108" s="750"/>
      <c r="BC108" s="750"/>
      <c r="BD108" s="750"/>
      <c r="BE108" s="756"/>
      <c r="BF108" s="750" t="str">
        <f t="shared" ca="1" si="316"/>
        <v>F</v>
      </c>
      <c r="BG108" s="750">
        <f t="shared" ca="1" si="317"/>
        <v>5</v>
      </c>
      <c r="BH108" s="750"/>
      <c r="BI108" s="750">
        <v>6</v>
      </c>
      <c r="BJ108" s="750" t="str">
        <f t="shared" ca="1" si="318"/>
        <v>I</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Inglaterra-RD Congo</v>
      </c>
      <c r="DU108" s="750"/>
      <c r="DV108" s="750"/>
      <c r="DW108" s="11"/>
    </row>
    <row r="109" spans="1:127" ht="16" customHeight="1">
      <c r="A109" s="750" t="s">
        <v>658</v>
      </c>
      <c r="B109" s="750" t="s">
        <v>726</v>
      </c>
      <c r="C109" s="751"/>
      <c r="D109" s="759" t="str">
        <f t="shared" ca="1" si="302"/>
        <v>Bélgica</v>
      </c>
      <c r="E109" s="751" t="s">
        <v>73</v>
      </c>
      <c r="F109" s="751" t="s">
        <v>721</v>
      </c>
      <c r="G109" s="760" t="s">
        <v>438</v>
      </c>
      <c r="H109" s="761">
        <f t="shared" ca="1" si="303"/>
        <v>12</v>
      </c>
      <c r="I109" s="756"/>
      <c r="J109" s="750">
        <v>81</v>
      </c>
      <c r="K109" s="750">
        <v>46204.75</v>
      </c>
      <c r="L109" s="750" t="s">
        <v>693</v>
      </c>
      <c r="M109" s="750" t="str">
        <f t="shared" ca="1" si="304"/>
        <v>Turquía</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Senegal</v>
      </c>
      <c r="O109" s="750"/>
      <c r="P109" s="750"/>
      <c r="Q109" s="750"/>
      <c r="R109" s="750"/>
      <c r="S109" s="750"/>
      <c r="T109" s="750"/>
      <c r="U109" s="750"/>
      <c r="V109" s="178"/>
      <c r="W109" s="820"/>
      <c r="X109" s="195">
        <f ca="1">Horarios!C109</f>
        <v>46204.583333333328</v>
      </c>
      <c r="Y109" s="196">
        <f ca="1">Horarios!C109</f>
        <v>46204.583333333328</v>
      </c>
      <c r="Z109" s="282">
        <f t="shared" si="309"/>
        <v>82</v>
      </c>
      <c r="AA109" s="283" t="str">
        <f t="shared" ca="1" si="305"/>
        <v>Bélgica</v>
      </c>
      <c r="AB109" s="284"/>
      <c r="AC109" s="287">
        <v>3</v>
      </c>
      <c r="AD109" s="287">
        <v>1</v>
      </c>
      <c r="AE109" s="284"/>
      <c r="AF109" s="286" t="str">
        <f t="shared" ca="1" si="306"/>
        <v>República Checa</v>
      </c>
      <c r="AG109" s="425">
        <f t="shared" ca="1" si="307"/>
        <v>1</v>
      </c>
      <c r="AH109" s="202">
        <v>82</v>
      </c>
      <c r="AI109" s="223">
        <v>8</v>
      </c>
      <c r="AJ109" s="227">
        <v>8</v>
      </c>
      <c r="AK109" s="494" t="str" cm="1">
        <f t="array" aca="1" ref="AK109" ca="1">Ver_flag_visit</f>
        <v/>
      </c>
      <c r="AL109" s="295" t="str">
        <f t="shared" ca="1" si="310"/>
        <v>Marruecos</v>
      </c>
      <c r="AM109" s="296">
        <f t="shared" ref="AM109:AT109" ca="1" si="324">+IF($H$113&gt;=48,INDEX($BE$58:$BN$69,MATCH($AL109,$BD$58:$BD$69,0),MATCH(AM$5,$BE$57:$BN$57,0)),$BB65)</f>
        <v>3</v>
      </c>
      <c r="AN109" s="297">
        <f t="shared" ca="1" si="324"/>
        <v>3</v>
      </c>
      <c r="AO109" s="297">
        <f t="shared" ca="1" si="324"/>
        <v>1</v>
      </c>
      <c r="AP109" s="297">
        <f t="shared" ca="1" si="324"/>
        <v>0</v>
      </c>
      <c r="AQ109" s="297">
        <f t="shared" ca="1" si="324"/>
        <v>2</v>
      </c>
      <c r="AR109" s="297">
        <f t="shared" ca="1" si="324"/>
        <v>3</v>
      </c>
      <c r="AS109" s="297">
        <f t="shared" ca="1" si="324"/>
        <v>4</v>
      </c>
      <c r="AT109" s="298">
        <f t="shared" ca="1" si="324"/>
        <v>-1</v>
      </c>
      <c r="AU109" s="428">
        <f t="shared" ca="1" si="312"/>
        <v>1</v>
      </c>
      <c r="AV109" s="223" t="str">
        <f t="shared" ca="1" si="313"/>
        <v>Marruecos</v>
      </c>
      <c r="AW109" s="435"/>
      <c r="AX109" s="294"/>
      <c r="AY109" s="299"/>
      <c r="AZ109" s="300" t="str">
        <f t="shared" ca="1" si="315"/>
        <v>1K - 3L</v>
      </c>
      <c r="BA109" s="181"/>
      <c r="BB109" s="750"/>
      <c r="BC109" s="750"/>
      <c r="BD109" s="750"/>
      <c r="BE109" s="756"/>
      <c r="BF109" s="750" t="str">
        <f t="shared" ca="1" si="316"/>
        <v>A</v>
      </c>
      <c r="BG109" s="750">
        <f t="shared" ca="1" si="317"/>
        <v>1</v>
      </c>
      <c r="BH109" s="750"/>
      <c r="BI109" s="750">
        <v>7</v>
      </c>
      <c r="BJ109" s="750" t="str">
        <f t="shared" ca="1" si="318"/>
        <v>K</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Bélgica-República Checa</v>
      </c>
      <c r="DU109" s="750"/>
      <c r="DV109" s="750"/>
      <c r="DW109" s="11"/>
    </row>
    <row r="110" spans="1:127" ht="16" customHeight="1">
      <c r="A110" s="750" t="s">
        <v>667</v>
      </c>
      <c r="B110" s="750" t="s">
        <v>727</v>
      </c>
      <c r="C110" s="751"/>
      <c r="D110" s="759" t="str">
        <f t="shared" ca="1" si="302"/>
        <v>Senegal</v>
      </c>
      <c r="E110" s="751" t="s">
        <v>6</v>
      </c>
      <c r="F110" s="751" t="s">
        <v>721</v>
      </c>
      <c r="G110" s="760" t="s">
        <v>5</v>
      </c>
      <c r="H110" s="761">
        <f t="shared" ca="1" si="303"/>
        <v>12</v>
      </c>
      <c r="I110" s="756"/>
      <c r="J110" s="750">
        <v>82</v>
      </c>
      <c r="K110" s="750">
        <v>46204.75</v>
      </c>
      <c r="L110" s="750" t="s">
        <v>694</v>
      </c>
      <c r="M110" s="750" t="str">
        <f t="shared" ca="1" si="304"/>
        <v>Bélgica</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República Checa</v>
      </c>
      <c r="O110" s="750"/>
      <c r="P110" s="750"/>
      <c r="Q110" s="750"/>
      <c r="R110" s="750"/>
      <c r="S110" s="750"/>
      <c r="T110" s="750"/>
      <c r="U110" s="750"/>
      <c r="V110" s="178"/>
      <c r="W110" s="820"/>
      <c r="X110" s="195">
        <f ca="1">Horarios!C110</f>
        <v>46204.75</v>
      </c>
      <c r="Y110" s="196">
        <f ca="1">Horarios!C110</f>
        <v>46204.75</v>
      </c>
      <c r="Z110" s="282">
        <f t="shared" si="309"/>
        <v>81</v>
      </c>
      <c r="AA110" s="283" t="str">
        <f t="shared" ca="1" si="305"/>
        <v>Turquía</v>
      </c>
      <c r="AB110" s="284">
        <v>5</v>
      </c>
      <c r="AC110" s="287">
        <v>2</v>
      </c>
      <c r="AD110" s="287">
        <v>2</v>
      </c>
      <c r="AE110" s="284">
        <v>6</v>
      </c>
      <c r="AF110" s="286" t="str">
        <f t="shared" ca="1" si="306"/>
        <v>Senegal</v>
      </c>
      <c r="AG110" s="425">
        <f t="shared" ca="1" si="307"/>
        <v>1</v>
      </c>
      <c r="AH110" s="202">
        <v>81</v>
      </c>
      <c r="AI110" s="223">
        <v>9</v>
      </c>
      <c r="AJ110" s="227">
        <v>9</v>
      </c>
      <c r="AK110" s="494" t="str" cm="1">
        <f t="array" aca="1" ref="AK110" ca="1">Ver_flag_visit</f>
        <v/>
      </c>
      <c r="AL110" s="295" t="str">
        <f t="shared" ca="1" si="310"/>
        <v>Arabia Saudita</v>
      </c>
      <c r="AM110" s="296">
        <f t="shared" ref="AM110:AT110" ca="1" si="325">+IF($H$113&gt;=48,INDEX($BE$58:$BN$69,MATCH($AL110,$BD$58:$BD$69,0),MATCH(AM$5,$BE$57:$BN$57,0)),$BB66)</f>
        <v>3</v>
      </c>
      <c r="AN110" s="297">
        <f t="shared" ca="1" si="325"/>
        <v>3</v>
      </c>
      <c r="AO110" s="297">
        <f t="shared" ca="1" si="325"/>
        <v>1</v>
      </c>
      <c r="AP110" s="297">
        <f t="shared" ca="1" si="325"/>
        <v>0</v>
      </c>
      <c r="AQ110" s="297">
        <f t="shared" ca="1" si="325"/>
        <v>2</v>
      </c>
      <c r="AR110" s="297">
        <f t="shared" ca="1" si="325"/>
        <v>3</v>
      </c>
      <c r="AS110" s="297">
        <f t="shared" ca="1" si="325"/>
        <v>7</v>
      </c>
      <c r="AT110" s="298">
        <f t="shared" ca="1" si="325"/>
        <v>-4</v>
      </c>
      <c r="AU110" s="428">
        <f t="shared" ca="1" si="312"/>
        <v>1</v>
      </c>
      <c r="AV110" s="223" t="str">
        <f t="shared" ca="1" si="313"/>
        <v>Arabia Saudita</v>
      </c>
      <c r="AW110" s="435"/>
      <c r="AX110" s="294"/>
      <c r="AY110" s="299"/>
      <c r="AZ110" s="300" t="str">
        <f t="shared" ca="1" si="315"/>
        <v>1L - 3K</v>
      </c>
      <c r="BA110" s="181"/>
      <c r="BB110" s="750"/>
      <c r="BC110" s="750"/>
      <c r="BD110" s="750"/>
      <c r="BE110" s="756"/>
      <c r="BF110" s="750" t="str">
        <f t="shared" ca="1" si="316"/>
        <v>C</v>
      </c>
      <c r="BG110" s="750">
        <f t="shared" ca="1" si="317"/>
        <v>2</v>
      </c>
      <c r="BH110" s="750"/>
      <c r="BI110" s="756">
        <v>8</v>
      </c>
      <c r="BJ110" s="750" t="str">
        <f t="shared" ca="1" si="318"/>
        <v>L</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Turquía-Senegal</v>
      </c>
      <c r="DU110" s="750"/>
      <c r="DV110" s="750"/>
      <c r="DW110" s="11"/>
    </row>
    <row r="111" spans="1:127" ht="16" customHeight="1">
      <c r="A111" s="750" t="s">
        <v>680</v>
      </c>
      <c r="B111" s="750" t="s">
        <v>683</v>
      </c>
      <c r="C111" s="751"/>
      <c r="D111" s="759" t="str">
        <f t="shared" ca="1" si="302"/>
        <v>España</v>
      </c>
      <c r="E111" s="751" t="s">
        <v>439</v>
      </c>
      <c r="F111" s="751" t="s">
        <v>238</v>
      </c>
      <c r="G111" s="760" t="s">
        <v>439</v>
      </c>
      <c r="H111" s="761">
        <f t="shared" ca="1" si="303"/>
        <v>12</v>
      </c>
      <c r="I111" s="756"/>
      <c r="J111" s="750">
        <v>83</v>
      </c>
      <c r="K111" s="750">
        <v>46205.75</v>
      </c>
      <c r="L111" s="750" t="s">
        <v>695</v>
      </c>
      <c r="M111" s="750" t="str">
        <f t="shared" ca="1" si="304"/>
        <v>Colombia</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750"/>
      <c r="P111" s="750"/>
      <c r="Q111" s="750"/>
      <c r="R111" s="750"/>
      <c r="S111" s="750"/>
      <c r="T111" s="750"/>
      <c r="U111" s="750"/>
      <c r="V111" s="178"/>
      <c r="W111" s="820"/>
      <c r="X111" s="195">
        <f ca="1">Horarios!C111</f>
        <v>46205.541666666664</v>
      </c>
      <c r="Y111" s="196">
        <f ca="1">Horarios!C111</f>
        <v>46205.541666666664</v>
      </c>
      <c r="Z111" s="282">
        <f t="shared" si="309"/>
        <v>84</v>
      </c>
      <c r="AA111" s="283" t="str">
        <f t="shared" ca="1" si="305"/>
        <v>España</v>
      </c>
      <c r="AB111" s="284"/>
      <c r="AC111" s="287">
        <v>1</v>
      </c>
      <c r="AD111" s="287">
        <v>0</v>
      </c>
      <c r="AE111" s="284"/>
      <c r="AF111" s="286" t="str">
        <f t="shared" ca="1" si="306"/>
        <v>Austria</v>
      </c>
      <c r="AG111" s="425">
        <f t="shared" ca="1" si="307"/>
        <v>1</v>
      </c>
      <c r="AH111" s="202">
        <v>84</v>
      </c>
      <c r="AI111" s="223">
        <v>10</v>
      </c>
      <c r="AJ111" s="227">
        <v>10</v>
      </c>
      <c r="AK111" s="494" t="str" cm="1">
        <f t="array" aca="1" ref="AK111" ca="1">Ver_flag_visit</f>
        <v/>
      </c>
      <c r="AL111" s="295" t="str">
        <f t="shared" ca="1" si="310"/>
        <v>Egipto</v>
      </c>
      <c r="AM111" s="296">
        <f t="shared" ref="AM111:AT111" ca="1" si="326">+IF($H$113&gt;=48,INDEX($BE$58:$BN$69,MATCH($AL111,$BD$58:$BD$69,0),MATCH(AM$5,$BE$57:$BN$57,0)),$BB67)</f>
        <v>2</v>
      </c>
      <c r="AN111" s="297">
        <f t="shared" ca="1" si="326"/>
        <v>3</v>
      </c>
      <c r="AO111" s="297">
        <f t="shared" ca="1" si="326"/>
        <v>0</v>
      </c>
      <c r="AP111" s="297">
        <f t="shared" ca="1" si="326"/>
        <v>2</v>
      </c>
      <c r="AQ111" s="297">
        <f t="shared" ca="1" si="326"/>
        <v>1</v>
      </c>
      <c r="AR111" s="297">
        <f t="shared" ca="1" si="326"/>
        <v>3</v>
      </c>
      <c r="AS111" s="297">
        <f t="shared" ca="1" si="326"/>
        <v>5</v>
      </c>
      <c r="AT111" s="298">
        <f t="shared" ca="1" si="326"/>
        <v>-2</v>
      </c>
      <c r="AU111" s="428">
        <f t="shared" ca="1" si="312"/>
        <v>1</v>
      </c>
      <c r="AV111" s="223" t="str">
        <f t="shared" ca="1" si="313"/>
        <v>Egipto</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España-Austria</v>
      </c>
      <c r="DU111" s="750"/>
      <c r="DV111" s="750"/>
      <c r="DW111" s="11"/>
    </row>
    <row r="112" spans="1:127" ht="16" customHeight="1">
      <c r="A112" s="750" t="s">
        <v>670</v>
      </c>
      <c r="B112" s="750" t="s">
        <v>677</v>
      </c>
      <c r="C112" s="751"/>
      <c r="D112" s="759" t="str">
        <f t="shared" ca="1" si="302"/>
        <v>Colombia</v>
      </c>
      <c r="E112" s="751" t="s">
        <v>437</v>
      </c>
      <c r="F112" s="751" t="s">
        <v>5</v>
      </c>
      <c r="G112" s="760" t="s">
        <v>238</v>
      </c>
      <c r="H112" s="761">
        <f t="shared" ca="1" si="303"/>
        <v>12</v>
      </c>
      <c r="I112" s="756"/>
      <c r="J112" s="750">
        <v>84</v>
      </c>
      <c r="K112" s="750">
        <v>46205.75</v>
      </c>
      <c r="L112" s="750" t="s">
        <v>696</v>
      </c>
      <c r="M112" s="750" t="str">
        <f t="shared" ca="1" si="304"/>
        <v>España</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Austria</v>
      </c>
      <c r="O112" s="750"/>
      <c r="P112" s="750"/>
      <c r="Q112" s="750"/>
      <c r="R112" s="750"/>
      <c r="S112" s="750"/>
      <c r="T112" s="750"/>
      <c r="U112" s="750"/>
      <c r="V112" s="178"/>
      <c r="W112" s="820"/>
      <c r="X112" s="195">
        <f ca="1">Horarios!C112</f>
        <v>46205.708333333328</v>
      </c>
      <c r="Y112" s="196">
        <f ca="1">Horarios!C112</f>
        <v>46205.708333333328</v>
      </c>
      <c r="Z112" s="282">
        <f t="shared" si="309"/>
        <v>83</v>
      </c>
      <c r="AA112" s="283" t="str">
        <f t="shared" ca="1" si="305"/>
        <v>Colombia</v>
      </c>
      <c r="AB112" s="284">
        <v>5</v>
      </c>
      <c r="AC112" s="287">
        <v>1</v>
      </c>
      <c r="AD112" s="287">
        <v>1</v>
      </c>
      <c r="AE112" s="284">
        <v>4</v>
      </c>
      <c r="AF112" s="286" t="str">
        <f t="shared" ca="1" si="306"/>
        <v>Croacia</v>
      </c>
      <c r="AG112" s="425">
        <f t="shared" ca="1" si="307"/>
        <v>1</v>
      </c>
      <c r="AH112" s="202">
        <v>83</v>
      </c>
      <c r="AI112" s="223">
        <v>11</v>
      </c>
      <c r="AJ112" s="227">
        <v>11</v>
      </c>
      <c r="AK112" s="494" t="str" cm="1">
        <f t="array" aca="1" ref="AK112" ca="1">Ver_flag_visit</f>
        <v/>
      </c>
      <c r="AL112" s="295" t="str">
        <f t="shared" ca="1" si="310"/>
        <v>Argelia</v>
      </c>
      <c r="AM112" s="296">
        <f t="shared" ref="AM112:AT112" ca="1" si="327">+IF($H$113&gt;=48,INDEX($BE$58:$BN$69,MATCH($AL112,$BD$58:$BD$69,0),MATCH(AM$5,$BE$57:$BN$57,0)),$BB68)</f>
        <v>2</v>
      </c>
      <c r="AN112" s="297">
        <f t="shared" ca="1" si="327"/>
        <v>3</v>
      </c>
      <c r="AO112" s="297">
        <f t="shared" ca="1" si="327"/>
        <v>0</v>
      </c>
      <c r="AP112" s="297">
        <f t="shared" ca="1" si="327"/>
        <v>2</v>
      </c>
      <c r="AQ112" s="297">
        <f t="shared" ca="1" si="327"/>
        <v>1</v>
      </c>
      <c r="AR112" s="297">
        <f t="shared" ca="1" si="327"/>
        <v>1</v>
      </c>
      <c r="AS112" s="297">
        <f t="shared" ca="1" si="327"/>
        <v>3</v>
      </c>
      <c r="AT112" s="298">
        <f t="shared" ca="1" si="327"/>
        <v>-2</v>
      </c>
      <c r="AU112" s="428">
        <f t="shared" ca="1" si="312"/>
        <v>1</v>
      </c>
      <c r="AV112" s="223" t="str">
        <f t="shared" ca="1" si="313"/>
        <v>Argelia</v>
      </c>
      <c r="AW112" s="435"/>
      <c r="AX112" s="294"/>
      <c r="AY112" s="301"/>
      <c r="AZ112" s="301"/>
      <c r="BA112" s="181"/>
      <c r="BB112" s="750"/>
      <c r="BC112" s="750"/>
      <c r="BD112" s="758"/>
      <c r="BE112" s="750"/>
      <c r="BF112" s="750"/>
      <c r="BG112" s="750"/>
      <c r="BH112" s="750"/>
      <c r="BI112" s="750" t="str">
        <f ca="1">IFERROR(CONCATENATE(BJ103,BJ104,BJ105,BJ106,BJ107,BJ108,BJ109,BJ110),"¿A/B/C/D/E/F/G/H/I/J/K/L?")</f>
        <v>ACDEFIKL</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Colombia-Croacia</v>
      </c>
      <c r="DU112" s="750"/>
      <c r="DV112" s="750"/>
      <c r="DW112" s="11"/>
    </row>
    <row r="113" spans="1:127" ht="16" customHeight="1" thickBot="1">
      <c r="A113" s="750" t="s">
        <v>648</v>
      </c>
      <c r="B113" s="750" t="s">
        <v>728</v>
      </c>
      <c r="C113" s="751"/>
      <c r="D113" s="759" t="str">
        <f t="shared" ca="1" si="302"/>
        <v>Suiza</v>
      </c>
      <c r="E113" s="751" t="s">
        <v>1</v>
      </c>
      <c r="F113" s="751" t="s">
        <v>721</v>
      </c>
      <c r="G113" s="760" t="s">
        <v>721</v>
      </c>
      <c r="H113" s="761">
        <f ca="1">+IF(AJ99&lt;&gt;144,SUM(H101:H112),AJ99)</f>
        <v>144</v>
      </c>
      <c r="I113" s="756"/>
      <c r="J113" s="750">
        <v>85</v>
      </c>
      <c r="K113" s="750">
        <v>46205.75</v>
      </c>
      <c r="L113" s="750" t="s">
        <v>697</v>
      </c>
      <c r="M113" s="750" t="str">
        <f t="shared" ca="1" si="304"/>
        <v>Suiza</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Ecuador</v>
      </c>
      <c r="O113" s="750"/>
      <c r="P113" s="750"/>
      <c r="Q113" s="750"/>
      <c r="R113" s="750"/>
      <c r="S113" s="750"/>
      <c r="T113" s="750"/>
      <c r="U113" s="750"/>
      <c r="V113" s="178"/>
      <c r="W113" s="820"/>
      <c r="X113" s="195">
        <f ca="1">Horarios!C113</f>
        <v>46205.875</v>
      </c>
      <c r="Y113" s="196">
        <f ca="1">Horarios!C113</f>
        <v>46205.875</v>
      </c>
      <c r="Z113" s="282">
        <f t="shared" si="309"/>
        <v>85</v>
      </c>
      <c r="AA113" s="283" t="str">
        <f t="shared" ca="1" si="305"/>
        <v>Suiza</v>
      </c>
      <c r="AB113" s="284">
        <v>4</v>
      </c>
      <c r="AC113" s="287">
        <v>2</v>
      </c>
      <c r="AD113" s="287">
        <v>2</v>
      </c>
      <c r="AE113" s="285">
        <v>3</v>
      </c>
      <c r="AF113" s="286" t="str">
        <f t="shared" ca="1" si="306"/>
        <v>Ecuador</v>
      </c>
      <c r="AG113" s="425">
        <f t="shared" ca="1" si="307"/>
        <v>1</v>
      </c>
      <c r="AH113" s="202">
        <v>85</v>
      </c>
      <c r="AI113" s="223">
        <v>12</v>
      </c>
      <c r="AJ113" s="241">
        <v>12</v>
      </c>
      <c r="AK113" s="495" t="str" cm="1">
        <f t="array" aca="1" ref="AK113" ca="1">Ver_flag_visit</f>
        <v/>
      </c>
      <c r="AL113" s="242" t="str">
        <f t="shared" ca="1" si="310"/>
        <v>Canadá</v>
      </c>
      <c r="AM113" s="243">
        <f t="shared" ref="AM113:AT113" ca="1" si="328">+IF($H$113&gt;=48,INDEX($BE$58:$BN$69,MATCH($AL113,$BD$58:$BD$69,0),MATCH(AM$5,$BE$57:$BN$57,0)),$BB69)</f>
        <v>1</v>
      </c>
      <c r="AN113" s="244">
        <f t="shared" ca="1" si="328"/>
        <v>3</v>
      </c>
      <c r="AO113" s="244">
        <f t="shared" ca="1" si="328"/>
        <v>0</v>
      </c>
      <c r="AP113" s="244">
        <f t="shared" ca="1" si="328"/>
        <v>1</v>
      </c>
      <c r="AQ113" s="244">
        <f t="shared" ca="1" si="328"/>
        <v>2</v>
      </c>
      <c r="AR113" s="244">
        <f t="shared" ca="1" si="328"/>
        <v>1</v>
      </c>
      <c r="AS113" s="244">
        <f t="shared" ca="1" si="328"/>
        <v>4</v>
      </c>
      <c r="AT113" s="245">
        <f t="shared" ca="1" si="328"/>
        <v>-3</v>
      </c>
      <c r="AU113" s="428">
        <f t="shared" ca="1" si="312"/>
        <v>1</v>
      </c>
      <c r="AV113" s="223" t="str">
        <f t="shared" ca="1" si="313"/>
        <v>Canadá</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Suiza-Ecuador</v>
      </c>
      <c r="DU113" s="750"/>
      <c r="DV113" s="750"/>
      <c r="DW113" s="11"/>
    </row>
    <row r="114" spans="1:127" ht="16" customHeight="1">
      <c r="A114" s="750" t="s">
        <v>676</v>
      </c>
      <c r="B114" s="750" t="s">
        <v>671</v>
      </c>
      <c r="C114" s="751"/>
      <c r="D114" s="759" t="str">
        <f t="shared" ca="1" si="302"/>
        <v>Estados Unidos</v>
      </c>
      <c r="E114" s="751" t="s">
        <v>5</v>
      </c>
      <c r="F114" s="751" t="s">
        <v>437</v>
      </c>
      <c r="G114" s="756"/>
      <c r="H114" s="756"/>
      <c r="I114" s="756"/>
      <c r="J114" s="750">
        <v>86</v>
      </c>
      <c r="K114" s="750">
        <v>46206.75</v>
      </c>
      <c r="L114" s="750" t="s">
        <v>698</v>
      </c>
      <c r="M114" s="750" t="str">
        <f t="shared" ca="1" si="304"/>
        <v>Argentina</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750"/>
      <c r="P114" s="750"/>
      <c r="Q114" s="750"/>
      <c r="R114" s="750"/>
      <c r="S114" s="750"/>
      <c r="T114" s="750"/>
      <c r="U114" s="750"/>
      <c r="V114" s="178"/>
      <c r="W114" s="820"/>
      <c r="X114" s="195">
        <f ca="1">Horarios!C114</f>
        <v>46206.5</v>
      </c>
      <c r="Y114" s="196">
        <f ca="1">Horarios!C114</f>
        <v>46206.5</v>
      </c>
      <c r="Z114" s="282">
        <f t="shared" si="309"/>
        <v>88</v>
      </c>
      <c r="AA114" s="283" t="str">
        <f t="shared" ca="1" si="305"/>
        <v>Estados Unidos</v>
      </c>
      <c r="AB114" s="284"/>
      <c r="AC114" s="287">
        <v>2</v>
      </c>
      <c r="AD114" s="287">
        <v>0</v>
      </c>
      <c r="AE114" s="284"/>
      <c r="AF114" s="286" t="str">
        <f t="shared" ca="1" si="306"/>
        <v>Irán</v>
      </c>
      <c r="AG114" s="425">
        <f t="shared" ca="1" si="307"/>
        <v>1</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Estados Unidos-Irán</v>
      </c>
      <c r="DU114" s="756"/>
      <c r="DV114" s="756"/>
      <c r="DW114" s="8"/>
    </row>
    <row r="115" spans="1:127" ht="16" customHeight="1">
      <c r="A115" s="750" t="s">
        <v>679</v>
      </c>
      <c r="B115" s="750" t="s">
        <v>729</v>
      </c>
      <c r="C115" s="751"/>
      <c r="D115" s="759" t="str">
        <f t="shared" ca="1" si="302"/>
        <v>Argentina</v>
      </c>
      <c r="E115" s="751" t="s">
        <v>439</v>
      </c>
      <c r="F115" s="751" t="s">
        <v>721</v>
      </c>
      <c r="G115" s="756"/>
      <c r="H115" s="756"/>
      <c r="I115" s="756"/>
      <c r="J115" s="750">
        <v>87</v>
      </c>
      <c r="K115" s="750">
        <v>46206.75</v>
      </c>
      <c r="L115" s="750" t="s">
        <v>699</v>
      </c>
      <c r="M115" s="750" t="str">
        <f t="shared" ca="1" si="304"/>
        <v>Portugal</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750"/>
      <c r="P115" s="750"/>
      <c r="Q115" s="750"/>
      <c r="R115" s="750"/>
      <c r="S115" s="750"/>
      <c r="T115" s="750"/>
      <c r="U115" s="750"/>
      <c r="V115" s="178"/>
      <c r="W115" s="820"/>
      <c r="X115" s="195">
        <f ca="1">Horarios!C115</f>
        <v>46206.666666666664</v>
      </c>
      <c r="Y115" s="196">
        <f ca="1">Horarios!C115</f>
        <v>46206.666666666664</v>
      </c>
      <c r="Z115" s="282">
        <f t="shared" si="309"/>
        <v>86</v>
      </c>
      <c r="AA115" s="283" t="str">
        <f t="shared" ca="1" si="305"/>
        <v>Argentina</v>
      </c>
      <c r="AB115" s="284"/>
      <c r="AC115" s="287">
        <v>1</v>
      </c>
      <c r="AD115" s="287">
        <v>0</v>
      </c>
      <c r="AE115" s="284"/>
      <c r="AF115" s="286" t="str">
        <f t="shared" ca="1" si="306"/>
        <v>Uruguay</v>
      </c>
      <c r="AG115" s="425">
        <f t="shared" ca="1" si="307"/>
        <v>1</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Argentina-Uruguay</v>
      </c>
      <c r="DU115" s="756"/>
      <c r="DV115" s="756"/>
      <c r="DW115" s="8"/>
    </row>
    <row r="116" spans="1:127" ht="16" customHeight="1" thickBot="1">
      <c r="A116" s="750" t="s">
        <v>659</v>
      </c>
      <c r="B116" s="750" t="s">
        <v>668</v>
      </c>
      <c r="C116" s="751"/>
      <c r="D116" s="759" t="str">
        <f t="shared" ca="1" si="302"/>
        <v>Portugal</v>
      </c>
      <c r="E116" s="751" t="s">
        <v>73</v>
      </c>
      <c r="F116" s="751" t="s">
        <v>6</v>
      </c>
      <c r="G116" s="756"/>
      <c r="H116" s="756"/>
      <c r="I116" s="756"/>
      <c r="J116" s="750">
        <v>88</v>
      </c>
      <c r="K116" s="750">
        <v>46206.75</v>
      </c>
      <c r="L116" s="750" t="s">
        <v>700</v>
      </c>
      <c r="M116" s="750" t="str">
        <f t="shared" ca="1" si="304"/>
        <v>Estados Unidos</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Irán</v>
      </c>
      <c r="O116" s="750"/>
      <c r="P116" s="750"/>
      <c r="Q116" s="750"/>
      <c r="R116" s="750"/>
      <c r="S116" s="750"/>
      <c r="T116" s="750"/>
      <c r="U116" s="750"/>
      <c r="V116" s="178"/>
      <c r="W116" s="821"/>
      <c r="X116" s="234">
        <f ca="1">Horarios!C116</f>
        <v>46206.8125</v>
      </c>
      <c r="Y116" s="235">
        <f ca="1">Horarios!C116</f>
        <v>46206.8125</v>
      </c>
      <c r="Z116" s="305">
        <f t="shared" si="309"/>
        <v>87</v>
      </c>
      <c r="AA116" s="306" t="str">
        <f t="shared" ca="1" si="305"/>
        <v>Portugal</v>
      </c>
      <c r="AB116" s="307"/>
      <c r="AC116" s="308">
        <v>2</v>
      </c>
      <c r="AD116" s="308">
        <v>0</v>
      </c>
      <c r="AE116" s="307"/>
      <c r="AF116" s="309" t="str">
        <f t="shared" ca="1" si="306"/>
        <v>Ghana</v>
      </c>
      <c r="AG116" s="425">
        <f t="shared" ca="1" si="307"/>
        <v>1</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Portugal-Ghana</v>
      </c>
      <c r="DU116" s="756"/>
      <c r="DV116" s="756"/>
      <c r="DW116" s="8"/>
    </row>
    <row r="117" spans="1:127" ht="16" customHeight="1" thickBot="1">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str">
        <f ca="1">+INDEX(Combinaciones3!$P$2:$W$496,MATCH(1,Combinaciones3!$B$2:$B$497,0),MATCH(WORLDCUP!BF117,Combinaciones3!$P$1:$W$1,0))</f>
        <v>3C</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str">
        <f ca="1">+INDEX(Combinaciones3!$P$2:$W$496,MATCH(1,Combinaciones3!$B$2:$B$497,0),MATCH(WORLDCUP!BF118,Combinaciones3!$P$1:$W$1,0))</f>
        <v>3E</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str">
        <f ca="1">+INDEX(Combinaciones3!$P$2:$W$496,MATCH(1,Combinaciones3!$B$2:$B$497,0),MATCH(WORLDCUP!BF119,Combinaciones3!$P$1:$W$1,0))</f>
        <v>3I</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c r="A120" s="750" t="s">
        <v>730</v>
      </c>
      <c r="B120" s="750" t="s">
        <v>731</v>
      </c>
      <c r="C120" s="751"/>
      <c r="D120" s="759" t="str">
        <f t="shared" ref="D120:D127" ca="1" si="329">IF(AND(OR(AC120="",AD120="")),"W"&amp;AH120,IF(AC120&gt;AD120,AA120,IF(AC120&lt;AD120,AF120,IF(AND(AC120=AD120,AB120=AE120),"W"&amp;AH120,IF(AND(AC120=AD120,OR(AB120="",AE120="")),"W"&amp;AH120,IF(AND(AC120=AD120,AB120&gt;AE120),AA120,AF120))))))</f>
        <v>Japón</v>
      </c>
      <c r="E120" s="756">
        <v>74</v>
      </c>
      <c r="F120" s="756">
        <v>77</v>
      </c>
      <c r="G120" s="756"/>
      <c r="H120" s="756"/>
      <c r="I120" s="756"/>
      <c r="J120" s="750">
        <v>89</v>
      </c>
      <c r="K120" s="750">
        <v>46207.75</v>
      </c>
      <c r="L120" s="750" t="s">
        <v>701</v>
      </c>
      <c r="M120" s="756" t="str">
        <f t="shared" ref="M120:N127" ca="1" si="330">+INDEX($D$101:$D$147,MATCH(E120,$AH$101:$AH$147,0))</f>
        <v>Alemania</v>
      </c>
      <c r="N120" s="756" t="str">
        <f t="shared" ca="1" si="330"/>
        <v>Francia</v>
      </c>
      <c r="O120" s="756"/>
      <c r="P120" s="756"/>
      <c r="Q120" s="756"/>
      <c r="R120" s="756"/>
      <c r="S120" s="756"/>
      <c r="T120" s="756"/>
      <c r="U120" s="756"/>
      <c r="V120" s="178"/>
      <c r="W120" s="822" t="s">
        <v>88</v>
      </c>
      <c r="X120" s="195">
        <f ca="1">Horarios!C120</f>
        <v>46207.458333333328</v>
      </c>
      <c r="Y120" s="196">
        <f ca="1">Horarios!C120</f>
        <v>46207.458333333328</v>
      </c>
      <c r="Z120" s="282">
        <f t="shared" ref="Z120:Z127" si="331">AH120</f>
        <v>90</v>
      </c>
      <c r="AA120" s="283" t="str">
        <f t="shared" ref="AA120:AA127" ca="1" si="332">+INDEX($M$101:$M$147,MATCH(AH120,$J$101:$J$147,0))</f>
        <v>Corea del Sur</v>
      </c>
      <c r="AB120" s="284">
        <v>3</v>
      </c>
      <c r="AC120" s="311">
        <v>1</v>
      </c>
      <c r="AD120" s="311">
        <v>1</v>
      </c>
      <c r="AE120" s="284">
        <v>4</v>
      </c>
      <c r="AF120" s="286" t="str">
        <f t="shared" ref="AF120:AF127" ca="1" si="333">+INDEX($N$101:$N$147,MATCH(AH120,$J$101:$J$147,0))</f>
        <v>Japón</v>
      </c>
      <c r="AG120" s="425">
        <f t="shared" ref="AG120:AG127" ca="1" si="334">IF(D120="W"&amp;AH120,0,1)</f>
        <v>1</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str">
        <f ca="1">+INDEX(Combinaciones3!$P$2:$W$496,MATCH(1,Combinaciones3!$B$2:$B$497,0),MATCH(WORLDCUP!BF120,Combinaciones3!$P$1:$W$1,0))</f>
        <v>3D</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ca="1" si="242"/>
        <v>Corea del Sur-Japón</v>
      </c>
      <c r="DU120" s="756"/>
      <c r="DV120" s="756"/>
      <c r="DW120" s="8"/>
    </row>
    <row r="121" spans="1:127" ht="16" customHeight="1">
      <c r="A121" s="750" t="s">
        <v>732</v>
      </c>
      <c r="B121" s="750" t="s">
        <v>733</v>
      </c>
      <c r="C121" s="751"/>
      <c r="D121" s="759" t="str">
        <f t="shared" ca="1" si="329"/>
        <v>Francia</v>
      </c>
      <c r="E121" s="756">
        <v>73</v>
      </c>
      <c r="F121" s="756">
        <v>75</v>
      </c>
      <c r="G121" s="756"/>
      <c r="H121" s="756"/>
      <c r="I121" s="756"/>
      <c r="J121" s="750">
        <v>90</v>
      </c>
      <c r="K121" s="750">
        <v>46207.875</v>
      </c>
      <c r="L121" s="750" t="s">
        <v>702</v>
      </c>
      <c r="M121" s="756" t="str">
        <f t="shared" ca="1" si="330"/>
        <v>Corea del Sur</v>
      </c>
      <c r="N121" s="756" t="str">
        <f t="shared" ca="1" si="330"/>
        <v>Japón</v>
      </c>
      <c r="O121" s="756"/>
      <c r="P121" s="756"/>
      <c r="Q121" s="756"/>
      <c r="R121" s="756"/>
      <c r="S121" s="756"/>
      <c r="T121" s="756"/>
      <c r="U121" s="756"/>
      <c r="V121" s="178"/>
      <c r="W121" s="822"/>
      <c r="X121" s="195">
        <f ca="1">Horarios!C121</f>
        <v>46207.625</v>
      </c>
      <c r="Y121" s="196">
        <f ca="1">Horarios!C121</f>
        <v>46207.625</v>
      </c>
      <c r="Z121" s="282">
        <f t="shared" si="331"/>
        <v>89</v>
      </c>
      <c r="AA121" s="283" t="str">
        <f t="shared" ca="1" si="332"/>
        <v>Alemania</v>
      </c>
      <c r="AB121" s="284"/>
      <c r="AC121" s="313">
        <v>2</v>
      </c>
      <c r="AD121" s="313">
        <v>3</v>
      </c>
      <c r="AE121" s="284"/>
      <c r="AF121" s="286" t="str">
        <f t="shared" ca="1" si="333"/>
        <v>Francia</v>
      </c>
      <c r="AG121" s="425">
        <f t="shared" ca="1" si="334"/>
        <v>1</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str">
        <f ca="1">+INDEX(Combinaciones3!$P$2:$W$496,MATCH(1,Combinaciones3!$B$2:$B$497,0),MATCH(WORLDCUP!BF121,Combinaciones3!$P$1:$W$1,0))</f>
        <v>3A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ca="1" si="242"/>
        <v>Alemania-Francia</v>
      </c>
      <c r="DU121" s="756"/>
      <c r="DV121" s="756"/>
      <c r="DW121" s="8"/>
    </row>
    <row r="122" spans="1:127" ht="16" customHeight="1">
      <c r="A122" s="750" t="s">
        <v>734</v>
      </c>
      <c r="B122" s="750" t="s">
        <v>735</v>
      </c>
      <c r="C122" s="751"/>
      <c r="D122" s="759" t="str">
        <f t="shared" ca="1" si="329"/>
        <v>Brasil</v>
      </c>
      <c r="E122" s="756">
        <v>76</v>
      </c>
      <c r="F122" s="756">
        <v>78</v>
      </c>
      <c r="G122" s="756"/>
      <c r="H122" s="756"/>
      <c r="I122" s="756"/>
      <c r="J122" s="750">
        <v>91</v>
      </c>
      <c r="K122" s="750">
        <v>46208.75</v>
      </c>
      <c r="L122" s="750" t="s">
        <v>703</v>
      </c>
      <c r="M122" s="756" t="str">
        <f t="shared" ca="1" si="330"/>
        <v>Brasil</v>
      </c>
      <c r="N122" s="756" t="str">
        <f t="shared" ca="1" si="330"/>
        <v>Noruega</v>
      </c>
      <c r="O122" s="756"/>
      <c r="P122" s="756"/>
      <c r="Q122" s="756"/>
      <c r="R122" s="756"/>
      <c r="S122" s="756"/>
      <c r="T122" s="756"/>
      <c r="U122" s="756"/>
      <c r="V122" s="178"/>
      <c r="W122" s="822"/>
      <c r="X122" s="195">
        <f ca="1">Horarios!C122</f>
        <v>46208.583333333328</v>
      </c>
      <c r="Y122" s="196">
        <f ca="1">Horarios!C122</f>
        <v>46208.583333333328</v>
      </c>
      <c r="Z122" s="282">
        <f t="shared" si="331"/>
        <v>91</v>
      </c>
      <c r="AA122" s="283" t="str">
        <f t="shared" ca="1" si="332"/>
        <v>Brasil</v>
      </c>
      <c r="AB122" s="284"/>
      <c r="AC122" s="313">
        <v>4</v>
      </c>
      <c r="AD122" s="313">
        <v>3</v>
      </c>
      <c r="AE122" s="284"/>
      <c r="AF122" s="286" t="str">
        <f t="shared" ca="1" si="333"/>
        <v>Noruega</v>
      </c>
      <c r="AG122" s="425">
        <f t="shared" ca="1" si="334"/>
        <v>1</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str">
        <f ca="1">+INDEX(Combinaciones3!$P$2:$W$496,MATCH(1,Combinaciones3!$B$2:$B$497,0),MATCH(WORLDCUP!BF122,Combinaciones3!$P$1:$W$1,0))</f>
        <v>3F</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ca="1" si="242"/>
        <v>Brasil-Noruega</v>
      </c>
      <c r="DU122" s="756"/>
      <c r="DV122" s="756"/>
      <c r="DW122" s="8"/>
    </row>
    <row r="123" spans="1:127" ht="16" customHeight="1">
      <c r="A123" s="750" t="s">
        <v>736</v>
      </c>
      <c r="B123" s="750" t="s">
        <v>737</v>
      </c>
      <c r="C123" s="751"/>
      <c r="D123" s="759" t="str">
        <f t="shared" ca="1" si="329"/>
        <v>Inglaterra</v>
      </c>
      <c r="E123" s="756">
        <v>79</v>
      </c>
      <c r="F123" s="756">
        <v>80</v>
      </c>
      <c r="G123" s="756"/>
      <c r="H123" s="756"/>
      <c r="I123" s="756"/>
      <c r="J123" s="750">
        <v>92</v>
      </c>
      <c r="K123" s="750">
        <v>46208.875</v>
      </c>
      <c r="L123" s="750" t="s">
        <v>704</v>
      </c>
      <c r="M123" s="756" t="str">
        <f t="shared" ca="1" si="330"/>
        <v>México</v>
      </c>
      <c r="N123" s="756" t="str">
        <f t="shared" ca="1" si="330"/>
        <v>Inglaterra</v>
      </c>
      <c r="O123" s="756"/>
      <c r="P123" s="756"/>
      <c r="Q123" s="756"/>
      <c r="R123" s="756"/>
      <c r="S123" s="756"/>
      <c r="T123" s="756"/>
      <c r="U123" s="756"/>
      <c r="V123" s="178"/>
      <c r="W123" s="822"/>
      <c r="X123" s="195">
        <f ca="1">Horarios!C123</f>
        <v>46208.75</v>
      </c>
      <c r="Y123" s="196">
        <f ca="1">Horarios!C123</f>
        <v>46208.75</v>
      </c>
      <c r="Z123" s="282">
        <f t="shared" si="331"/>
        <v>92</v>
      </c>
      <c r="AA123" s="283" t="str">
        <f t="shared" ca="1" si="332"/>
        <v>México</v>
      </c>
      <c r="AB123" s="284"/>
      <c r="AC123" s="313">
        <v>1</v>
      </c>
      <c r="AD123" s="313">
        <v>2</v>
      </c>
      <c r="AE123" s="284"/>
      <c r="AF123" s="286" t="str">
        <f t="shared" ca="1" si="333"/>
        <v>Inglaterra</v>
      </c>
      <c r="AG123" s="425">
        <f t="shared" ca="1" si="334"/>
        <v>1</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str">
        <f ca="1">+INDEX(Combinaciones3!$P$2:$W$496,MATCH(1,Combinaciones3!$B$2:$B$497,0),MATCH(WORLDCUP!BF123,Combinaciones3!$P$1:$W$1,0))</f>
        <v>3L</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ca="1" si="242"/>
        <v>México-Inglaterra</v>
      </c>
      <c r="DU123" s="756"/>
      <c r="DV123" s="756"/>
      <c r="DW123" s="8"/>
    </row>
    <row r="124" spans="1:127" ht="16" customHeight="1">
      <c r="A124" s="750" t="s">
        <v>738</v>
      </c>
      <c r="B124" s="750" t="s">
        <v>739</v>
      </c>
      <c r="C124" s="751"/>
      <c r="D124" s="759" t="str">
        <f t="shared" ca="1" si="329"/>
        <v>España</v>
      </c>
      <c r="E124" s="756">
        <v>83</v>
      </c>
      <c r="F124" s="756">
        <v>84</v>
      </c>
      <c r="G124" s="756"/>
      <c r="H124" s="756"/>
      <c r="I124" s="756"/>
      <c r="J124" s="750">
        <v>93</v>
      </c>
      <c r="K124" s="750">
        <v>46209.75</v>
      </c>
      <c r="L124" s="750" t="s">
        <v>705</v>
      </c>
      <c r="M124" s="756" t="str">
        <f t="shared" ca="1" si="330"/>
        <v>Colombia</v>
      </c>
      <c r="N124" s="756" t="str">
        <f t="shared" ca="1" si="330"/>
        <v>España</v>
      </c>
      <c r="O124" s="756"/>
      <c r="P124" s="756"/>
      <c r="Q124" s="756"/>
      <c r="R124" s="756"/>
      <c r="S124" s="756"/>
      <c r="T124" s="756"/>
      <c r="U124" s="756"/>
      <c r="V124" s="178"/>
      <c r="W124" s="822"/>
      <c r="X124" s="195">
        <f ca="1">Horarios!C124</f>
        <v>46209.541666666664</v>
      </c>
      <c r="Y124" s="196">
        <f ca="1">Horarios!C124</f>
        <v>46209.541666666664</v>
      </c>
      <c r="Z124" s="282">
        <f t="shared" si="331"/>
        <v>93</v>
      </c>
      <c r="AA124" s="283" t="str">
        <f t="shared" ca="1" si="332"/>
        <v>Colombia</v>
      </c>
      <c r="AB124" s="314"/>
      <c r="AC124" s="313">
        <v>2</v>
      </c>
      <c r="AD124" s="313">
        <v>3</v>
      </c>
      <c r="AE124" s="285"/>
      <c r="AF124" s="286" t="str">
        <f t="shared" ca="1" si="333"/>
        <v>España</v>
      </c>
      <c r="AG124" s="425">
        <f t="shared" ca="1" si="334"/>
        <v>1</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str">
        <f ca="1">+INDEX(Combinaciones3!$P$2:$W$496,MATCH(1,Combinaciones3!$B$2:$B$497,0),MATCH(WORLDCUP!BF124,Combinaciones3!$P$1:$W$1,0))</f>
        <v>3K</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ca="1" si="242"/>
        <v>Colombia-España</v>
      </c>
      <c r="DU124" s="756"/>
      <c r="DV124" s="756"/>
      <c r="DW124" s="8"/>
    </row>
    <row r="125" spans="1:127" ht="16" customHeight="1">
      <c r="A125" s="750" t="s">
        <v>740</v>
      </c>
      <c r="B125" s="750" t="s">
        <v>741</v>
      </c>
      <c r="C125" s="751"/>
      <c r="D125" s="759" t="str">
        <f t="shared" ca="1" si="329"/>
        <v>Bélgica</v>
      </c>
      <c r="E125" s="756">
        <v>81</v>
      </c>
      <c r="F125" s="756">
        <v>82</v>
      </c>
      <c r="G125" s="756"/>
      <c r="H125" s="756"/>
      <c r="I125" s="756"/>
      <c r="J125" s="750">
        <v>94</v>
      </c>
      <c r="K125" s="750">
        <v>46209.875</v>
      </c>
      <c r="L125" s="750" t="s">
        <v>706</v>
      </c>
      <c r="M125" s="756" t="str">
        <f t="shared" ca="1" si="330"/>
        <v>Senegal</v>
      </c>
      <c r="N125" s="756" t="str">
        <f t="shared" ca="1" si="330"/>
        <v>Bélgica</v>
      </c>
      <c r="O125" s="756"/>
      <c r="P125" s="756"/>
      <c r="Q125" s="756"/>
      <c r="R125" s="756"/>
      <c r="S125" s="756"/>
      <c r="T125" s="756"/>
      <c r="U125" s="756"/>
      <c r="V125" s="178"/>
      <c r="W125" s="822"/>
      <c r="X125" s="195">
        <f ca="1">Horarios!C125</f>
        <v>46209.75</v>
      </c>
      <c r="Y125" s="196">
        <f ca="1">Horarios!C125</f>
        <v>46209.75</v>
      </c>
      <c r="Z125" s="282">
        <f t="shared" si="331"/>
        <v>94</v>
      </c>
      <c r="AA125" s="283" t="str">
        <f t="shared" ca="1" si="332"/>
        <v>Senegal</v>
      </c>
      <c r="AB125" s="284"/>
      <c r="AC125" s="315">
        <v>0</v>
      </c>
      <c r="AD125" s="315">
        <v>2</v>
      </c>
      <c r="AE125" s="284"/>
      <c r="AF125" s="286" t="str">
        <f t="shared" ca="1" si="333"/>
        <v>Bélgica</v>
      </c>
      <c r="AG125" s="425">
        <f t="shared" ca="1" si="334"/>
        <v>1</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ca="1" si="242"/>
        <v>Senegal-Bélgica</v>
      </c>
      <c r="DU125" s="756"/>
      <c r="DV125" s="756"/>
      <c r="DW125" s="8"/>
    </row>
    <row r="126" spans="1:127" ht="16" customHeight="1">
      <c r="A126" s="750" t="s">
        <v>742</v>
      </c>
      <c r="B126" s="750" t="s">
        <v>743</v>
      </c>
      <c r="C126" s="751"/>
      <c r="D126" s="759" t="str">
        <f t="shared" ca="1" si="329"/>
        <v>Argentina</v>
      </c>
      <c r="E126" s="756">
        <v>86</v>
      </c>
      <c r="F126" s="756">
        <v>88</v>
      </c>
      <c r="G126" s="756"/>
      <c r="H126" s="756"/>
      <c r="I126" s="756"/>
      <c r="J126" s="750">
        <v>95</v>
      </c>
      <c r="K126" s="750">
        <v>46210.75</v>
      </c>
      <c r="L126" s="750" t="s">
        <v>707</v>
      </c>
      <c r="M126" s="756" t="str">
        <f t="shared" ca="1" si="330"/>
        <v>Argentina</v>
      </c>
      <c r="N126" s="756" t="str">
        <f t="shared" ca="1" si="330"/>
        <v>Estados Unidos</v>
      </c>
      <c r="O126" s="756"/>
      <c r="P126" s="756"/>
      <c r="Q126" s="756"/>
      <c r="R126" s="756"/>
      <c r="S126" s="756"/>
      <c r="T126" s="756"/>
      <c r="U126" s="756"/>
      <c r="V126" s="178"/>
      <c r="W126" s="822"/>
      <c r="X126" s="195">
        <f ca="1">Horarios!C126</f>
        <v>46210.416666666664</v>
      </c>
      <c r="Y126" s="196">
        <f ca="1">Horarios!C126</f>
        <v>46210.416666666664</v>
      </c>
      <c r="Z126" s="282">
        <f t="shared" si="331"/>
        <v>95</v>
      </c>
      <c r="AA126" s="283" t="str">
        <f t="shared" ca="1" si="332"/>
        <v>Argentina</v>
      </c>
      <c r="AB126" s="284"/>
      <c r="AC126" s="315">
        <v>3</v>
      </c>
      <c r="AD126" s="315">
        <v>1</v>
      </c>
      <c r="AE126" s="284"/>
      <c r="AF126" s="286" t="str">
        <f t="shared" ca="1" si="333"/>
        <v>Estados Unidos</v>
      </c>
      <c r="AG126" s="425">
        <f t="shared" ca="1" si="334"/>
        <v>1</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ca="1" si="242"/>
        <v>Argentina-Estados Unidos</v>
      </c>
      <c r="DU126" s="756"/>
      <c r="DV126" s="756"/>
      <c r="DW126" s="8"/>
    </row>
    <row r="127" spans="1:127" ht="16" customHeight="1" thickBot="1">
      <c r="A127" s="750" t="s">
        <v>744</v>
      </c>
      <c r="B127" s="750" t="s">
        <v>745</v>
      </c>
      <c r="C127" s="751"/>
      <c r="D127" s="759" t="str">
        <f t="shared" ca="1" si="329"/>
        <v>Portugal</v>
      </c>
      <c r="E127" s="756">
        <v>85</v>
      </c>
      <c r="F127" s="756">
        <v>87</v>
      </c>
      <c r="G127" s="756"/>
      <c r="H127" s="756"/>
      <c r="I127" s="756"/>
      <c r="J127" s="750">
        <v>96</v>
      </c>
      <c r="K127" s="750">
        <v>46210.875</v>
      </c>
      <c r="L127" s="750" t="s">
        <v>708</v>
      </c>
      <c r="M127" s="756" t="str">
        <f t="shared" ca="1" si="330"/>
        <v>Suiza</v>
      </c>
      <c r="N127" s="756" t="str">
        <f t="shared" ca="1" si="330"/>
        <v>Portugal</v>
      </c>
      <c r="O127" s="756"/>
      <c r="P127" s="756"/>
      <c r="Q127" s="756"/>
      <c r="R127" s="756"/>
      <c r="S127" s="756"/>
      <c r="T127" s="756"/>
      <c r="U127" s="756"/>
      <c r="V127" s="178"/>
      <c r="W127" s="823"/>
      <c r="X127" s="234">
        <f ca="1">Horarios!C127</f>
        <v>46210.583333333328</v>
      </c>
      <c r="Y127" s="235">
        <f ca="1">Horarios!C127</f>
        <v>46210.583333333328</v>
      </c>
      <c r="Z127" s="305">
        <f t="shared" si="331"/>
        <v>96</v>
      </c>
      <c r="AA127" s="306" t="str">
        <f t="shared" ca="1" si="332"/>
        <v>Suiza</v>
      </c>
      <c r="AB127" s="307"/>
      <c r="AC127" s="316">
        <v>1</v>
      </c>
      <c r="AD127" s="316">
        <v>4</v>
      </c>
      <c r="AE127" s="307"/>
      <c r="AF127" s="309" t="str">
        <f t="shared" ca="1" si="333"/>
        <v>Portugal</v>
      </c>
      <c r="AG127" s="425">
        <f t="shared" ca="1" si="334"/>
        <v>1</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ca="1" si="242"/>
        <v>Suiza-Portugal</v>
      </c>
      <c r="DU127" s="756"/>
      <c r="DV127" s="756"/>
      <c r="DW127" s="8"/>
    </row>
    <row r="128" spans="1:127" ht="16" customHeight="1" thickBot="1">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c r="A131" s="750" t="s">
        <v>746</v>
      </c>
      <c r="B131" s="750" t="s">
        <v>747</v>
      </c>
      <c r="C131" s="751"/>
      <c r="D131" s="759" t="str">
        <f ca="1">IF(AND(OR(AC131="",AD131="")),"W"&amp;AH131,IF(AC131&gt;AD131,AA131,IF(AC131&lt;AD131,AF131,IF(AND(AC131=AD131,AB131=AE131),"W"&amp;AH131,IF(AND(AC131=AD131,OR(AB131="",AE131="")),"W"&amp;AH131,IF(AND(AC131=AD131,AB131&gt;AE131),AA131,AF131))))))</f>
        <v>Francia</v>
      </c>
      <c r="E131" s="756">
        <v>89</v>
      </c>
      <c r="F131" s="756">
        <v>90</v>
      </c>
      <c r="G131" s="756"/>
      <c r="H131" s="756"/>
      <c r="I131" s="756"/>
      <c r="J131" s="750">
        <v>97</v>
      </c>
      <c r="K131" s="750">
        <v>46212.75</v>
      </c>
      <c r="L131" s="750" t="s">
        <v>709</v>
      </c>
      <c r="M131" s="756" t="str">
        <f t="shared" ref="M131:N134" ca="1" si="335">+INDEX($D$101:$D$147,MATCH(E131,$AH$101:$AH$147,0))</f>
        <v>Francia</v>
      </c>
      <c r="N131" s="756" t="str">
        <f t="shared" ca="1" si="335"/>
        <v>Japón</v>
      </c>
      <c r="O131" s="756"/>
      <c r="P131" s="756"/>
      <c r="Q131" s="756"/>
      <c r="R131" s="756"/>
      <c r="S131" s="756"/>
      <c r="T131" s="756"/>
      <c r="U131" s="756"/>
      <c r="V131" s="178"/>
      <c r="W131" s="824" t="s">
        <v>34</v>
      </c>
      <c r="X131" s="195">
        <f ca="1">Horarios!C131</f>
        <v>46212.583333333328</v>
      </c>
      <c r="Y131" s="196">
        <f ca="1">Horarios!C131</f>
        <v>46212.583333333328</v>
      </c>
      <c r="Z131" s="317">
        <f t="shared" ref="Z131:Z134" si="336">AH131</f>
        <v>97</v>
      </c>
      <c r="AA131" s="283" t="str">
        <f t="shared" ref="AA131:AA134" ca="1" si="337">+INDEX($M$101:$M$147,MATCH(AH131,$J$101:$J$147,0))</f>
        <v>Francia</v>
      </c>
      <c r="AB131" s="314"/>
      <c r="AC131" s="311">
        <v>1</v>
      </c>
      <c r="AD131" s="311">
        <v>0</v>
      </c>
      <c r="AE131" s="285"/>
      <c r="AF131" s="318" t="str">
        <f ca="1">+INDEX($N$101:$N$147,MATCH(AH131,$J$101:$J$147,0))</f>
        <v>Japón</v>
      </c>
      <c r="AG131" s="425">
        <f ca="1">IF(D131="W"&amp;AH131,0,1)</f>
        <v>1</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ca="1" si="242"/>
        <v>Francia-Japón</v>
      </c>
      <c r="DU131" s="756"/>
      <c r="DV131" s="756"/>
      <c r="DW131" s="8"/>
    </row>
    <row r="132" spans="1:127" ht="16" customHeight="1">
      <c r="A132" s="750" t="s">
        <v>748</v>
      </c>
      <c r="B132" s="750" t="s">
        <v>749</v>
      </c>
      <c r="C132" s="751"/>
      <c r="D132" s="759" t="str">
        <f ca="1">IF(AND(OR(AC132="",AD132="")),"W"&amp;AH132,IF(AC132&gt;AD132,AA132,IF(AC132&lt;AD132,AF132,IF(AND(AC132=AD132,AB132=AE132),"W"&amp;AH132,IF(AND(AC132=AD132,OR(AB132="",AE132="")),"W"&amp;AH132,IF(AND(AC132=AD132,AB132&gt;AE132),AA132,AF132))))))</f>
        <v>España</v>
      </c>
      <c r="E132" s="756">
        <v>93</v>
      </c>
      <c r="F132" s="756">
        <v>94</v>
      </c>
      <c r="G132" s="756"/>
      <c r="H132" s="756"/>
      <c r="I132" s="756"/>
      <c r="J132" s="750">
        <v>98</v>
      </c>
      <c r="K132" s="750">
        <v>46213.875</v>
      </c>
      <c r="L132" s="750" t="s">
        <v>710</v>
      </c>
      <c r="M132" s="756" t="str">
        <f t="shared" ca="1" si="335"/>
        <v>España</v>
      </c>
      <c r="N132" s="756" t="str">
        <f t="shared" ca="1" si="335"/>
        <v>Bélgica</v>
      </c>
      <c r="O132" s="756"/>
      <c r="P132" s="756"/>
      <c r="Q132" s="756"/>
      <c r="R132" s="756"/>
      <c r="S132" s="756"/>
      <c r="T132" s="756"/>
      <c r="U132" s="756"/>
      <c r="V132" s="178"/>
      <c r="W132" s="824"/>
      <c r="X132" s="195">
        <f ca="1">Horarios!C132</f>
        <v>46213.541666666664</v>
      </c>
      <c r="Y132" s="196">
        <f ca="1">Horarios!C132</f>
        <v>46213.541666666664</v>
      </c>
      <c r="Z132" s="317">
        <f t="shared" si="336"/>
        <v>98</v>
      </c>
      <c r="AA132" s="283" t="str">
        <f t="shared" ca="1" si="337"/>
        <v>España</v>
      </c>
      <c r="AB132" s="284"/>
      <c r="AC132" s="315">
        <v>2</v>
      </c>
      <c r="AD132" s="315">
        <v>1</v>
      </c>
      <c r="AE132" s="284"/>
      <c r="AF132" s="318" t="str">
        <f ca="1">+INDEX($N$101:$N$147,MATCH(AH132,$J$101:$J$147,0))</f>
        <v>Bélgica</v>
      </c>
      <c r="AG132" s="425">
        <f ca="1">IF(D132="W"&amp;AH132,0,1)</f>
        <v>1</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ca="1" si="242"/>
        <v>España-Bélgica</v>
      </c>
      <c r="DU132" s="756"/>
      <c r="DV132" s="756"/>
      <c r="DW132" s="8"/>
    </row>
    <row r="133" spans="1:127" ht="16" customHeight="1">
      <c r="A133" s="750" t="s">
        <v>750</v>
      </c>
      <c r="B133" s="750" t="s">
        <v>751</v>
      </c>
      <c r="C133" s="751"/>
      <c r="D133" s="759" t="str">
        <f ca="1">IF(AND(OR(AC133="",AD133="")),"W"&amp;AH133,IF(AC133&gt;AD133,AA133,IF(AC133&lt;AD133,AF133,IF(AND(AC133=AD133,AB133=AE133),"W"&amp;AH133,IF(AND(AC133=AD133,OR(AB133="",AE133="")),"W"&amp;AH133,IF(AND(AC133=AD133,AB133&gt;AE133),AA133,AF133))))))</f>
        <v>Inglaterra</v>
      </c>
      <c r="E133" s="756">
        <v>91</v>
      </c>
      <c r="F133" s="756">
        <v>92</v>
      </c>
      <c r="G133" s="756"/>
      <c r="H133" s="756"/>
      <c r="I133" s="756"/>
      <c r="J133" s="750">
        <v>99</v>
      </c>
      <c r="K133" s="750">
        <v>46214.75</v>
      </c>
      <c r="L133" s="750" t="s">
        <v>711</v>
      </c>
      <c r="M133" s="756" t="str">
        <f t="shared" ca="1" si="335"/>
        <v>Brasil</v>
      </c>
      <c r="N133" s="756" t="str">
        <f t="shared" ca="1" si="335"/>
        <v>Inglaterra</v>
      </c>
      <c r="O133" s="756"/>
      <c r="P133" s="756"/>
      <c r="Q133" s="756"/>
      <c r="R133" s="756"/>
      <c r="S133" s="756"/>
      <c r="T133" s="756"/>
      <c r="U133" s="756"/>
      <c r="V133" s="178"/>
      <c r="W133" s="824"/>
      <c r="X133" s="195">
        <f ca="1">Horarios!C133</f>
        <v>46214.625</v>
      </c>
      <c r="Y133" s="196">
        <f ca="1">Horarios!C133</f>
        <v>46214.625</v>
      </c>
      <c r="Z133" s="317">
        <f t="shared" si="336"/>
        <v>99</v>
      </c>
      <c r="AA133" s="283" t="str">
        <f t="shared" ca="1" si="337"/>
        <v>Brasil</v>
      </c>
      <c r="AB133" s="284">
        <v>4</v>
      </c>
      <c r="AC133" s="315">
        <v>1</v>
      </c>
      <c r="AD133" s="315">
        <v>1</v>
      </c>
      <c r="AE133" s="284">
        <v>5</v>
      </c>
      <c r="AF133" s="318" t="str">
        <f ca="1">+INDEX($N$101:$N$147,MATCH(AH133,$J$101:$J$147,0))</f>
        <v>Inglaterra</v>
      </c>
      <c r="AG133" s="425">
        <f ca="1">IF(D133="W"&amp;AH133,0,1)</f>
        <v>1</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ca="1" si="338">AA133&amp;"-"&amp;AF133</f>
        <v>Brasil-Inglaterra</v>
      </c>
      <c r="DU133" s="756"/>
      <c r="DV133" s="756"/>
      <c r="DW133" s="8"/>
    </row>
    <row r="134" spans="1:127" ht="16" customHeight="1" thickBot="1">
      <c r="A134" s="750" t="s">
        <v>752</v>
      </c>
      <c r="B134" s="750" t="s">
        <v>753</v>
      </c>
      <c r="C134" s="751"/>
      <c r="D134" s="759" t="str">
        <f ca="1">IF(AND(OR(AC134="",AD134="")),"W"&amp;AH134,IF(AC134&gt;AD134,AA134,IF(AC134&lt;AD134,AF134,IF(AND(AC134=AD134,AB134=AE134),"W"&amp;AH134,IF(AND(AC134=AD134,OR(AB134="",AE134="")),"W"&amp;AH134,IF(AND(AC134=AD134,AB134&gt;AE134),AA134,AF134))))))</f>
        <v>Portugal</v>
      </c>
      <c r="E134" s="756">
        <v>95</v>
      </c>
      <c r="F134" s="756">
        <v>96</v>
      </c>
      <c r="G134" s="756"/>
      <c r="H134" s="756"/>
      <c r="I134" s="756"/>
      <c r="J134" s="750">
        <v>100</v>
      </c>
      <c r="K134" s="750">
        <v>46214.875</v>
      </c>
      <c r="L134" s="750" t="s">
        <v>712</v>
      </c>
      <c r="M134" s="756" t="str">
        <f t="shared" ca="1" si="335"/>
        <v>Argentina</v>
      </c>
      <c r="N134" s="756" t="str">
        <f t="shared" ca="1" si="335"/>
        <v>Portugal</v>
      </c>
      <c r="O134" s="756"/>
      <c r="P134" s="756"/>
      <c r="Q134" s="756"/>
      <c r="R134" s="756"/>
      <c r="S134" s="756"/>
      <c r="T134" s="756"/>
      <c r="U134" s="756"/>
      <c r="V134" s="178"/>
      <c r="W134" s="825"/>
      <c r="X134" s="234">
        <f ca="1">Horarios!C134</f>
        <v>46214.791666666664</v>
      </c>
      <c r="Y134" s="235">
        <f ca="1">Horarios!C134</f>
        <v>46214.791666666664</v>
      </c>
      <c r="Z134" s="320">
        <f t="shared" si="336"/>
        <v>100</v>
      </c>
      <c r="AA134" s="306" t="str">
        <f t="shared" ca="1" si="337"/>
        <v>Argentina</v>
      </c>
      <c r="AB134" s="307">
        <v>4</v>
      </c>
      <c r="AC134" s="316">
        <v>1</v>
      </c>
      <c r="AD134" s="315">
        <v>1</v>
      </c>
      <c r="AE134" s="307">
        <v>5</v>
      </c>
      <c r="AF134" s="321" t="str">
        <f ca="1">+INDEX($N$101:$N$147,MATCH(AH134,$J$101:$J$147,0))</f>
        <v>Portugal</v>
      </c>
      <c r="AG134" s="425">
        <f ca="1">IF(D134="W"&amp;AH134,0,1)</f>
        <v>1</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ca="1" si="338"/>
        <v>Argentina-Portugal</v>
      </c>
      <c r="DU134" s="756"/>
      <c r="DV134" s="756"/>
      <c r="DW134" s="8"/>
    </row>
    <row r="135" spans="1:127" ht="16" customHeight="1" thickBot="1">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c r="A138" s="750" t="s">
        <v>754</v>
      </c>
      <c r="B138" s="750" t="s">
        <v>755</v>
      </c>
      <c r="C138" s="751"/>
      <c r="D138" s="759" t="str">
        <f ca="1">IF(AND(OR(AC138="",AD138="")),"W"&amp;AH138,IF(AC138&gt;AD138,AA138,IF(AC138&lt;AD138,AF138,IF(AND(AC138=AD138,AB138=AE138),"W"&amp;AH138,IF(AND(AC138=AD138,OR(AB138="",AE138="")),"W"&amp;AH138,IF(AND(AC138=AD138,AB138&gt;AE138),AA138,AF138))))))</f>
        <v>España</v>
      </c>
      <c r="E138" s="756">
        <v>97</v>
      </c>
      <c r="F138" s="756">
        <v>98</v>
      </c>
      <c r="G138" s="756"/>
      <c r="H138" s="756" t="str">
        <f ca="1">IF(AND(OR(AC138="",AD138="")),"L101",IF(AC138&gt;AD138,AF138,IF(AC138&lt;AD138,AA138,IF(AND(AC138=AD138,AB138=AE138),"L101",IF(AND(AC138=AD138,OR(AB138="",AE138="")),"L101",IF(AND(AC138=AD138,AB138&gt;AE138),AF138,AA138))))))</f>
        <v>Francia</v>
      </c>
      <c r="I138" s="756"/>
      <c r="J138" s="750">
        <v>101</v>
      </c>
      <c r="K138" s="750">
        <v>46217.875</v>
      </c>
      <c r="L138" s="750" t="s">
        <v>713</v>
      </c>
      <c r="M138" s="750" t="str">
        <f ca="1">+INDEX($D$101:$D$147,MATCH(E138,$AH$101:$AH$147,0))</f>
        <v>Francia</v>
      </c>
      <c r="N138" s="750" t="str">
        <f ca="1">+INDEX($D$101:$D$147,MATCH(F138,$AH$101:$AH$147,0))</f>
        <v>España</v>
      </c>
      <c r="O138" s="750"/>
      <c r="P138" s="750"/>
      <c r="Q138" s="750"/>
      <c r="R138" s="750"/>
      <c r="S138" s="750"/>
      <c r="T138" s="750"/>
      <c r="U138" s="750"/>
      <c r="V138" s="178"/>
      <c r="W138" s="826" t="s">
        <v>35</v>
      </c>
      <c r="X138" s="195">
        <f ca="1">Horarios!C138</f>
        <v>46217.541666666664</v>
      </c>
      <c r="Y138" s="196">
        <f ca="1">Horarios!C138</f>
        <v>46217.541666666664</v>
      </c>
      <c r="Z138" s="317">
        <f t="shared" ref="Z138:Z139" si="339">AH138</f>
        <v>101</v>
      </c>
      <c r="AA138" s="283" t="str">
        <f t="shared" ref="AA138:AA139" ca="1" si="340">+INDEX($M$101:$M$147,MATCH(AH138,$J$101:$J$147,0))</f>
        <v>Francia</v>
      </c>
      <c r="AB138" s="284"/>
      <c r="AC138" s="329">
        <v>1</v>
      </c>
      <c r="AD138" s="329">
        <v>2</v>
      </c>
      <c r="AE138" s="284"/>
      <c r="AF138" s="318" t="str">
        <f ca="1">+INDEX($N$101:$N$147,MATCH(AH138,$J$101:$J$147,0))</f>
        <v>España</v>
      </c>
      <c r="AG138" s="425">
        <f ca="1">IF(D138="W"&amp;AH138,0,1)</f>
        <v>1</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ca="1" si="338"/>
        <v>Francia-España</v>
      </c>
      <c r="DU138" s="756"/>
      <c r="DV138" s="756"/>
      <c r="DW138" s="8"/>
    </row>
    <row r="139" spans="1:127" ht="16" customHeight="1" thickBot="1">
      <c r="A139" s="750" t="s">
        <v>756</v>
      </c>
      <c r="B139" s="750" t="s">
        <v>757</v>
      </c>
      <c r="C139" s="751"/>
      <c r="D139" s="759" t="str">
        <f ca="1">IF(AND(OR(AC139="",AD139="")),"W"&amp;AH139,IF(AC139&gt;AD139,AA139,IF(AC139&lt;AD139,AF139,IF(AND(AC139=AD139,AB139=AE139),"W"&amp;AH139,IF(AND(AC139=AD139,OR(AB139="",AE139="")),"W"&amp;AH139,IF(AND(AC139=AD139,AB139&gt;AE139),AA139,AF139))))))</f>
        <v>Portugal</v>
      </c>
      <c r="E139" s="756">
        <v>99</v>
      </c>
      <c r="F139" s="756">
        <v>100</v>
      </c>
      <c r="G139" s="756"/>
      <c r="H139" s="756" t="str">
        <f ca="1">IF(AND(OR(AC139="",AD139="")),"L102",IF(AC139&gt;AD139,AF139,IF(AC139&lt;AD139,AA139,IF(AND(AC139=AD139,AB139=AE139),"W102",IF(AND(AC139=AD139,OR(AB139="",AE139="")),"L102",IF(AND(AC139=AD139,AB139&gt;AE139),AF139,AA139))))))</f>
        <v>Inglaterra</v>
      </c>
      <c r="I139" s="756"/>
      <c r="J139" s="750">
        <v>102</v>
      </c>
      <c r="K139" s="750">
        <v>46218.875</v>
      </c>
      <c r="L139" s="750" t="s">
        <v>714</v>
      </c>
      <c r="M139" s="750" t="str">
        <f ca="1">+INDEX($D$101:$D$147,MATCH(E139,$AH$101:$AH$147,0))</f>
        <v>Inglaterra</v>
      </c>
      <c r="N139" s="750" t="str">
        <f ca="1">+INDEX($D$101:$D$147,MATCH(F139,$AH$101:$AH$147,0))</f>
        <v>Portugal</v>
      </c>
      <c r="O139" s="750"/>
      <c r="P139" s="750"/>
      <c r="Q139" s="750"/>
      <c r="R139" s="750"/>
      <c r="S139" s="750"/>
      <c r="T139" s="750"/>
      <c r="U139" s="750"/>
      <c r="V139" s="178"/>
      <c r="W139" s="827"/>
      <c r="X139" s="330">
        <f ca="1">Horarios!C139</f>
        <v>46218.541666666664</v>
      </c>
      <c r="Y139" s="331">
        <f ca="1">Horarios!C139</f>
        <v>46218.541666666664</v>
      </c>
      <c r="Z139" s="332">
        <f t="shared" si="339"/>
        <v>102</v>
      </c>
      <c r="AA139" s="333" t="str">
        <f t="shared" ca="1" si="340"/>
        <v>Inglaterra</v>
      </c>
      <c r="AB139" s="334"/>
      <c r="AC139" s="316">
        <v>2</v>
      </c>
      <c r="AD139" s="316">
        <v>3</v>
      </c>
      <c r="AE139" s="334"/>
      <c r="AF139" s="335" t="str">
        <f ca="1">+INDEX($N$101:$N$147,MATCH(AH139,$J$101:$J$147,0))</f>
        <v>Portugal</v>
      </c>
      <c r="AG139" s="425">
        <f ca="1">IF(D139="W"&amp;AH139,0,1)</f>
        <v>1</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ca="1" si="338"/>
        <v>Inglaterra-Portugal</v>
      </c>
      <c r="DU139" s="756"/>
      <c r="DV139" s="756"/>
      <c r="DW139" s="8"/>
    </row>
    <row r="140" spans="1:127" ht="16" customHeight="1" thickBot="1">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c r="A143" s="750" t="s">
        <v>758</v>
      </c>
      <c r="B143" s="750" t="s">
        <v>759</v>
      </c>
      <c r="C143" s="751"/>
      <c r="D143" s="759" t="str">
        <f ca="1">IF(AND(OR(AC143="",AD143="")),"W"&amp;AH143,IF(AC143&gt;AD143,AA143,IF(AC143&lt;AD143,AF143,IF(AND(AC143=AD143,AB143=AE143),"W"&amp;AH143,IF(AND(AC143=AD143,OR(AB143="",AE143="")),"W"&amp;AH143,IF(AND(AC143=AD143,AB143&gt;AE143),AA143,AF143))))))</f>
        <v>Francia</v>
      </c>
      <c r="E143" s="756">
        <v>101</v>
      </c>
      <c r="F143" s="756">
        <v>102</v>
      </c>
      <c r="G143" s="756"/>
      <c r="H143" s="756"/>
      <c r="I143" s="756"/>
      <c r="J143" s="750">
        <v>103</v>
      </c>
      <c r="K143" s="750">
        <v>46221.875</v>
      </c>
      <c r="L143" s="750" t="s">
        <v>715</v>
      </c>
      <c r="M143" s="750" t="str">
        <f ca="1">+INDEX($D$101:$D$147,MATCH(E143,$AH$101:$AH$147,0))</f>
        <v>España</v>
      </c>
      <c r="N143" s="750" t="str">
        <f ca="1">+INDEX($D$101:$D$147,MATCH(F143,$AH$101:$AH$147,0))</f>
        <v>Portugal</v>
      </c>
      <c r="O143" s="750"/>
      <c r="P143" s="750"/>
      <c r="Q143" s="750"/>
      <c r="R143" s="750"/>
      <c r="S143" s="750"/>
      <c r="T143" s="750"/>
      <c r="U143" s="750"/>
      <c r="V143" s="178"/>
      <c r="W143" s="337" t="s">
        <v>493</v>
      </c>
      <c r="X143" s="330">
        <f ca="1">Horarios!C143</f>
        <v>46221.625</v>
      </c>
      <c r="Y143" s="331">
        <f ca="1">Horarios!C143</f>
        <v>46221.625</v>
      </c>
      <c r="Z143" s="338">
        <f>AH143</f>
        <v>103</v>
      </c>
      <c r="AA143" s="339" t="str">
        <f ca="1">IF(AND(OR(AC138="",AD138="")),"L101",IF(AC138&gt;AD138,AF138,IF(AC138&lt;AD138,AA138,IF(AND(AC138=AD138,AB138=AE138),"L101",IF(AND(AC138=AD138,OR(AB138="",AE138="")),"L101",IF(AND(AC138=AD138,AB138&gt;AE138),AF138,AA138))))))</f>
        <v>Francia</v>
      </c>
      <c r="AB143" s="340"/>
      <c r="AC143" s="341">
        <v>2</v>
      </c>
      <c r="AD143" s="341">
        <v>0</v>
      </c>
      <c r="AE143" s="340"/>
      <c r="AF143" s="342" t="str">
        <f ca="1">IF(AND(OR(AC139="",AD139="")),"L102",IF(AC139&gt;AD139,AF139,IF(AC139&lt;AD139,AA139,IF(AND(AC139=AD139,AB139=AE139),"L102",IF(AND(AC139=AD139,OR(AB139="",AE139="")),"L102",IF(AND(AC139=AD139,AB139&gt;AE139),AF139,AA139))))))</f>
        <v>Inglaterra</v>
      </c>
      <c r="AG143" s="425">
        <f ca="1">IF(D143="W"&amp;AH143,0,1)</f>
        <v>1</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ca="1" si="338"/>
        <v>Francia-Inglaterra</v>
      </c>
      <c r="DU143" s="756"/>
      <c r="DV143" s="756"/>
      <c r="DW143" s="8"/>
    </row>
    <row r="144" spans="1:127" ht="16" customHeight="1" thickBot="1">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c r="A147" s="750" t="s">
        <v>760</v>
      </c>
      <c r="B147" s="750" t="s">
        <v>761</v>
      </c>
      <c r="C147" s="751"/>
      <c r="D147" s="759" t="str">
        <f ca="1">IF(AND(OR(AC147="",AD147="")),"W"&amp;AH147,IF(AC147&gt;AD147,AA147,IF(AC147&lt;AD147,AF147,IF(AND(AC147=AD147,AB147=AE147),"W"&amp;AH147,IF(AND(AC147=AD147,OR(AB147="",AE147="")),"W"&amp;AH147,IF(AND(AC147=AD147,AB147&gt;AE147),AA147,AF147))))))</f>
        <v>España</v>
      </c>
      <c r="E147" s="756">
        <v>101</v>
      </c>
      <c r="F147" s="756">
        <v>102</v>
      </c>
      <c r="G147" s="756"/>
      <c r="H147" s="756" t="str">
        <f ca="1">IF(AND(OR(AC147="",AD147="")),"LF",IF(AC147&gt;AD147,AF147,IF(AC147&lt;AD147,AA147,IF(AND(AC147=AD147,AB147=AE147),"LF",IF(AND(AC147=AD147,OR(AB147="",AE147="")),"LF",IF(AND(AC147=AD147,AB147&gt;AE147),AF147,AA147))))))</f>
        <v>Portugal</v>
      </c>
      <c r="I147" s="756"/>
      <c r="J147" s="750">
        <v>104</v>
      </c>
      <c r="K147" s="750">
        <v>46222.875</v>
      </c>
      <c r="L147" s="750" t="s">
        <v>716</v>
      </c>
      <c r="M147" s="750" t="str">
        <f ca="1">+INDEX($D$101:$D$147,MATCH(E147,$AH$101:$AH$147,0))</f>
        <v>España</v>
      </c>
      <c r="N147" s="750" t="str">
        <f ca="1">+INDEX($D$101:$D$147,MATCH(F147,$AH$101:$AH$147,0))</f>
        <v>Portugal</v>
      </c>
      <c r="O147" s="750"/>
      <c r="P147" s="750"/>
      <c r="Q147" s="750"/>
      <c r="R147" s="750"/>
      <c r="S147" s="750"/>
      <c r="T147" s="750"/>
      <c r="U147" s="750"/>
      <c r="V147" s="178"/>
      <c r="W147" s="344" t="s">
        <v>4</v>
      </c>
      <c r="X147" s="330">
        <f ca="1">Horarios!C147</f>
        <v>46222.541666666664</v>
      </c>
      <c r="Y147" s="331">
        <f ca="1">Horarios!C147</f>
        <v>46222.541666666664</v>
      </c>
      <c r="Z147" s="338">
        <f>AH147</f>
        <v>104</v>
      </c>
      <c r="AA147" s="339" t="str">
        <f ca="1">IF(AND(OR(AC138="",AD138="")),"W"&amp;AH138,IF(AC138&gt;AD138,AA138,IF(AC138&lt;AD138,AF138,IF(AND(AC138=AD138,AB138=AE138),"W"&amp;AH138,IF(AND(AC138=AD138,OR(AB138="",AE138="")),"W"&amp;AH138,IF(AND(AC138=AD138,AB138&gt;AE138),AA138,AF138))))))</f>
        <v>España</v>
      </c>
      <c r="AB147" s="340"/>
      <c r="AC147" s="341">
        <v>2</v>
      </c>
      <c r="AD147" s="341">
        <v>1</v>
      </c>
      <c r="AE147" s="340"/>
      <c r="AF147" s="342" t="str">
        <f ca="1">IF(AND(OR(AC139="",AD139="")),"W"&amp;AH139,IF(AC139&gt;AD139,AA139,IF(AC139&lt;AD139,AF139,IF(AND(AC139=AD139,AB139=AE139),"W"&amp;AH139,IF(AND(AC139=AD139,OR(AB139="",AE139="")),"W"&amp;AH139,IF(AND(AC139=AD139,AB139&gt;AE139),AA139,AF139))))))</f>
        <v>Portugal</v>
      </c>
      <c r="AG147" s="425">
        <f ca="1">IF(D147="W"&amp;AH147,0,1)</f>
        <v>1</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ca="1" si="338"/>
        <v>España-Portugal</v>
      </c>
      <c r="DU147" s="756"/>
      <c r="DV147" s="756"/>
      <c r="DW147" s="8"/>
    </row>
    <row r="148" spans="1:127" ht="16" customHeight="1" thickBot="1">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 ca="1">IF(AND(OR(AC147="",AD147="")),"WF",IF(AC147&gt;AD147,AA147,IF(AC147&lt;AD147,AF147,IF(AND(AC147=AD147,AB147=AE147),"WF",IF(AND(AC147=AD147,OR(AB147="",AE147="")),"WF",IF(AND(AC147=AD147,AB147&gt;AE147),AA147,AF147))))))</f>
        <v>España</v>
      </c>
      <c r="AB150" s="356"/>
      <c r="AC150" s="356"/>
      <c r="AD150" s="356"/>
      <c r="AE150" s="356"/>
      <c r="AF150" s="357"/>
      <c r="AG150" s="425">
        <f ca="1">IF(AA150="WF",0,1)</f>
        <v>1</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 ca="1">IF(AND(OR(AC147="",AD147="")),"LF",IF(AC147&gt;AD147,AF147,IF(AC147&lt;AD147,AA147,IF(AND(AC147=AD147,AB147=AE147),"LF",IF(AND(AC147=AD147,OR(AB147="",AE147="")),"LF",IF(AND(AC147=AD147,AB147&gt;AE147),AF147,AA147))))))</f>
        <v>Portugal</v>
      </c>
      <c r="AB151" s="359"/>
      <c r="AC151" s="359"/>
      <c r="AD151" s="359"/>
      <c r="AE151" s="359"/>
      <c r="AF151" s="360"/>
      <c r="AG151" s="425">
        <f ca="1">IF(AA151="LF",0,1)</f>
        <v>1</v>
      </c>
      <c r="AH151" s="351"/>
      <c r="AI151" s="351"/>
      <c r="AJ151" s="835" t="str">
        <f ca="1">IF(SUM(COUNTIF(AG4:AG97,0),COUNTIF(AG101:AG160,0)&gt;0),AL148,AL149)</f>
        <v>MUNDIAL EN CURSO</v>
      </c>
      <c r="AK151" s="836"/>
      <c r="AL151" s="836"/>
      <c r="AM151" s="836"/>
      <c r="AN151" s="836"/>
      <c r="AO151" s="836"/>
      <c r="AP151" s="836"/>
      <c r="AQ151" s="836"/>
      <c r="AR151" s="836"/>
      <c r="AS151" s="836"/>
      <c r="AT151" s="836"/>
      <c r="AU151" s="837"/>
      <c r="AV151" s="361"/>
      <c r="AW151" s="249"/>
      <c r="AX151" s="248"/>
      <c r="AY151" s="250"/>
      <c r="AZ151" s="251"/>
      <c r="BA151" s="181"/>
      <c r="DW151" s="8"/>
    </row>
    <row r="152" spans="1:127" ht="16" customHeight="1" thickBot="1">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 ca="1">IF(AND(OR(AC143="",AD143="")),"W34",IF(AC143&gt;AD143,AA143,IF(AC143&lt;AD143,AF143,IF(AND(AC143=AD143,AB143=AE143),"W34",IF(AND(AC143=AD143,OR(AB143="",AE143="")),"W34",IF(AND(AC143=AD143,AB143&gt;AE143),AA143,AF143))))))</f>
        <v>Francia</v>
      </c>
      <c r="AB152" s="366"/>
      <c r="AC152" s="366"/>
      <c r="AD152" s="366"/>
      <c r="AE152" s="366"/>
      <c r="AF152" s="367"/>
      <c r="AG152" s="425">
        <f ca="1">IF(AA152="W34",0,1)</f>
        <v>1</v>
      </c>
      <c r="AH152" s="351"/>
      <c r="AI152" s="351"/>
      <c r="AJ152" s="838"/>
      <c r="AK152" s="839"/>
      <c r="AL152" s="839"/>
      <c r="AM152" s="839"/>
      <c r="AN152" s="839"/>
      <c r="AO152" s="839"/>
      <c r="AP152" s="839"/>
      <c r="AQ152" s="839"/>
      <c r="AR152" s="839"/>
      <c r="AS152" s="839"/>
      <c r="AT152" s="839"/>
      <c r="AU152" s="840"/>
      <c r="AV152" s="361"/>
      <c r="AW152" s="249"/>
      <c r="AX152" s="248"/>
      <c r="AY152" s="250"/>
      <c r="AZ152" s="251"/>
      <c r="BA152" s="181"/>
      <c r="DW152" s="8"/>
    </row>
    <row r="153" spans="1:127" ht="16" customHeight="1" thickBot="1">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38"/>
      <c r="AK153" s="839"/>
      <c r="AL153" s="839"/>
      <c r="AM153" s="839"/>
      <c r="AN153" s="839"/>
      <c r="AO153" s="839"/>
      <c r="AP153" s="839"/>
      <c r="AQ153" s="839"/>
      <c r="AR153" s="839"/>
      <c r="AS153" s="839"/>
      <c r="AT153" s="839"/>
      <c r="AU153" s="840"/>
      <c r="AV153" s="361"/>
      <c r="AW153" s="249"/>
      <c r="AX153" s="248"/>
      <c r="AY153" s="250"/>
      <c r="AZ153" s="251"/>
      <c r="BA153" s="181"/>
      <c r="DW153" s="8"/>
    </row>
    <row r="154" spans="1:127" ht="16" customHeight="1">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t="s">
        <v>1940</v>
      </c>
      <c r="AE154" s="372"/>
      <c r="AF154" s="373"/>
      <c r="AG154" s="425">
        <f>IF(AA154=AH154,0,IF(AA154="",0,1))</f>
        <v>0</v>
      </c>
      <c r="AH154" s="374" t="str">
        <f>+Idiomas!D41</f>
        <v>Escribe el jugador Bota de Oro</v>
      </c>
      <c r="AI154" s="351"/>
      <c r="AJ154" s="838"/>
      <c r="AK154" s="839"/>
      <c r="AL154" s="839"/>
      <c r="AM154" s="839"/>
      <c r="AN154" s="839"/>
      <c r="AO154" s="839"/>
      <c r="AP154" s="839"/>
      <c r="AQ154" s="839"/>
      <c r="AR154" s="839"/>
      <c r="AS154" s="839"/>
      <c r="AT154" s="839"/>
      <c r="AU154" s="840"/>
      <c r="AV154" s="361"/>
      <c r="AW154" s="249"/>
      <c r="AX154" s="248"/>
      <c r="AY154" s="250"/>
      <c r="AZ154" s="251"/>
      <c r="BA154" s="181"/>
      <c r="DW154" s="8"/>
    </row>
    <row r="155" spans="1:127" ht="16" customHeight="1">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t="s">
        <v>1941</v>
      </c>
      <c r="AE155" s="377"/>
      <c r="AF155" s="378"/>
      <c r="AG155" s="425">
        <f t="shared" ref="AG155:AG156" si="341">IF(AA155=AH155,0,IF(AA155="",0,1))</f>
        <v>0</v>
      </c>
      <c r="AH155" s="351" t="str">
        <f>+Idiomas!D42</f>
        <v>Escribe el jugador Bota de Plata</v>
      </c>
      <c r="AI155" s="351"/>
      <c r="AJ155" s="802" t="str">
        <f ca="1">IF(SUM(COUNTIF(AG4:AG97,0),COUNTIF(AG101:AG160,0)&gt;0),AM148,AM149)</f>
        <v>Todavía hay emoción</v>
      </c>
      <c r="AK155" s="803"/>
      <c r="AL155" s="803"/>
      <c r="AM155" s="803"/>
      <c r="AN155" s="803"/>
      <c r="AO155" s="803"/>
      <c r="AP155" s="803"/>
      <c r="AQ155" s="803"/>
      <c r="AR155" s="803"/>
      <c r="AS155" s="803"/>
      <c r="AT155" s="803"/>
      <c r="AU155" s="804"/>
      <c r="AV155" s="361"/>
      <c r="AW155" s="249"/>
      <c r="AX155" s="248"/>
      <c r="AY155" s="250"/>
      <c r="AZ155" s="251"/>
      <c r="BA155" s="379"/>
      <c r="DW155" s="8"/>
    </row>
    <row r="156" spans="1:127" ht="16" customHeight="1" thickBot="1">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t="s">
        <v>1942</v>
      </c>
      <c r="AE156" s="382"/>
      <c r="AF156" s="383"/>
      <c r="AG156" s="425">
        <f t="shared" si="341"/>
        <v>0</v>
      </c>
      <c r="AH156" s="351" t="str">
        <f>+Idiomas!D43</f>
        <v>Escribe el jugador Bota de Bronce</v>
      </c>
      <c r="AI156" s="351"/>
      <c r="AJ156" s="802"/>
      <c r="AK156" s="803"/>
      <c r="AL156" s="803"/>
      <c r="AM156" s="803"/>
      <c r="AN156" s="803"/>
      <c r="AO156" s="803"/>
      <c r="AP156" s="803"/>
      <c r="AQ156" s="803"/>
      <c r="AR156" s="803"/>
      <c r="AS156" s="803"/>
      <c r="AT156" s="803"/>
      <c r="AU156" s="804"/>
      <c r="AV156" s="361"/>
      <c r="AW156" s="249"/>
      <c r="AX156" s="248"/>
      <c r="AY156" s="250"/>
      <c r="AZ156" s="251"/>
      <c r="BA156" s="379"/>
      <c r="DW156" s="8"/>
    </row>
    <row r="157" spans="1:127" ht="16" customHeight="1" thickBot="1">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5"/>
      <c r="AK157" s="806"/>
      <c r="AL157" s="806"/>
      <c r="AM157" s="806"/>
      <c r="AN157" s="806"/>
      <c r="AO157" s="806"/>
      <c r="AP157" s="806"/>
      <c r="AQ157" s="806"/>
      <c r="AR157" s="806"/>
      <c r="AS157" s="806"/>
      <c r="AT157" s="806"/>
      <c r="AU157" s="807"/>
      <c r="AV157" s="361"/>
      <c r="AW157" s="249"/>
      <c r="AX157" s="248"/>
      <c r="AY157" s="250"/>
      <c r="AZ157" s="251"/>
      <c r="BA157" s="379"/>
      <c r="DW157" s="8"/>
    </row>
    <row r="158" spans="1:127" ht="16" customHeight="1">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t="s">
        <v>1943</v>
      </c>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t="s">
        <v>1944</v>
      </c>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t="s">
        <v>1945</v>
      </c>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149999999999999" customHeight="1" thickBot="1">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0" t="str">
        <f>+Idiomas!D12</f>
        <v>Donar</v>
      </c>
      <c r="AP161" s="801"/>
      <c r="AQ161" s="179"/>
      <c r="AR161" s="179"/>
      <c r="AS161" s="179"/>
      <c r="AT161" s="179"/>
      <c r="AU161" s="351"/>
      <c r="AV161" s="361"/>
      <c r="AW161" s="249"/>
      <c r="AX161" s="248"/>
      <c r="AY161" s="250"/>
      <c r="AZ161" s="251"/>
      <c r="BA161" s="379"/>
      <c r="DW161" s="8"/>
    </row>
    <row r="162" spans="1:127" ht="16" customHeight="1" thickBot="1">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43"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8:AD139 AC143:AD143 AC147:AD147 AC131:AD134">
    <cfRule type="expression" dxfId="42" priority="6" stopIfTrue="1">
      <formula>AC4=""</formula>
    </cfRule>
  </conditionalFormatting>
  <conditionalFormatting sqref="AJ8:AT8 AJ16:AT16 AJ24:AT24 AJ32:AT32 AJ40:AT40 AJ48:AT48 AJ56:AT56 AJ64:AT64 AJ72:AT72 AJ80:AT80 AJ88:AT88 AJ96:AT96 AJ110:AT113">
    <cfRule type="expression" dxfId="41" priority="3">
      <formula>AND(OR(SUM($AN$102:$AN$113)=36,$AJ$99=144),COUNTIF($AL$110:$AL$113,$AL8))</formula>
    </cfRule>
  </conditionalFormatting>
  <conditionalFormatting sqref="AJ9:AT9 AJ17:AT17 AJ25:AT25 AJ33:AT33 AJ41:AT41 AJ49:AT49 AJ57:AT57 AJ65:AT65 AJ73:AT73 AJ81:AT81 AJ89:AT89 AJ97:AT97">
    <cfRule type="expression" dxfId="40" priority="10" stopIfTrue="1">
      <formula>OR(SUM($AN6:$AN9)=12,$AJ$99=144)</formula>
    </cfRule>
  </conditionalFormatting>
  <conditionalFormatting sqref="AJ151:AU157">
    <cfRule type="expression" dxfId="39" priority="9">
      <formula>IF($AJ$151=$AL$149,1,0)</formula>
    </cfRule>
  </conditionalFormatting>
  <conditionalFormatting sqref="AL115">
    <cfRule type="expression" dxfId="38" priority="2">
      <formula>IF($AJ$99=144,1,0)</formula>
    </cfRule>
  </conditionalFormatting>
  <conditionalFormatting sqref="AL116">
    <cfRule type="expression" dxfId="37" priority="1">
      <formula>IF($AJ$99=144,1,0)</formula>
    </cfRule>
  </conditionalFormatting>
  <conditionalFormatting sqref="AM102:AM113 AR102:AT113">
    <cfRule type="expression" dxfId="36" priority="12" stopIfTrue="1">
      <formula>$BB$57=3</formula>
    </cfRule>
  </conditionalFormatting>
  <conditionalFormatting sqref="AV6:AV9 AV14:AV17 AV22:AV25 AV30:AV33 AV38:AV41 AV46:AV49 AV54:AV57 AV62:AV65 AV70:AV73 AV78:AV81 AV86:AV89 AV94:AV97">
    <cfRule type="expression" dxfId="35" priority="13" stopIfTrue="1">
      <formula>INDEX($DL$6:$DL$53,MATCH($AL6,$DQ$6:$DQ$53,0))&gt;1</formula>
    </cfRule>
  </conditionalFormatting>
  <conditionalFormatting sqref="AV102:AV113">
    <cfRule type="expression" dxfId="34" priority="14" stopIfTrue="1">
      <formula>AND(INDEX($DL$58:$DL$69,MATCH($AL102,$DQ$58:$DQ$69,0))&gt;1,$H$113=144)</formula>
    </cfRule>
  </conditionalFormatting>
  <conditionalFormatting sqref="AW6:AW9 AW14:AW17 AW22:AW25 AW30:AW33 AW38:AW41 AW46:AW49 AW54:AW57 AW62:AW65 AW70:AW73 AW78:AW81 AW86:AW89 AW94:AW97">
    <cfRule type="expression" dxfId="33" priority="15" stopIfTrue="1">
      <formula>INDEX($DL$6:$DL$53,MATCH($AL6,$DQ$6:$DQ$53,0))&gt;1</formula>
    </cfRule>
  </conditionalFormatting>
  <conditionalFormatting sqref="AW102:AW113">
    <cfRule type="expression" dxfId="32" priority="16">
      <formula>AND(INDEX($DL$58:$DL$69,MATCH($AL102,$DQ$58:$DQ$69,0))&gt;1,$H$113=144)</formula>
    </cfRule>
  </conditionalFormatting>
  <conditionalFormatting sqref="AY5:AZ97">
    <cfRule type="expression" dxfId="31" priority="4">
      <formula>IF($AZ$3="No",1,0)</formula>
    </cfRule>
  </conditionalFormatting>
  <conditionalFormatting sqref="AY101:AZ101">
    <cfRule type="expression" dxfId="30"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4.5"/>
  <cols>
    <col min="1" max="1" width="5" style="1" hidden="1" customWidth="1"/>
    <col min="2" max="2" width="3.453125" style="1" customWidth="1"/>
    <col min="3" max="3" width="47.81640625" style="1" bestFit="1" customWidth="1"/>
    <col min="4" max="4" width="11.26953125" style="1" customWidth="1"/>
    <col min="5" max="5" width="4.453125" style="7" customWidth="1"/>
    <col min="6" max="6" width="10.81640625" style="730" hidden="1" customWidth="1"/>
    <col min="7" max="7" width="7.81640625" style="5" hidden="1" customWidth="1"/>
    <col min="8" max="8" width="14.1796875" style="5" hidden="1" customWidth="1"/>
    <col min="9" max="9" width="6.453125" style="67" customWidth="1"/>
    <col min="10" max="10" width="8.26953125" style="110" customWidth="1"/>
    <col min="11" max="11" width="30.7265625" style="92" bestFit="1" customWidth="1"/>
    <col min="12" max="12" width="2.81640625" style="67" customWidth="1"/>
    <col min="13" max="13" width="30" style="92" customWidth="1"/>
    <col min="14" max="14" width="3.7265625" style="452" hidden="1" customWidth="1"/>
    <col min="15" max="15" width="3.1796875" style="452" hidden="1" customWidth="1"/>
    <col min="16" max="16" width="2.81640625" style="452" hidden="1" customWidth="1"/>
    <col min="17" max="17" width="3.1796875" style="452" hidden="1" customWidth="1"/>
    <col min="18" max="18" width="2.81640625" style="5" customWidth="1"/>
    <col min="19" max="19" width="29.7265625" style="92" bestFit="1" customWidth="1"/>
    <col min="20" max="20" width="5.1796875" style="92" customWidth="1"/>
    <col min="21" max="21" width="2.81640625" style="20" customWidth="1"/>
    <col min="22" max="22" width="29.7265625" style="92" bestFit="1" customWidth="1"/>
    <col min="23" max="23" width="5.1796875" style="92" customWidth="1"/>
    <col min="24" max="24" width="2.81640625" style="20" customWidth="1"/>
    <col min="25" max="25" width="29.7265625" style="92" bestFit="1" customWidth="1"/>
    <col min="26" max="26" width="5.1796875" style="92" customWidth="1"/>
    <col min="27" max="27" width="2.81640625" style="20" customWidth="1"/>
    <col min="28" max="28" width="29.7265625" style="92" bestFit="1" customWidth="1"/>
    <col min="29" max="29" width="5.1796875" style="92" customWidth="1"/>
    <col min="30" max="30" width="2.81640625" style="20" customWidth="1"/>
    <col min="31" max="31" width="29.7265625" style="92" bestFit="1" customWidth="1"/>
    <col min="32" max="32" width="5.1796875" style="92" customWidth="1"/>
    <col min="33" max="34" width="2.81640625" style="20" customWidth="1"/>
    <col min="35" max="1518" width="0" style="1" hidden="1" customWidth="1"/>
    <col min="1519" max="16384" width="10.81640625" style="1" hidden="1"/>
  </cols>
  <sheetData>
    <row r="1" spans="1:34" s="20" customFormat="1" ht="15" thickBot="1">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2</v>
      </c>
      <c r="W1" s="93"/>
      <c r="X1" s="71"/>
      <c r="Y1" s="93">
        <f ca="1">+IFERROR(RANK(Y2,OFFSET($S$2,0,0,1,$D$5*3),0),"-")</f>
        <v>3</v>
      </c>
      <c r="Z1" s="93"/>
      <c r="AA1" s="71"/>
      <c r="AB1" s="93">
        <f ca="1">+IFERROR(RANK(AB2,OFFSET($S$2,0,0,1,$D$5*3),0),"-")</f>
        <v>4</v>
      </c>
      <c r="AC1" s="93"/>
      <c r="AD1" s="71"/>
      <c r="AE1" s="93">
        <f ca="1">+IFERROR(RANK(AE2,OFFSET($S$2,0,0,1,$D$5*3),0),"-")</f>
        <v>5</v>
      </c>
      <c r="AF1" s="93"/>
      <c r="AG1" s="71"/>
      <c r="AH1" s="117"/>
    </row>
    <row r="2" spans="1:34" s="20" customFormat="1" ht="22" customHeight="1" thickBot="1">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-1.9E-3</v>
      </c>
      <c r="T2" s="93"/>
      <c r="U2" s="71"/>
      <c r="V2" s="93">
        <f t="shared" ref="V2" ca="1" si="0">V4-(COLUMN()/10000)</f>
        <v>-2.2000000000000001E-3</v>
      </c>
      <c r="W2" s="93"/>
      <c r="X2" s="71"/>
      <c r="Y2" s="93">
        <f t="shared" ref="Y2" ca="1" si="1">Y4-(COLUMN()/10000)</f>
        <v>-2.5000000000000001E-3</v>
      </c>
      <c r="Z2" s="93"/>
      <c r="AA2" s="71"/>
      <c r="AB2" s="93">
        <f t="shared" ref="AB2" ca="1" si="2">AB4-(COLUMN()/10000)</f>
        <v>-2.8E-3</v>
      </c>
      <c r="AC2" s="93"/>
      <c r="AD2" s="71"/>
      <c r="AE2" s="93">
        <f t="shared" ref="AE2" ca="1" si="3">AE4-(COLUMN()/10000)</f>
        <v>-3.0999999999999999E-3</v>
      </c>
      <c r="AF2" s="93"/>
      <c r="AG2" s="71"/>
      <c r="AH2" s="117"/>
    </row>
    <row r="3" spans="1:34" s="20" customFormat="1">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1</v>
      </c>
      <c r="W3" s="93"/>
      <c r="X3" s="71"/>
      <c r="Y3" s="93">
        <f ca="1">RANK(Y4,OFFSET($S$4,0,0,1,$D$5*3),0)</f>
        <v>1</v>
      </c>
      <c r="Z3" s="93"/>
      <c r="AA3" s="71"/>
      <c r="AB3" s="93">
        <f ca="1">RANK(AB4,OFFSET($S$4,0,0,1,$D$5*3),0)</f>
        <v>1</v>
      </c>
      <c r="AC3" s="93"/>
      <c r="AD3" s="71"/>
      <c r="AE3" s="93">
        <f ca="1">RANK(AE4,OFFSET($S$4,0,0,1,$D$5*3),0)</f>
        <v>1</v>
      </c>
      <c r="AF3" s="93"/>
      <c r="AG3" s="71"/>
      <c r="AH3" s="117"/>
    </row>
    <row r="4" spans="1:34" ht="15" customHeight="1" thickBot="1">
      <c r="A4" s="55"/>
      <c r="B4" s="55"/>
      <c r="C4" s="56"/>
      <c r="D4" s="55"/>
      <c r="E4" s="117"/>
      <c r="F4" s="742"/>
      <c r="G4" s="55"/>
      <c r="H4" s="55"/>
      <c r="I4" s="674"/>
      <c r="J4" s="99"/>
      <c r="K4" s="93"/>
      <c r="L4" s="71"/>
      <c r="M4" s="93"/>
      <c r="N4" s="25"/>
      <c r="O4" s="25"/>
      <c r="P4" s="25"/>
      <c r="Q4" s="25"/>
      <c r="R4" s="55"/>
      <c r="S4" s="73">
        <f ca="1">SUM(T6:T259)/2</f>
        <v>0</v>
      </c>
      <c r="T4" s="74"/>
      <c r="U4" s="71"/>
      <c r="V4" s="73">
        <f ca="1">SUM(W6:W259)/2</f>
        <v>0</v>
      </c>
      <c r="W4" s="74"/>
      <c r="X4" s="71"/>
      <c r="Y4" s="73">
        <f ca="1">SUM(Z6:Z259)/2</f>
        <v>0</v>
      </c>
      <c r="Z4" s="74"/>
      <c r="AA4" s="71"/>
      <c r="AB4" s="73">
        <f ca="1">SUM(AC6:AC259)/2</f>
        <v>0</v>
      </c>
      <c r="AC4" s="74"/>
      <c r="AD4" s="71"/>
      <c r="AE4" s="73">
        <f ca="1">SUM(AF6:AF259)/2</f>
        <v>0</v>
      </c>
      <c r="AF4" s="74"/>
      <c r="AG4" s="71"/>
      <c r="AH4" s="71"/>
    </row>
    <row r="5" spans="1:34" ht="21.5" thickBot="1">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tr">
        <f>Idiomas!$G$363&amp;ADMIN!U5</f>
        <v>Pegar Valores Nombre J1</v>
      </c>
      <c r="T5" s="76"/>
      <c r="U5" s="71">
        <v>1</v>
      </c>
      <c r="V5" s="75" t="str">
        <f>Idiomas!$G$363&amp;ADMIN!X5</f>
        <v>Pegar Valores Nombre J2</v>
      </c>
      <c r="W5" s="76"/>
      <c r="X5" s="71">
        <v>2</v>
      </c>
      <c r="Y5" s="75" t="str">
        <f>Idiomas!$G$363&amp;ADMIN!AA5</f>
        <v>Pegar Valores Nombre J3</v>
      </c>
      <c r="Z5" s="76"/>
      <c r="AA5" s="71">
        <v>3</v>
      </c>
      <c r="AB5" s="75" t="str">
        <f>Idiomas!$G$363&amp;ADMIN!AD5</f>
        <v>Pegar Valores Nombre J4</v>
      </c>
      <c r="AC5" s="76"/>
      <c r="AD5" s="71">
        <v>4</v>
      </c>
      <c r="AE5" s="75" t="str">
        <f>Idiomas!$G$363&amp;ADMIN!AG5</f>
        <v>Pegar Valores Nombre J5</v>
      </c>
      <c r="AF5" s="76"/>
      <c r="AG5" s="71">
        <v>5</v>
      </c>
      <c r="AH5" s="71"/>
    </row>
    <row r="6" spans="1:34" ht="15" thickBot="1">
      <c r="A6" s="55"/>
      <c r="B6" s="55"/>
      <c r="C6" s="677"/>
      <c r="D6" s="55"/>
      <c r="E6" s="117"/>
      <c r="F6" s="453">
        <f>SUM($D$8:$D$10)*I6</f>
        <v>0</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1|2-1</v>
      </c>
      <c r="N6" s="25" t="str">
        <f>IF(OR(WORLDCUP!AC4="",WORLDCUP!AD4=""),"",IF(WORLDCUP!AC4&gt;WORLDCUP!AD4,"1",IF(WORLDCUP!AC4&lt;WORLDCUP!AD4,"2","X")))</f>
        <v>1</v>
      </c>
      <c r="O6" s="25">
        <f>WORLDCUP!AC4</f>
        <v>2</v>
      </c>
      <c r="P6" s="25">
        <f>WORLDCUP!AD4</f>
        <v>1</v>
      </c>
      <c r="Q6" s="25">
        <f>ABS(O6-P6)</f>
        <v>1</v>
      </c>
      <c r="R6" s="55"/>
      <c r="S6" s="78" t="str">
        <f>Idiomas!$D$364</f>
        <v>Pegar Valores (J1)</v>
      </c>
      <c r="T6" s="79">
        <f>IFERROR(IF($M6=S6,($D$8+$D$9+$D$10)*$I6,IF($N6=LEFT(S6,1),($D$8+MAX(0,IF($D$50=1,$D$9*(1-(ABS($Q6-ABS(VALUE(MID(S6,FIND("|",S6)+1,FIND("-",S6)-FIND("|",S6)-1))-VALUE(MID(S6,FIND("-",S6)+1,10)))))*$D$50),$D$9*(1-(IF($N6="X",ABS($O6-VALUE(MID(S6,FIND("|",S6)+1,FIND("-",S6)-FIND("|",S6)-1))),ABS($Q6-ABS(VALUE(MID(S6,FIND("|",S6)+1,FIND("-",S6)-FIND("|",S6)-1))-VALUE(MID(S6,FIND("-",S6)+1,10)))))*$D$50)))))*$I6,0)),0)</f>
        <v>0</v>
      </c>
      <c r="U6" s="117"/>
      <c r="V6" s="78" t="str">
        <f>Idiomas!$D$364</f>
        <v>Pegar Valores (J1)</v>
      </c>
      <c r="W6" s="79">
        <f>IFERROR(IF($M6=V6,($D$8+$D$9+$D$10)*$I6,IF($N6=LEFT(V6,1),($D$8+MAX(0,IF($D$50=1,$D$9*(1-(ABS($Q6-ABS(VALUE(MID(V6,FIND("|",V6)+1,FIND("-",V6)-FIND("|",V6)-1))-VALUE(MID(V6,FIND("-",V6)+1,10)))))*$D$50),$D$9*(1-(IF($N6="X",ABS($O6-VALUE(MID(V6,FIND("|",V6)+1,FIND("-",V6)-FIND("|",V6)-1))),ABS($Q6-ABS(VALUE(MID(V6,FIND("|",V6)+1,FIND("-",V6)-FIND("|",V6)-1))-VALUE(MID(V6,FIND("-",V6)+1,10)))))*$D$50)))))*$I6,0)),0)</f>
        <v>0</v>
      </c>
      <c r="X6" s="117"/>
      <c r="Y6" s="78" t="str">
        <f>Idiomas!$D$364</f>
        <v>Pegar Valores (J1)</v>
      </c>
      <c r="Z6" s="79">
        <f t="shared" ref="Z6" si="4">IFERROR(IF($M6=Y6,($D$8+$D$9+$D$10)*$I6,IF($N6=LEFT(Y6,1),($D$8+MAX(0,IF($D$50=1,$D$9*(1-(ABS($Q6-ABS(VALUE(MID(Y6,FIND("|",Y6)+1,FIND("-",Y6)-FIND("|",Y6)-1))-VALUE(MID(Y6,FIND("-",Y6)+1,10)))))*$D$50),$D$9*(1-(IF($N6="X",ABS($O6-VALUE(MID(Y6,FIND("|",Y6)+1,FIND("-",Y6)-FIND("|",Y6)-1))),ABS($Q6-ABS(VALUE(MID(Y6,FIND("|",Y6)+1,FIND("-",Y6)-FIND("|",Y6)-1))-VALUE(MID(Y6,FIND("-",Y6)+1,10)))))*$D$50)))))*$I6,0)),0)</f>
        <v>0</v>
      </c>
      <c r="AA6" s="117"/>
      <c r="AB6" s="78" t="str">
        <f>Idiomas!$D$364</f>
        <v>Pegar Valores (J1)</v>
      </c>
      <c r="AC6" s="79">
        <f t="shared" ref="AC6" si="5">IFERROR(IF($M6=AB6,($D$8+$D$9+$D$10)*$I6,IF($N6=LEFT(AB6,1),($D$8+MAX(0,IF($D$50=1,$D$9*(1-(ABS($Q6-ABS(VALUE(MID(AB6,FIND("|",AB6)+1,FIND("-",AB6)-FIND("|",AB6)-1))-VALUE(MID(AB6,FIND("-",AB6)+1,10)))))*$D$50),$D$9*(1-(IF($N6="X",ABS($O6-VALUE(MID(AB6,FIND("|",AB6)+1,FIND("-",AB6)-FIND("|",AB6)-1))),ABS($Q6-ABS(VALUE(MID(AB6,FIND("|",AB6)+1,FIND("-",AB6)-FIND("|",AB6)-1))-VALUE(MID(AB6,FIND("-",AB6)+1,10)))))*$D$50)))))*$I6,0)),0)</f>
        <v>0</v>
      </c>
      <c r="AD6" s="117"/>
      <c r="AE6" s="78" t="str">
        <f>Idiomas!$D$364</f>
        <v>Pegar Valores (J1)</v>
      </c>
      <c r="AF6" s="79">
        <f t="shared" ref="AF6" si="6">IFERROR(IF($M6=AE6,($D$8+$D$9+$D$10)*$I6,IF($N6=LEFT(AE6,1),($D$8+MAX(0,IF($D$50=1,$D$9*(1-(ABS($Q6-ABS(VALUE(MID(AE6,FIND("|",AE6)+1,FIND("-",AE6)-FIND("|",AE6)-1))-VALUE(MID(AE6,FIND("-",AE6)+1,10)))))*$D$50),$D$9*(1-(IF($N6="X",ABS($O6-VALUE(MID(AE6,FIND("|",AE6)+1,FIND("-",AE6)-FIND("|",AE6)-1))),ABS($Q6-ABS(VALUE(MID(AE6,FIND("|",AE6)+1,FIND("-",AE6)-FIND("|",AE6)-1))-VALUE(MID(AE6,FIND("-",AE6)+1,10)))))*$D$50)))))*$I6,0)),0)</f>
        <v>0</v>
      </c>
      <c r="AG6" s="117"/>
      <c r="AH6" s="117"/>
    </row>
    <row r="7" spans="1:34">
      <c r="A7" s="55"/>
      <c r="B7" s="55"/>
      <c r="C7" s="790" t="str">
        <f>HYPERLINK(Idiomas!D302,Idiomas!D301)</f>
        <v>Regla* (Click para ver la explicación)</v>
      </c>
      <c r="D7" s="60" t="str">
        <f>Idiomas!D303</f>
        <v>Puntos</v>
      </c>
      <c r="E7" s="117"/>
      <c r="F7" s="453">
        <f t="shared" ref="F7:F70" si="7">SUM($D$8:$D$10)*I7</f>
        <v>0</v>
      </c>
      <c r="G7" s="453">
        <f ca="1">VLOOKUP(H7,Equipos!$Q$1:$R$25,2,0)</f>
        <v>1</v>
      </c>
      <c r="H7" s="454">
        <f ca="1">TRUNC(INDEX(WORLDCUP!$X$4:$X$147,MATCH(ADMIN!K7,WORLDCUP!$DT$4:$DT$147,0))+INDEX(Horarios!$R$3:$R$86,MATCH(Horarios!$C$3,Horarios!$P$3:$P$86,0))/24)</f>
        <v>46184</v>
      </c>
      <c r="I7" s="54">
        <v>1</v>
      </c>
      <c r="J7" s="101" t="s">
        <v>112</v>
      </c>
      <c r="K7" s="59" t="str">
        <f ca="1">CONCATENATE(WORLDCUP!AA5,"-",WORLDCUP!AF5)</f>
        <v>Corea del Sur-República Checa</v>
      </c>
      <c r="L7" s="59"/>
      <c r="M7" s="61" t="str">
        <f>IF(OR(WORLDCUP!AC5="",WORLDCUP!AD5=""),"-",N7&amp;"|"&amp;O7&amp;"-"&amp;P7)</f>
        <v>1|1-0</v>
      </c>
      <c r="N7" s="25" t="str">
        <f>IF(OR(WORLDCUP!AC5="",WORLDCUP!AD5=""),"",IF(WORLDCUP!AC5&gt;WORLDCUP!AD5,"1",IF(WORLDCUP!AC5&lt;WORLDCUP!AD5,"2","X")))</f>
        <v>1</v>
      </c>
      <c r="O7" s="25">
        <f>WORLDCUP!AC5</f>
        <v>1</v>
      </c>
      <c r="P7" s="25">
        <f>WORLDCUP!AD5</f>
        <v>0</v>
      </c>
      <c r="Q7" s="25">
        <f>ABS(O7-P7)</f>
        <v>1</v>
      </c>
      <c r="R7" s="55"/>
      <c r="S7" s="78"/>
      <c r="T7" s="79">
        <f t="shared" ref="T7:T70" si="8">IFERROR(IF($M7=S7,($D$8+$D$9+$D$10)*$I7,IF($N7=LEFT(S7,1),($D$8+MAX(0,IF($D$50=1,$D$9*(1-(ABS($Q7-ABS(VALUE(MID(S7,FIND("|",S7)+1,FIND("-",S7)-FIND("|",S7)-1))-VALUE(MID(S7,FIND("-",S7)+1,10)))))*$D$50),$D$9*(1-(IF($N7="X",ABS($O7-VALUE(MID(S7,FIND("|",S7)+1,FIND("-",S7)-FIND("|",S7)-1))),ABS($Q7-ABS(VALUE(MID(S7,FIND("|",S7)+1,FIND("-",S7)-FIND("|",S7)-1))-VALUE(MID(S7,FIND("-",S7)+1,10)))))*$D$50)))))*$I7,0)),0)</f>
        <v>0</v>
      </c>
      <c r="U7" s="117"/>
      <c r="V7" s="78"/>
      <c r="W7" s="79">
        <f t="shared" ref="W7:W41" si="9">IFERROR(IF($M7=V7,($D$8+$D$9+$D$10)*$I7,IF($N7=LEFT(V7,1),($D$8+MAX(0,IF($D$50=1,$D$9*(1-(ABS($Q7-ABS(VALUE(MID(V7,FIND("|",V7)+1,FIND("-",V7)-FIND("|",V7)-1))-VALUE(MID(V7,FIND("-",V7)+1,10)))))*$D$50),$D$9*(1-(IF($N7="X",ABS($O7-VALUE(MID(V7,FIND("|",V7)+1,FIND("-",V7)-FIND("|",V7)-1))),ABS($Q7-ABS(VALUE(MID(V7,FIND("|",V7)+1,FIND("-",V7)-FIND("|",V7)-1))-VALUE(MID(V7,FIND("-",V7)+1,10)))))*$D$50)))))*$I7,0)),0)</f>
        <v>0</v>
      </c>
      <c r="X7" s="117"/>
      <c r="Y7" s="78"/>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c r="AC7" s="79">
        <f t="shared" si="10"/>
        <v>0</v>
      </c>
      <c r="AD7" s="117"/>
      <c r="AE7" s="78"/>
      <c r="AF7" s="79">
        <f t="shared" si="10"/>
        <v>0</v>
      </c>
      <c r="AG7" s="117"/>
      <c r="AH7" s="117"/>
    </row>
    <row r="8" spans="1:34">
      <c r="A8" s="55"/>
      <c r="B8" s="55"/>
      <c r="C8" s="445" t="str">
        <f>Idiomas!D304</f>
        <v>FASE DE GRUPOS - Signo 1X2 (local, empate, visitante)</v>
      </c>
      <c r="D8" s="68">
        <v>0</v>
      </c>
      <c r="E8" s="117"/>
      <c r="F8" s="453">
        <f t="shared" si="7"/>
        <v>0</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2|0-1</v>
      </c>
      <c r="N8" s="25" t="str">
        <f>IF(OR(WORLDCUP!AC12="",WORLDCUP!AD12=""),"",IF(WORLDCUP!AC12&gt;WORLDCUP!AD12,"1",IF(WORLDCUP!AC12&lt;WORLDCUP!AD12,"2","X")))</f>
        <v>2</v>
      </c>
      <c r="O8" s="25">
        <f>WORLDCUP!AC12</f>
        <v>0</v>
      </c>
      <c r="P8" s="25">
        <f>WORLDCUP!AD12</f>
        <v>1</v>
      </c>
      <c r="Q8" s="25">
        <f t="shared" ref="Q8:Q70" si="11">ABS(O8-P8)</f>
        <v>1</v>
      </c>
      <c r="R8" s="55"/>
      <c r="S8" s="80"/>
      <c r="T8" s="79">
        <f t="shared" si="8"/>
        <v>0</v>
      </c>
      <c r="U8" s="71"/>
      <c r="V8" s="80"/>
      <c r="W8" s="79">
        <f t="shared" si="9"/>
        <v>0</v>
      </c>
      <c r="X8" s="71"/>
      <c r="Y8" s="80"/>
      <c r="Z8" s="79">
        <f t="shared" si="10"/>
        <v>0</v>
      </c>
      <c r="AA8" s="71"/>
      <c r="AB8" s="80"/>
      <c r="AC8" s="79">
        <f t="shared" si="10"/>
        <v>0</v>
      </c>
      <c r="AD8" s="71"/>
      <c r="AE8" s="80"/>
      <c r="AF8" s="79">
        <f t="shared" si="10"/>
        <v>0</v>
      </c>
      <c r="AG8" s="71"/>
      <c r="AH8" s="71"/>
    </row>
    <row r="9" spans="1:34">
      <c r="A9" s="55"/>
      <c r="B9" s="55"/>
      <c r="C9" s="446" t="str">
        <f>Idiomas!D305&amp;"**"</f>
        <v>FASE DE GRUPOS - Diferencia/Distancia de goles (Con 1X2 acertado)**</v>
      </c>
      <c r="D9" s="50">
        <v>0</v>
      </c>
      <c r="E9" s="117"/>
      <c r="F9" s="453">
        <f t="shared" si="7"/>
        <v>0</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2|0-5</v>
      </c>
      <c r="N9" s="25" t="str">
        <f>IF(OR(WORLDCUP!AC13="",WORLDCUP!AD13=""),"",IF(WORLDCUP!AC13&gt;WORLDCUP!AD13,"1",IF(WORLDCUP!AC13&lt;WORLDCUP!AD13,"2","X")))</f>
        <v>2</v>
      </c>
      <c r="O9" s="25">
        <f>WORLDCUP!AC13</f>
        <v>0</v>
      </c>
      <c r="P9" s="25">
        <f>WORLDCUP!AD13</f>
        <v>5</v>
      </c>
      <c r="Q9" s="25">
        <f t="shared" si="11"/>
        <v>5</v>
      </c>
      <c r="R9" s="55"/>
      <c r="S9" s="81"/>
      <c r="T9" s="79">
        <f t="shared" si="8"/>
        <v>0</v>
      </c>
      <c r="U9" s="71"/>
      <c r="V9" s="81"/>
      <c r="W9" s="79">
        <f t="shared" si="9"/>
        <v>0</v>
      </c>
      <c r="X9" s="71"/>
      <c r="Y9" s="81"/>
      <c r="Z9" s="79">
        <f t="shared" si="10"/>
        <v>0</v>
      </c>
      <c r="AA9" s="71"/>
      <c r="AB9" s="81"/>
      <c r="AC9" s="79">
        <f t="shared" si="10"/>
        <v>0</v>
      </c>
      <c r="AD9" s="71"/>
      <c r="AE9" s="81"/>
      <c r="AF9" s="79">
        <f t="shared" si="10"/>
        <v>0</v>
      </c>
      <c r="AG9" s="71"/>
      <c r="AH9" s="71"/>
    </row>
    <row r="10" spans="1:34">
      <c r="A10" s="55"/>
      <c r="B10" s="55"/>
      <c r="C10" s="445" t="str">
        <f>Idiomas!D306</f>
        <v>FASE DE GRUPOS - Resultado exacto</v>
      </c>
      <c r="D10" s="68">
        <v>0</v>
      </c>
      <c r="E10" s="117"/>
      <c r="F10" s="453">
        <f t="shared" si="7"/>
        <v>0</v>
      </c>
      <c r="G10" s="453">
        <f ca="1">VLOOKUP(H10,Equipos!$Q$1:$R$25,2,0)</f>
        <v>3</v>
      </c>
      <c r="H10" s="454">
        <f ca="1">TRUNC(INDEX(WORLDCUP!$X$4:$X$147,MATCH(ADMIN!K10,WORLDCUP!$DT$4:$DT$147,0))+INDEX(Horarios!$R$3:$R$86,MATCH(Horarios!$C$3,Horarios!$P$3:$P$86,0))/24)</f>
        <v>46186</v>
      </c>
      <c r="I10" s="54">
        <v>1</v>
      </c>
      <c r="J10" s="101" t="s">
        <v>114</v>
      </c>
      <c r="K10" s="62" t="str">
        <f ca="1">CONCATENATE(WORLDCUP!AA20,"-",WORLDCUP!AF20)</f>
        <v>Brasil-Marruecos</v>
      </c>
      <c r="L10" s="59"/>
      <c r="M10" s="61" t="str">
        <f>IF(OR(WORLDCUP!AC20="",WORLDCUP!AD20=""),"-",N10&amp;"|"&amp;O10&amp;"-"&amp;P10)</f>
        <v>1|2-1</v>
      </c>
      <c r="N10" s="25" t="str">
        <f>IF(OR(WORLDCUP!AC20="",WORLDCUP!AD20=""),"",IF(WORLDCUP!AC20&gt;WORLDCUP!AD20,"1",IF(WORLDCUP!AC20&lt;WORLDCUP!AD20,"2","X")))</f>
        <v>1</v>
      </c>
      <c r="O10" s="25">
        <f>WORLDCUP!AC20</f>
        <v>2</v>
      </c>
      <c r="P10" s="25">
        <f>WORLDCUP!AD20</f>
        <v>1</v>
      </c>
      <c r="Q10" s="25">
        <f t="shared" si="11"/>
        <v>1</v>
      </c>
      <c r="R10" s="55"/>
      <c r="S10" s="80"/>
      <c r="T10" s="79">
        <f t="shared" si="8"/>
        <v>0</v>
      </c>
      <c r="U10" s="71"/>
      <c r="V10" s="80"/>
      <c r="W10" s="79">
        <f t="shared" si="9"/>
        <v>0</v>
      </c>
      <c r="X10" s="71"/>
      <c r="Y10" s="80"/>
      <c r="Z10" s="79">
        <f t="shared" si="10"/>
        <v>0</v>
      </c>
      <c r="AA10" s="71"/>
      <c r="AB10" s="80"/>
      <c r="AC10" s="79">
        <f t="shared" si="10"/>
        <v>0</v>
      </c>
      <c r="AD10" s="71"/>
      <c r="AE10" s="80"/>
      <c r="AF10" s="79">
        <f t="shared" si="10"/>
        <v>0</v>
      </c>
      <c r="AG10" s="71"/>
      <c r="AH10" s="71"/>
    </row>
    <row r="11" spans="1:34">
      <c r="A11" s="55"/>
      <c r="B11" s="55"/>
      <c r="C11" s="446" t="str">
        <f>Idiomas!D307</f>
        <v>FASE DE GRUPOS - Posición exacta (1º)</v>
      </c>
      <c r="D11" s="50">
        <v>0</v>
      </c>
      <c r="E11" s="117"/>
      <c r="F11" s="453">
        <f t="shared" si="7"/>
        <v>0</v>
      </c>
      <c r="G11" s="453">
        <f ca="1">VLOOKUP(H11,Equipos!$Q$1:$R$25,2,0)</f>
        <v>3</v>
      </c>
      <c r="H11" s="454">
        <f ca="1">TRUNC(INDEX(WORLDCUP!$X$4:$X$147,MATCH(ADMIN!K11,WORLDCUP!$DT$4:$DT$147,0))+INDEX(Horarios!$R$3:$R$86,MATCH(Horarios!$C$3,Horarios!$P$3:$P$86,0))/24)</f>
        <v>46186</v>
      </c>
      <c r="I11" s="54">
        <v>1</v>
      </c>
      <c r="J11" s="101" t="s">
        <v>114</v>
      </c>
      <c r="K11" s="59" t="str">
        <f ca="1">CONCATENATE(WORLDCUP!AA21,"-",WORLDCUP!AF21)</f>
        <v>Haití-Escocia</v>
      </c>
      <c r="L11" s="59"/>
      <c r="M11" s="61" t="str">
        <f>IF(OR(WORLDCUP!AC21="",WORLDCUP!AD21=""),"-",N11&amp;"|"&amp;O11&amp;"-"&amp;P11)</f>
        <v>2|0-1</v>
      </c>
      <c r="N11" s="25" t="str">
        <f>IF(OR(WORLDCUP!AC21="",WORLDCUP!AD21=""),"",IF(WORLDCUP!AC21&gt;WORLDCUP!AD21,"1",IF(WORLDCUP!AC21&lt;WORLDCUP!AD21,"2","X")))</f>
        <v>2</v>
      </c>
      <c r="O11" s="25">
        <f>WORLDCUP!AC21</f>
        <v>0</v>
      </c>
      <c r="P11" s="25">
        <f>WORLDCUP!AD21</f>
        <v>1</v>
      </c>
      <c r="Q11" s="25">
        <f t="shared" si="11"/>
        <v>1</v>
      </c>
      <c r="R11" s="55"/>
      <c r="S11" s="80"/>
      <c r="T11" s="79">
        <f t="shared" si="8"/>
        <v>0</v>
      </c>
      <c r="U11" s="71"/>
      <c r="V11" s="80"/>
      <c r="W11" s="79">
        <f t="shared" si="9"/>
        <v>0</v>
      </c>
      <c r="X11" s="71"/>
      <c r="Y11" s="80"/>
      <c r="Z11" s="79">
        <f t="shared" si="10"/>
        <v>0</v>
      </c>
      <c r="AA11" s="71"/>
      <c r="AB11" s="80"/>
      <c r="AC11" s="79">
        <f t="shared" si="10"/>
        <v>0</v>
      </c>
      <c r="AD11" s="71"/>
      <c r="AE11" s="80"/>
      <c r="AF11" s="79">
        <f t="shared" si="10"/>
        <v>0</v>
      </c>
      <c r="AG11" s="71"/>
      <c r="AH11" s="71"/>
    </row>
    <row r="12" spans="1:34">
      <c r="A12" s="55"/>
      <c r="B12" s="55"/>
      <c r="C12" s="445" t="str">
        <f>Idiomas!D308</f>
        <v>FASE DE GRUPOS - Posición exacta (2º)</v>
      </c>
      <c r="D12" s="68">
        <v>0</v>
      </c>
      <c r="E12" s="117"/>
      <c r="F12" s="453">
        <f t="shared" si="7"/>
        <v>0</v>
      </c>
      <c r="G12" s="453">
        <f ca="1">VLOOKUP(H12,Equipos!$Q$1:$R$25,2,0)</f>
        <v>2</v>
      </c>
      <c r="H12" s="454">
        <f ca="1">TRUNC(INDEX(WORLDCUP!$X$4:$X$147,MATCH(ADMIN!K12,WORLDCUP!$DT$4:$DT$147,0))+INDEX(Horarios!$R$3:$R$86,MATCH(Horarios!$C$3,Horarios!$P$3:$P$86,0))/24)</f>
        <v>46185</v>
      </c>
      <c r="I12" s="54">
        <v>1</v>
      </c>
      <c r="J12" s="102" t="s">
        <v>115</v>
      </c>
      <c r="K12" s="62" t="str">
        <f ca="1">CONCATENATE(WORLDCUP!AA28,"-",WORLDCUP!AF28)</f>
        <v>Estados Unidos-Paraguay</v>
      </c>
      <c r="L12" s="59"/>
      <c r="M12" s="61" t="str">
        <f>IF(OR(WORLDCUP!AC28="",WORLDCUP!AD28=""),"-",N12&amp;"|"&amp;O12&amp;"-"&amp;P12)</f>
        <v>X|1-1</v>
      </c>
      <c r="N12" s="25" t="str">
        <f>IF(OR(WORLDCUP!AC28="",WORLDCUP!AD28=""),"",IF(WORLDCUP!AC28&gt;WORLDCUP!AD28,"1",IF(WORLDCUP!AC28&lt;WORLDCUP!AD28,"2","X")))</f>
        <v>X</v>
      </c>
      <c r="O12" s="25">
        <f>WORLDCUP!AC28</f>
        <v>1</v>
      </c>
      <c r="P12" s="25">
        <f>WORLDCUP!AD28</f>
        <v>1</v>
      </c>
      <c r="Q12" s="25">
        <f t="shared" si="11"/>
        <v>0</v>
      </c>
      <c r="R12" s="55"/>
      <c r="S12" s="80"/>
      <c r="T12" s="79">
        <f t="shared" si="8"/>
        <v>0</v>
      </c>
      <c r="U12" s="71"/>
      <c r="V12" s="80"/>
      <c r="W12" s="79">
        <f t="shared" si="9"/>
        <v>0</v>
      </c>
      <c r="X12" s="71"/>
      <c r="Y12" s="80"/>
      <c r="Z12" s="79">
        <f t="shared" si="10"/>
        <v>0</v>
      </c>
      <c r="AA12" s="71"/>
      <c r="AB12" s="80"/>
      <c r="AC12" s="79">
        <f t="shared" si="10"/>
        <v>0</v>
      </c>
      <c r="AD12" s="71"/>
      <c r="AE12" s="80"/>
      <c r="AF12" s="79">
        <f t="shared" si="10"/>
        <v>0</v>
      </c>
      <c r="AG12" s="71"/>
      <c r="AH12" s="71"/>
    </row>
    <row r="13" spans="1:34">
      <c r="A13" s="55"/>
      <c r="B13" s="55"/>
      <c r="C13" s="446" t="str">
        <f>Idiomas!D309</f>
        <v>FASE DE GRUPOS - Posición exacta (3º)</v>
      </c>
      <c r="D13" s="50">
        <v>0</v>
      </c>
      <c r="E13" s="117"/>
      <c r="F13" s="453">
        <f t="shared" si="7"/>
        <v>0</v>
      </c>
      <c r="G13" s="453">
        <f ca="1">VLOOKUP(H13,Equipos!$Q$1:$R$25,2,0)</f>
        <v>3</v>
      </c>
      <c r="H13" s="454">
        <f ca="1">TRUNC(INDEX(WORLDCUP!$X$4:$X$147,MATCH(ADMIN!K13,WORLDCUP!$DT$4:$DT$147,0))+INDEX(Horarios!$R$3:$R$86,MATCH(Horarios!$C$3,Horarios!$P$3:$P$86,0))/24)</f>
        <v>46186</v>
      </c>
      <c r="I13" s="54">
        <v>1</v>
      </c>
      <c r="J13" s="102" t="s">
        <v>115</v>
      </c>
      <c r="K13" s="59" t="str">
        <f ca="1">CONCATENATE(WORLDCUP!AA29,"-",WORLDCUP!AF29)</f>
        <v>Australia-Turquía</v>
      </c>
      <c r="L13" s="59"/>
      <c r="M13" s="61" t="str">
        <f>IF(OR(WORLDCUP!AC29="",WORLDCUP!AD29=""),"-",N13&amp;"|"&amp;O13&amp;"-"&amp;P13)</f>
        <v>2|2-3</v>
      </c>
      <c r="N13" s="25" t="str">
        <f>IF(OR(WORLDCUP!AC29="",WORLDCUP!AD29=""),"",IF(WORLDCUP!AC29&gt;WORLDCUP!AD29,"1",IF(WORLDCUP!AC29&lt;WORLDCUP!AD29,"2","X")))</f>
        <v>2</v>
      </c>
      <c r="O13" s="25">
        <f>WORLDCUP!AC29</f>
        <v>2</v>
      </c>
      <c r="P13" s="25">
        <f>WORLDCUP!AD29</f>
        <v>3</v>
      </c>
      <c r="Q13" s="25">
        <f t="shared" si="11"/>
        <v>1</v>
      </c>
      <c r="R13" s="55"/>
      <c r="S13" s="80"/>
      <c r="T13" s="79">
        <f t="shared" si="8"/>
        <v>0</v>
      </c>
      <c r="U13" s="71"/>
      <c r="V13" s="80"/>
      <c r="W13" s="79">
        <f t="shared" si="9"/>
        <v>0</v>
      </c>
      <c r="X13" s="71"/>
      <c r="Y13" s="80"/>
      <c r="Z13" s="79">
        <f t="shared" si="10"/>
        <v>0</v>
      </c>
      <c r="AA13" s="71"/>
      <c r="AB13" s="80"/>
      <c r="AC13" s="79">
        <f t="shared" si="10"/>
        <v>0</v>
      </c>
      <c r="AD13" s="71"/>
      <c r="AE13" s="80"/>
      <c r="AF13" s="79">
        <f t="shared" si="10"/>
        <v>0</v>
      </c>
      <c r="AG13" s="71"/>
      <c r="AH13" s="71"/>
    </row>
    <row r="14" spans="1:34">
      <c r="A14" s="55"/>
      <c r="B14" s="55"/>
      <c r="C14" s="445" t="str">
        <f>Idiomas!D310</f>
        <v>FASE DE GRUPOS - Posición exacta (4º)</v>
      </c>
      <c r="D14" s="68">
        <v>0</v>
      </c>
      <c r="E14" s="117"/>
      <c r="F14" s="453">
        <f t="shared" si="7"/>
        <v>0</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1|3-0</v>
      </c>
      <c r="N14" s="25" t="str">
        <f>IF(OR(WORLDCUP!AC36="",WORLDCUP!AD36=""),"",IF(WORLDCUP!AC36&gt;WORLDCUP!AD36,"1",IF(WORLDCUP!AC36&lt;WORLDCUP!AD36,"2","X")))</f>
        <v>1</v>
      </c>
      <c r="O14" s="25">
        <f>WORLDCUP!AC36</f>
        <v>3</v>
      </c>
      <c r="P14" s="25">
        <f>WORLDCUP!AD36</f>
        <v>0</v>
      </c>
      <c r="Q14" s="25">
        <f t="shared" si="11"/>
        <v>3</v>
      </c>
      <c r="R14" s="55"/>
      <c r="S14" s="80"/>
      <c r="T14" s="79">
        <f t="shared" si="8"/>
        <v>0</v>
      </c>
      <c r="U14" s="71"/>
      <c r="V14" s="80"/>
      <c r="W14" s="79">
        <f t="shared" si="9"/>
        <v>0</v>
      </c>
      <c r="X14" s="71"/>
      <c r="Y14" s="80"/>
      <c r="Z14" s="79">
        <f t="shared" si="10"/>
        <v>0</v>
      </c>
      <c r="AA14" s="71"/>
      <c r="AB14" s="80"/>
      <c r="AC14" s="79">
        <f t="shared" si="10"/>
        <v>0</v>
      </c>
      <c r="AD14" s="71"/>
      <c r="AE14" s="80"/>
      <c r="AF14" s="79">
        <f t="shared" si="10"/>
        <v>0</v>
      </c>
      <c r="AG14" s="71"/>
      <c r="AH14" s="71"/>
    </row>
    <row r="15" spans="1:34">
      <c r="A15" s="55"/>
      <c r="B15" s="55"/>
      <c r="C15" s="447" t="str">
        <f>Idiomas!D311</f>
        <v>Equipo clasificado para DIECISEISAVOS</v>
      </c>
      <c r="D15" s="51">
        <v>0</v>
      </c>
      <c r="E15" s="117"/>
      <c r="F15" s="453">
        <f t="shared" si="7"/>
        <v>0</v>
      </c>
      <c r="G15" s="453">
        <f ca="1">VLOOKUP(H15,Equipos!$Q$1:$R$25,2,0)</f>
        <v>4</v>
      </c>
      <c r="H15" s="454">
        <f ca="1">TRUNC(INDEX(WORLDCUP!$X$4:$X$147,MATCH(ADMIN!K15,WORLDCUP!$DT$4:$DT$147,0))+INDEX(Horarios!$R$3:$R$86,MATCH(Horarios!$C$3,Horarios!$P$3:$P$86,0))/24)</f>
        <v>46187</v>
      </c>
      <c r="I15" s="54">
        <v>1</v>
      </c>
      <c r="J15" s="101" t="s">
        <v>116</v>
      </c>
      <c r="K15" s="59" t="str">
        <f ca="1">CONCATENATE(WORLDCUP!AA37,"-",WORLDCUP!AF37)</f>
        <v>Costa de Marfil-Ecuador</v>
      </c>
      <c r="L15" s="59"/>
      <c r="M15" s="61" t="str">
        <f>IF(OR(WORLDCUP!AC37="",WORLDCUP!AD37=""),"-",N15&amp;"|"&amp;O15&amp;"-"&amp;P15)</f>
        <v>X|3-3</v>
      </c>
      <c r="N15" s="25" t="str">
        <f>IF(OR(WORLDCUP!AC37="",WORLDCUP!AD37=""),"",IF(WORLDCUP!AC37&gt;WORLDCUP!AD37,"1",IF(WORLDCUP!AC37&lt;WORLDCUP!AD37,"2","X")))</f>
        <v>X</v>
      </c>
      <c r="O15" s="25">
        <f>WORLDCUP!AC37</f>
        <v>3</v>
      </c>
      <c r="P15" s="25">
        <f>WORLDCUP!AD37</f>
        <v>3</v>
      </c>
      <c r="Q15" s="25">
        <f t="shared" si="11"/>
        <v>0</v>
      </c>
      <c r="R15" s="55"/>
      <c r="S15" s="80"/>
      <c r="T15" s="79">
        <f t="shared" si="8"/>
        <v>0</v>
      </c>
      <c r="U15" s="71"/>
      <c r="V15" s="80"/>
      <c r="W15" s="79">
        <f t="shared" si="9"/>
        <v>0</v>
      </c>
      <c r="X15" s="71"/>
      <c r="Y15" s="80"/>
      <c r="Z15" s="79">
        <f t="shared" si="10"/>
        <v>0</v>
      </c>
      <c r="AA15" s="71"/>
      <c r="AB15" s="80"/>
      <c r="AC15" s="79">
        <f t="shared" si="10"/>
        <v>0</v>
      </c>
      <c r="AD15" s="71"/>
      <c r="AE15" s="80"/>
      <c r="AF15" s="79">
        <f t="shared" si="10"/>
        <v>0</v>
      </c>
      <c r="AG15" s="71"/>
      <c r="AH15" s="71"/>
    </row>
    <row r="16" spans="1:34">
      <c r="A16" s="55"/>
      <c r="B16" s="55"/>
      <c r="C16" s="445" t="str">
        <f>Idiomas!D312</f>
        <v>DIECISEISAVOS - Signo 1X2 (local, empate, visitante)</v>
      </c>
      <c r="D16" s="68">
        <v>0</v>
      </c>
      <c r="E16" s="117"/>
      <c r="F16" s="453">
        <f t="shared" si="7"/>
        <v>0</v>
      </c>
      <c r="G16" s="453">
        <f ca="1">VLOOKUP(H16,Equipos!$Q$1:$R$25,2,0)</f>
        <v>4</v>
      </c>
      <c r="H16" s="454">
        <f ca="1">TRUNC(INDEX(WORLDCUP!$X$4:$X$147,MATCH(ADMIN!K16,WORLDCUP!$DT$4:$DT$147,0))+INDEX(Horarios!$R$3:$R$86,MATCH(Horarios!$C$3,Horarios!$P$3:$P$86,0))/24)</f>
        <v>46187</v>
      </c>
      <c r="I16" s="54">
        <v>1</v>
      </c>
      <c r="J16" s="102" t="s">
        <v>117</v>
      </c>
      <c r="K16" s="62" t="str">
        <f ca="1">CONCATENATE(WORLDCUP!AA44,"-",WORLDCUP!AF44)</f>
        <v>Países Bajos-Japón</v>
      </c>
      <c r="L16" s="59"/>
      <c r="M16" s="61" t="str">
        <f>IF(OR(WORLDCUP!AC44="",WORLDCUP!AD44=""),"-",N16&amp;"|"&amp;O16&amp;"-"&amp;P16)</f>
        <v>X|2-2</v>
      </c>
      <c r="N16" s="25" t="str">
        <f>IF(OR(WORLDCUP!AC44="",WORLDCUP!AD44=""),"",IF(WORLDCUP!AC44&gt;WORLDCUP!AD44,"1",IF(WORLDCUP!AC44&lt;WORLDCUP!AD44,"2","X")))</f>
        <v>X</v>
      </c>
      <c r="O16" s="25">
        <f>WORLDCUP!AC44</f>
        <v>2</v>
      </c>
      <c r="P16" s="25">
        <f>WORLDCUP!AD44</f>
        <v>2</v>
      </c>
      <c r="Q16" s="25">
        <f t="shared" si="11"/>
        <v>0</v>
      </c>
      <c r="R16" s="55"/>
      <c r="S16" s="80"/>
      <c r="T16" s="79">
        <f t="shared" si="8"/>
        <v>0</v>
      </c>
      <c r="U16" s="71"/>
      <c r="V16" s="80"/>
      <c r="W16" s="79">
        <f t="shared" si="9"/>
        <v>0</v>
      </c>
      <c r="X16" s="71"/>
      <c r="Y16" s="80"/>
      <c r="Z16" s="79">
        <f t="shared" si="10"/>
        <v>0</v>
      </c>
      <c r="AA16" s="71"/>
      <c r="AB16" s="80"/>
      <c r="AC16" s="79">
        <f t="shared" si="10"/>
        <v>0</v>
      </c>
      <c r="AD16" s="71"/>
      <c r="AE16" s="80"/>
      <c r="AF16" s="79">
        <f t="shared" si="10"/>
        <v>0</v>
      </c>
      <c r="AG16" s="71"/>
      <c r="AH16" s="71"/>
    </row>
    <row r="17" spans="1:34">
      <c r="A17" s="55"/>
      <c r="B17" s="55"/>
      <c r="C17" s="446" t="str">
        <f>Idiomas!D313&amp;"**"</f>
        <v>DIECISEISAVOS - Diferencia/Distancia de goles (Con 1X2 acertado)**</v>
      </c>
      <c r="D17" s="50">
        <v>0</v>
      </c>
      <c r="E17" s="117"/>
      <c r="F17" s="453">
        <f t="shared" si="7"/>
        <v>0</v>
      </c>
      <c r="G17" s="453">
        <f ca="1">VLOOKUP(H17,Equipos!$Q$1:$R$25,2,0)</f>
        <v>4</v>
      </c>
      <c r="H17" s="454">
        <f ca="1">TRUNC(INDEX(WORLDCUP!$X$4:$X$147,MATCH(ADMIN!K17,WORLDCUP!$DT$4:$DT$147,0))+INDEX(Horarios!$R$3:$R$86,MATCH(Horarios!$C$3,Horarios!$P$3:$P$86,0))/24)</f>
        <v>46187</v>
      </c>
      <c r="I17" s="54">
        <v>1</v>
      </c>
      <c r="J17" s="102" t="s">
        <v>117</v>
      </c>
      <c r="K17" s="59" t="str">
        <f ca="1">CONCATENATE(WORLDCUP!AA45,"-",WORLDCUP!AF45)</f>
        <v>Suecia-Túnez</v>
      </c>
      <c r="L17" s="59"/>
      <c r="M17" s="61" t="str">
        <f>IF(OR(WORLDCUP!AC45="",WORLDCUP!AD45=""),"-",N17&amp;"|"&amp;O17&amp;"-"&amp;P17)</f>
        <v>1|3-0</v>
      </c>
      <c r="N17" s="25" t="str">
        <f>IF(OR(WORLDCUP!AC45="",WORLDCUP!AD45=""),"",IF(WORLDCUP!AC45&gt;WORLDCUP!AD45,"1",IF(WORLDCUP!AC45&lt;WORLDCUP!AD45,"2","X")))</f>
        <v>1</v>
      </c>
      <c r="O17" s="25">
        <f>WORLDCUP!AC45</f>
        <v>3</v>
      </c>
      <c r="P17" s="25">
        <f>WORLDCUP!AD45</f>
        <v>0</v>
      </c>
      <c r="Q17" s="25">
        <f t="shared" si="11"/>
        <v>3</v>
      </c>
      <c r="R17" s="55"/>
      <c r="S17" s="80"/>
      <c r="T17" s="79">
        <f t="shared" si="8"/>
        <v>0</v>
      </c>
      <c r="U17" s="71"/>
      <c r="V17" s="80"/>
      <c r="W17" s="79">
        <f t="shared" si="9"/>
        <v>0</v>
      </c>
      <c r="X17" s="71"/>
      <c r="Y17" s="80"/>
      <c r="Z17" s="79">
        <f t="shared" si="10"/>
        <v>0</v>
      </c>
      <c r="AA17" s="71"/>
      <c r="AB17" s="80"/>
      <c r="AC17" s="79">
        <f t="shared" si="10"/>
        <v>0</v>
      </c>
      <c r="AD17" s="71"/>
      <c r="AE17" s="80"/>
      <c r="AF17" s="79">
        <f t="shared" si="10"/>
        <v>0</v>
      </c>
      <c r="AG17" s="71"/>
      <c r="AH17" s="71"/>
    </row>
    <row r="18" spans="1:34">
      <c r="A18" s="55"/>
      <c r="B18" s="55"/>
      <c r="C18" s="445" t="str">
        <f>Idiomas!D314</f>
        <v>DIECISEISAVOS - Resultado exacto</v>
      </c>
      <c r="D18" s="68">
        <v>0</v>
      </c>
      <c r="E18" s="117"/>
      <c r="F18" s="453">
        <f t="shared" si="7"/>
        <v>0</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1|2-0</v>
      </c>
      <c r="N18" s="25" t="str">
        <f>IF(OR(WORLDCUP!AC52="",WORLDCUP!AD52=""),"",IF(WORLDCUP!AC52&gt;WORLDCUP!AD52,"1",IF(WORLDCUP!AC52&lt;WORLDCUP!AD52,"2","X")))</f>
        <v>1</v>
      </c>
      <c r="O18" s="25">
        <f>WORLDCUP!AC52</f>
        <v>2</v>
      </c>
      <c r="P18" s="25">
        <f>WORLDCUP!AD52</f>
        <v>0</v>
      </c>
      <c r="Q18" s="25">
        <f t="shared" si="11"/>
        <v>2</v>
      </c>
      <c r="R18" s="55"/>
      <c r="S18" s="80"/>
      <c r="T18" s="79">
        <f t="shared" si="8"/>
        <v>0</v>
      </c>
      <c r="U18" s="71"/>
      <c r="V18" s="80"/>
      <c r="W18" s="79">
        <f t="shared" si="9"/>
        <v>0</v>
      </c>
      <c r="X18" s="71"/>
      <c r="Y18" s="80"/>
      <c r="Z18" s="79">
        <f t="shared" si="10"/>
        <v>0</v>
      </c>
      <c r="AA18" s="71"/>
      <c r="AB18" s="80"/>
      <c r="AC18" s="79">
        <f t="shared" si="10"/>
        <v>0</v>
      </c>
      <c r="AD18" s="71"/>
      <c r="AE18" s="80"/>
      <c r="AF18" s="79">
        <f t="shared" si="10"/>
        <v>0</v>
      </c>
      <c r="AG18" s="71"/>
      <c r="AH18" s="71"/>
    </row>
    <row r="19" spans="1:34">
      <c r="A19" s="55"/>
      <c r="B19" s="55"/>
      <c r="C19" s="447" t="str">
        <f>Idiomas!D315</f>
        <v>Equipo clasificado para OCTAVOS</v>
      </c>
      <c r="D19" s="51">
        <v>0</v>
      </c>
      <c r="E19" s="117"/>
      <c r="F19" s="453">
        <f t="shared" si="7"/>
        <v>0</v>
      </c>
      <c r="G19" s="453">
        <f ca="1">VLOOKUP(H19,Equipos!$Q$1:$R$25,2,0)</f>
        <v>5</v>
      </c>
      <c r="H19" s="454">
        <f ca="1">TRUNC(INDEX(WORLDCUP!$X$4:$X$147,MATCH(ADMIN!K19,WORLDCUP!$DT$4:$DT$147,0))+INDEX(Horarios!$R$3:$R$86,MATCH(Horarios!$C$3,Horarios!$P$3:$P$86,0))/24)</f>
        <v>46188</v>
      </c>
      <c r="I19" s="54">
        <v>1</v>
      </c>
      <c r="J19" s="101" t="s">
        <v>510</v>
      </c>
      <c r="K19" s="59" t="str">
        <f ca="1">CONCATENATE(WORLDCUP!AA53,"-",WORLDCUP!AF53)</f>
        <v>Irán-Nueva Zelanda</v>
      </c>
      <c r="L19" s="59"/>
      <c r="M19" s="61" t="str">
        <f>IF(OR(WORLDCUP!AC53="",WORLDCUP!AD53=""),"-",N19&amp;"|"&amp;O19&amp;"-"&amp;P19)</f>
        <v>1|2-1</v>
      </c>
      <c r="N19" s="25" t="str">
        <f>IF(OR(WORLDCUP!AC53="",WORLDCUP!AD53=""),"",IF(WORLDCUP!AC53&gt;WORLDCUP!AD53,"1",IF(WORLDCUP!AC53&lt;WORLDCUP!AD53,"2","X")))</f>
        <v>1</v>
      </c>
      <c r="O19" s="25">
        <f>WORLDCUP!AC53</f>
        <v>2</v>
      </c>
      <c r="P19" s="25">
        <f>WORLDCUP!AD53</f>
        <v>1</v>
      </c>
      <c r="Q19" s="25">
        <f t="shared" si="11"/>
        <v>1</v>
      </c>
      <c r="R19" s="55"/>
      <c r="S19" s="80"/>
      <c r="T19" s="79">
        <f t="shared" si="8"/>
        <v>0</v>
      </c>
      <c r="U19" s="71"/>
      <c r="V19" s="80"/>
      <c r="W19" s="79">
        <f t="shared" si="9"/>
        <v>0</v>
      </c>
      <c r="X19" s="71"/>
      <c r="Y19" s="80"/>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c r="AC19" s="79">
        <f t="shared" si="12"/>
        <v>0</v>
      </c>
      <c r="AD19" s="71"/>
      <c r="AE19" s="80"/>
      <c r="AF19" s="79">
        <f t="shared" si="12"/>
        <v>0</v>
      </c>
      <c r="AG19" s="71"/>
      <c r="AH19" s="71"/>
    </row>
    <row r="20" spans="1:34">
      <c r="A20" s="55"/>
      <c r="B20" s="55"/>
      <c r="C20" s="445" t="str">
        <f>Idiomas!D316</f>
        <v>OCTAVOS - Signo 1X2  (local, empate, visitante)</v>
      </c>
      <c r="D20" s="68">
        <v>0</v>
      </c>
      <c r="E20" s="117"/>
      <c r="F20" s="453">
        <f t="shared" si="7"/>
        <v>0</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1|3-0</v>
      </c>
      <c r="N20" s="25" t="str">
        <f>IF(OR(WORLDCUP!AC60="",WORLDCUP!AD60=""),"",IF(WORLDCUP!AC60&gt;WORLDCUP!AD60,"1",IF(WORLDCUP!AC60&lt;WORLDCUP!AD60,"2","X")))</f>
        <v>1</v>
      </c>
      <c r="O20" s="25">
        <f>WORLDCUP!AC60</f>
        <v>3</v>
      </c>
      <c r="P20" s="25">
        <f>WORLDCUP!AD60</f>
        <v>0</v>
      </c>
      <c r="Q20" s="25">
        <f t="shared" si="11"/>
        <v>3</v>
      </c>
      <c r="R20" s="55"/>
      <c r="S20" s="80"/>
      <c r="T20" s="79">
        <f t="shared" si="8"/>
        <v>0</v>
      </c>
      <c r="U20" s="71"/>
      <c r="V20" s="80"/>
      <c r="W20" s="79">
        <f t="shared" si="9"/>
        <v>0</v>
      </c>
      <c r="X20" s="71"/>
      <c r="Y20" s="80"/>
      <c r="Z20" s="79">
        <f t="shared" si="12"/>
        <v>0</v>
      </c>
      <c r="AA20" s="71"/>
      <c r="AB20" s="80"/>
      <c r="AC20" s="79">
        <f t="shared" si="12"/>
        <v>0</v>
      </c>
      <c r="AD20" s="71"/>
      <c r="AE20" s="80"/>
      <c r="AF20" s="79">
        <f t="shared" si="12"/>
        <v>0</v>
      </c>
      <c r="AG20" s="71"/>
      <c r="AH20" s="71"/>
    </row>
    <row r="21" spans="1:34">
      <c r="A21" s="55"/>
      <c r="B21" s="55"/>
      <c r="C21" s="446" t="str">
        <f>Idiomas!D317&amp;"**"</f>
        <v>OCTAVOS -Diferencia/Distancia de goles (Con 1X2 acertado)**</v>
      </c>
      <c r="D21" s="50">
        <v>0</v>
      </c>
      <c r="E21" s="117"/>
      <c r="F21" s="453">
        <f t="shared" si="7"/>
        <v>0</v>
      </c>
      <c r="G21" s="453">
        <f ca="1">VLOOKUP(H21,Equipos!$Q$1:$R$25,2,0)</f>
        <v>5</v>
      </c>
      <c r="H21" s="454">
        <f ca="1">TRUNC(INDEX(WORLDCUP!$X$4:$X$147,MATCH(ADMIN!K21,WORLDCUP!$DT$4:$DT$147,0))+INDEX(Horarios!$R$3:$R$86,MATCH(Horarios!$C$3,Horarios!$P$3:$P$86,0))/24)</f>
        <v>46188</v>
      </c>
      <c r="I21" s="54">
        <v>1</v>
      </c>
      <c r="J21" s="102" t="s">
        <v>512</v>
      </c>
      <c r="K21" s="59" t="str">
        <f ca="1">CONCATENATE(WORLDCUP!AA61,"-",WORLDCUP!AF61)</f>
        <v>Arabia Saudita-Uruguay</v>
      </c>
      <c r="L21" s="59"/>
      <c r="M21" s="61" t="str">
        <f>IF(OR(WORLDCUP!AC61="",WORLDCUP!AD61=""),"-",N21&amp;"|"&amp;O21&amp;"-"&amp;P21)</f>
        <v>2|1-2</v>
      </c>
      <c r="N21" s="25" t="str">
        <f>IF(OR(WORLDCUP!AC61="",WORLDCUP!AD61=""),"",IF(WORLDCUP!AC61&gt;WORLDCUP!AD61,"1",IF(WORLDCUP!AC61&lt;WORLDCUP!AD61,"2","X")))</f>
        <v>2</v>
      </c>
      <c r="O21" s="25">
        <f>WORLDCUP!AC61</f>
        <v>1</v>
      </c>
      <c r="P21" s="25">
        <f>WORLDCUP!AD61</f>
        <v>2</v>
      </c>
      <c r="Q21" s="25">
        <f t="shared" si="11"/>
        <v>1</v>
      </c>
      <c r="R21" s="55"/>
      <c r="S21" s="80"/>
      <c r="T21" s="79">
        <f t="shared" si="8"/>
        <v>0</v>
      </c>
      <c r="U21" s="71"/>
      <c r="V21" s="80"/>
      <c r="W21" s="79">
        <f t="shared" si="9"/>
        <v>0</v>
      </c>
      <c r="X21" s="71"/>
      <c r="Y21" s="80"/>
      <c r="Z21" s="79">
        <f t="shared" si="12"/>
        <v>0</v>
      </c>
      <c r="AA21" s="71"/>
      <c r="AB21" s="80"/>
      <c r="AC21" s="79">
        <f t="shared" si="12"/>
        <v>0</v>
      </c>
      <c r="AD21" s="71"/>
      <c r="AE21" s="80"/>
      <c r="AF21" s="79">
        <f t="shared" si="12"/>
        <v>0</v>
      </c>
      <c r="AG21" s="71"/>
      <c r="AH21" s="71"/>
    </row>
    <row r="22" spans="1:34">
      <c r="A22" s="55"/>
      <c r="B22" s="55"/>
      <c r="C22" s="445" t="str">
        <f>Idiomas!D318</f>
        <v>OCTAVOS - Resultado exacto</v>
      </c>
      <c r="D22" s="68">
        <v>0</v>
      </c>
      <c r="E22" s="117"/>
      <c r="F22" s="453">
        <f t="shared" si="7"/>
        <v>0</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1|2-1</v>
      </c>
      <c r="N22" s="25" t="str">
        <f>IF(OR(WORLDCUP!AC68="",WORLDCUP!AD68=""),"",IF(WORLDCUP!AC68&gt;WORLDCUP!AD68,"1",IF(WORLDCUP!AC68&lt;WORLDCUP!AD68,"2","X")))</f>
        <v>1</v>
      </c>
      <c r="O22" s="25">
        <f>WORLDCUP!AC68</f>
        <v>2</v>
      </c>
      <c r="P22" s="25">
        <f>WORLDCUP!AD68</f>
        <v>1</v>
      </c>
      <c r="Q22" s="25">
        <f t="shared" si="11"/>
        <v>1</v>
      </c>
      <c r="R22" s="55"/>
      <c r="S22" s="80"/>
      <c r="T22" s="79">
        <f t="shared" si="8"/>
        <v>0</v>
      </c>
      <c r="U22" s="71"/>
      <c r="V22" s="80"/>
      <c r="W22" s="79">
        <f t="shared" si="9"/>
        <v>0</v>
      </c>
      <c r="X22" s="71"/>
      <c r="Y22" s="80"/>
      <c r="Z22" s="79">
        <f t="shared" si="12"/>
        <v>0</v>
      </c>
      <c r="AA22" s="71"/>
      <c r="AB22" s="80"/>
      <c r="AC22" s="79">
        <f t="shared" si="12"/>
        <v>0</v>
      </c>
      <c r="AD22" s="71"/>
      <c r="AE22" s="80"/>
      <c r="AF22" s="79">
        <f t="shared" si="12"/>
        <v>0</v>
      </c>
      <c r="AG22" s="71"/>
      <c r="AH22" s="71"/>
    </row>
    <row r="23" spans="1:34">
      <c r="A23" s="55"/>
      <c r="B23" s="55"/>
      <c r="C23" s="447" t="str">
        <f>Idiomas!D319</f>
        <v>Equipo clasificado para CUARTOS</v>
      </c>
      <c r="D23" s="51">
        <v>0</v>
      </c>
      <c r="E23" s="117"/>
      <c r="F23" s="453">
        <f t="shared" si="7"/>
        <v>0</v>
      </c>
      <c r="G23" s="453">
        <f ca="1">VLOOKUP(H23,Equipos!$Q$1:$R$25,2,0)</f>
        <v>6</v>
      </c>
      <c r="H23" s="454">
        <f ca="1">TRUNC(INDEX(WORLDCUP!$X$4:$X$147,MATCH(ADMIN!K23,WORLDCUP!$DT$4:$DT$147,0))+INDEX(Horarios!$R$3:$R$86,MATCH(Horarios!$C$3,Horarios!$P$3:$P$86,0))/24)</f>
        <v>46189</v>
      </c>
      <c r="I23" s="54">
        <v>1</v>
      </c>
      <c r="J23" s="101" t="s">
        <v>179</v>
      </c>
      <c r="K23" s="62" t="str">
        <f ca="1">CONCATENATE(WORLDCUP!AA69,"-",WORLDCUP!AF69)</f>
        <v>Irak-Noruega</v>
      </c>
      <c r="L23" s="59"/>
      <c r="M23" s="61" t="str">
        <f>IF(OR(WORLDCUP!AC69="",WORLDCUP!AD69=""),"-",N23&amp;"|"&amp;O23&amp;"-"&amp;P23)</f>
        <v>2|1-4</v>
      </c>
      <c r="N23" s="25" t="str">
        <f>IF(OR(WORLDCUP!AC69="",WORLDCUP!AD69=""),"",IF(WORLDCUP!AC69&gt;WORLDCUP!AD69,"1",IF(WORLDCUP!AC69&lt;WORLDCUP!AD69,"2","X")))</f>
        <v>2</v>
      </c>
      <c r="O23" s="25">
        <f>WORLDCUP!AC69</f>
        <v>1</v>
      </c>
      <c r="P23" s="25">
        <f>WORLDCUP!AD69</f>
        <v>4</v>
      </c>
      <c r="Q23" s="25">
        <f t="shared" si="11"/>
        <v>3</v>
      </c>
      <c r="R23" s="55"/>
      <c r="S23" s="80"/>
      <c r="T23" s="79">
        <f t="shared" si="8"/>
        <v>0</v>
      </c>
      <c r="U23" s="71"/>
      <c r="V23" s="80"/>
      <c r="W23" s="79">
        <f t="shared" si="9"/>
        <v>0</v>
      </c>
      <c r="X23" s="71"/>
      <c r="Y23" s="80"/>
      <c r="Z23" s="79">
        <f t="shared" si="12"/>
        <v>0</v>
      </c>
      <c r="AA23" s="71"/>
      <c r="AB23" s="80"/>
      <c r="AC23" s="79">
        <f t="shared" si="12"/>
        <v>0</v>
      </c>
      <c r="AD23" s="71"/>
      <c r="AE23" s="80"/>
      <c r="AF23" s="79">
        <f t="shared" si="12"/>
        <v>0</v>
      </c>
      <c r="AG23" s="71"/>
      <c r="AH23" s="71"/>
    </row>
    <row r="24" spans="1:34">
      <c r="A24" s="55"/>
      <c r="B24" s="55"/>
      <c r="C24" s="445" t="str">
        <f>Idiomas!D320</f>
        <v>CUARTOS - Signo 1X2  (local, empate, visitante)</v>
      </c>
      <c r="D24" s="68">
        <v>0</v>
      </c>
      <c r="E24" s="117"/>
      <c r="F24" s="453">
        <f t="shared" si="7"/>
        <v>0</v>
      </c>
      <c r="G24" s="453">
        <f ca="1">VLOOKUP(H24,Equipos!$Q$1:$R$25,2,0)</f>
        <v>6</v>
      </c>
      <c r="H24" s="454">
        <f ca="1">TRUNC(INDEX(WORLDCUP!$X$4:$X$147,MATCH(ADMIN!K24,WORLDCUP!$DT$4:$DT$147,0))+INDEX(Horarios!$R$3:$R$86,MATCH(Horarios!$C$3,Horarios!$P$3:$P$86,0))/24)</f>
        <v>46189</v>
      </c>
      <c r="I24" s="54">
        <v>1</v>
      </c>
      <c r="J24" s="102" t="s">
        <v>26</v>
      </c>
      <c r="K24" s="59" t="str">
        <f ca="1">CONCATENATE(WORLDCUP!AA76,"-",WORLDCUP!AF76)</f>
        <v>Argentina-Argelia</v>
      </c>
      <c r="L24" s="59"/>
      <c r="M24" s="61" t="str">
        <f>IF(OR(WORLDCUP!AC76="",WORLDCUP!AD76=""),"-",N24&amp;"|"&amp;O24&amp;"-"&amp;P24)</f>
        <v>1|2-0</v>
      </c>
      <c r="N24" s="25" t="str">
        <f>IF(OR(WORLDCUP!AC76="",WORLDCUP!AD76=""),"",IF(WORLDCUP!AC76&gt;WORLDCUP!AD76,"1",IF(WORLDCUP!AC76&lt;WORLDCUP!AD76,"2","X")))</f>
        <v>1</v>
      </c>
      <c r="O24" s="25">
        <f>WORLDCUP!AC76</f>
        <v>2</v>
      </c>
      <c r="P24" s="25">
        <f>WORLDCUP!AD76</f>
        <v>0</v>
      </c>
      <c r="Q24" s="25">
        <f t="shared" si="11"/>
        <v>2</v>
      </c>
      <c r="R24" s="55"/>
      <c r="S24" s="82"/>
      <c r="T24" s="83">
        <f t="shared" si="8"/>
        <v>0</v>
      </c>
      <c r="U24" s="71"/>
      <c r="V24" s="82"/>
      <c r="W24" s="83">
        <f t="shared" si="9"/>
        <v>0</v>
      </c>
      <c r="X24" s="71"/>
      <c r="Y24" s="82"/>
      <c r="Z24" s="83">
        <f t="shared" si="12"/>
        <v>0</v>
      </c>
      <c r="AA24" s="71"/>
      <c r="AB24" s="82"/>
      <c r="AC24" s="83">
        <f t="shared" si="12"/>
        <v>0</v>
      </c>
      <c r="AD24" s="71"/>
      <c r="AE24" s="82"/>
      <c r="AF24" s="83">
        <f t="shared" si="12"/>
        <v>0</v>
      </c>
      <c r="AG24" s="71"/>
      <c r="AH24" s="71"/>
    </row>
    <row r="25" spans="1:34">
      <c r="A25" s="55"/>
      <c r="B25" s="55"/>
      <c r="C25" s="446" t="str">
        <f>Idiomas!D321&amp;"**"</f>
        <v>CUARTOS -Diferencia/Distancia de goles (Con 1X2 acertado)**</v>
      </c>
      <c r="D25" s="50">
        <v>0</v>
      </c>
      <c r="E25" s="117"/>
      <c r="F25" s="453">
        <f t="shared" si="7"/>
        <v>0</v>
      </c>
      <c r="G25" s="453">
        <f ca="1">VLOOKUP(H25,Equipos!$Q$1:$R$25,2,0)</f>
        <v>6</v>
      </c>
      <c r="H25" s="454">
        <f ca="1">TRUNC(INDEX(WORLDCUP!$X$4:$X$147,MATCH(ADMIN!K25,WORLDCUP!$DT$4:$DT$147,0))+INDEX(Horarios!$R$3:$R$86,MATCH(Horarios!$C$3,Horarios!$P$3:$P$86,0))/24)</f>
        <v>46189</v>
      </c>
      <c r="I25" s="54">
        <v>1</v>
      </c>
      <c r="J25" s="102" t="s">
        <v>26</v>
      </c>
      <c r="K25" s="59" t="str">
        <f ca="1">CONCATENATE(WORLDCUP!AA77,"-",WORLDCUP!AF77)</f>
        <v>Austria-Jordania</v>
      </c>
      <c r="L25" s="59"/>
      <c r="M25" s="61" t="str">
        <f>IF(OR(WORLDCUP!AC77="",WORLDCUP!AD77=""),"-",N25&amp;"|"&amp;O25&amp;"-"&amp;P25)</f>
        <v>1|1-0</v>
      </c>
      <c r="N25" s="25" t="str">
        <f>IF(OR(WORLDCUP!AC77="",WORLDCUP!AD77=""),"",IF(WORLDCUP!AC77&gt;WORLDCUP!AD77,"1",IF(WORLDCUP!AC77&lt;WORLDCUP!AD77,"2","X")))</f>
        <v>1</v>
      </c>
      <c r="O25" s="25">
        <f>WORLDCUP!AC77</f>
        <v>1</v>
      </c>
      <c r="P25" s="25">
        <f>WORLDCUP!AD77</f>
        <v>0</v>
      </c>
      <c r="Q25" s="25">
        <f t="shared" si="11"/>
        <v>1</v>
      </c>
      <c r="R25" s="55"/>
      <c r="S25" s="80"/>
      <c r="T25" s="79">
        <f t="shared" si="8"/>
        <v>0</v>
      </c>
      <c r="U25" s="71"/>
      <c r="V25" s="80"/>
      <c r="W25" s="79">
        <f t="shared" si="9"/>
        <v>0</v>
      </c>
      <c r="X25" s="71"/>
      <c r="Y25" s="80"/>
      <c r="Z25" s="79">
        <f t="shared" si="12"/>
        <v>0</v>
      </c>
      <c r="AA25" s="71"/>
      <c r="AB25" s="80"/>
      <c r="AC25" s="79">
        <f t="shared" si="12"/>
        <v>0</v>
      </c>
      <c r="AD25" s="71"/>
      <c r="AE25" s="80"/>
      <c r="AF25" s="79">
        <f t="shared" si="12"/>
        <v>0</v>
      </c>
      <c r="AG25" s="71"/>
      <c r="AH25" s="71"/>
    </row>
    <row r="26" spans="1:34">
      <c r="A26" s="55"/>
      <c r="B26" s="55"/>
      <c r="C26" s="445" t="str">
        <f>Idiomas!D322</f>
        <v>CUARTOS - Resultado exacto</v>
      </c>
      <c r="D26" s="68">
        <v>0</v>
      </c>
      <c r="E26" s="117"/>
      <c r="F26" s="453">
        <f t="shared" si="7"/>
        <v>0</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1|2-0</v>
      </c>
      <c r="N26" s="25" t="str">
        <f>IF(OR(WORLDCUP!AC84="",WORLDCUP!AD84=""),"",IF(WORLDCUP!AC84&gt;WORLDCUP!AD84,"1",IF(WORLDCUP!AC84&lt;WORLDCUP!AD84,"2","X")))</f>
        <v>1</v>
      </c>
      <c r="O26" s="25">
        <f>WORLDCUP!AC84</f>
        <v>2</v>
      </c>
      <c r="P26" s="25">
        <f>WORLDCUP!AD84</f>
        <v>0</v>
      </c>
      <c r="Q26" s="25">
        <f t="shared" si="11"/>
        <v>2</v>
      </c>
      <c r="R26" s="55"/>
      <c r="S26" s="80"/>
      <c r="T26" s="79">
        <f t="shared" si="8"/>
        <v>0</v>
      </c>
      <c r="U26" s="71"/>
      <c r="V26" s="80"/>
      <c r="W26" s="79">
        <f t="shared" si="9"/>
        <v>0</v>
      </c>
      <c r="X26" s="71"/>
      <c r="Y26" s="80"/>
      <c r="Z26" s="79">
        <f t="shared" si="12"/>
        <v>0</v>
      </c>
      <c r="AA26" s="71"/>
      <c r="AB26" s="80"/>
      <c r="AC26" s="79">
        <f t="shared" si="12"/>
        <v>0</v>
      </c>
      <c r="AD26" s="71"/>
      <c r="AE26" s="80"/>
      <c r="AF26" s="79">
        <f t="shared" si="12"/>
        <v>0</v>
      </c>
      <c r="AG26" s="71"/>
      <c r="AH26" s="71"/>
    </row>
    <row r="27" spans="1:34">
      <c r="A27" s="55"/>
      <c r="B27" s="55"/>
      <c r="C27" s="447" t="str">
        <f>Idiomas!D323</f>
        <v>Equipo clasificado para SEMIFINALES</v>
      </c>
      <c r="D27" s="51">
        <v>0</v>
      </c>
      <c r="E27" s="117"/>
      <c r="F27" s="453">
        <f t="shared" si="7"/>
        <v>0</v>
      </c>
      <c r="G27" s="453">
        <f ca="1">VLOOKUP(H27,Equipos!$Q$1:$R$25,2,0)</f>
        <v>7</v>
      </c>
      <c r="H27" s="454">
        <f ca="1">TRUNC(INDEX(WORLDCUP!$X$4:$X$147,MATCH(ADMIN!K27,WORLDCUP!$DT$4:$DT$147,0))+INDEX(Horarios!$R$3:$R$86,MATCH(Horarios!$C$3,Horarios!$P$3:$P$86,0))/24)</f>
        <v>46190</v>
      </c>
      <c r="I27" s="54">
        <v>1</v>
      </c>
      <c r="J27" s="101" t="s">
        <v>515</v>
      </c>
      <c r="K27" s="59" t="str">
        <f ca="1">CONCATENATE(WORLDCUP!AA85,"-",WORLDCUP!AF85)</f>
        <v>Uzbekistán-Colombia</v>
      </c>
      <c r="L27" s="59"/>
      <c r="M27" s="59" t="str">
        <f>IF(OR(WORLDCUP!AC85="",WORLDCUP!AD85=""),"-",N27&amp;"|"&amp;O27&amp;"-"&amp;P27)</f>
        <v>2|0-3</v>
      </c>
      <c r="N27" s="25" t="str">
        <f>IF(OR(WORLDCUP!AC85="",WORLDCUP!AD85=""),"",IF(WORLDCUP!AC85&gt;WORLDCUP!AD85,"1",IF(WORLDCUP!AC85&lt;WORLDCUP!AD85,"2","X")))</f>
        <v>2</v>
      </c>
      <c r="O27" s="25">
        <f>WORLDCUP!AC85</f>
        <v>0</v>
      </c>
      <c r="P27" s="25">
        <f>WORLDCUP!AD85</f>
        <v>3</v>
      </c>
      <c r="Q27" s="25">
        <f t="shared" si="11"/>
        <v>3</v>
      </c>
      <c r="R27" s="55"/>
      <c r="S27" s="80"/>
      <c r="T27" s="79">
        <f t="shared" si="8"/>
        <v>0</v>
      </c>
      <c r="U27" s="71"/>
      <c r="V27" s="80"/>
      <c r="W27" s="79">
        <f t="shared" si="9"/>
        <v>0</v>
      </c>
      <c r="X27" s="71"/>
      <c r="Y27" s="80"/>
      <c r="Z27" s="79">
        <f t="shared" si="12"/>
        <v>0</v>
      </c>
      <c r="AA27" s="71"/>
      <c r="AB27" s="80"/>
      <c r="AC27" s="79">
        <f t="shared" si="12"/>
        <v>0</v>
      </c>
      <c r="AD27" s="71"/>
      <c r="AE27" s="80"/>
      <c r="AF27" s="79">
        <f t="shared" si="12"/>
        <v>0</v>
      </c>
      <c r="AG27" s="71"/>
      <c r="AH27" s="71"/>
    </row>
    <row r="28" spans="1:34">
      <c r="A28" s="55"/>
      <c r="B28" s="55"/>
      <c r="C28" s="445" t="str">
        <f>Idiomas!D324</f>
        <v>SEMIFINALES - Signo 1X2  (local, empate, visitante)</v>
      </c>
      <c r="D28" s="68">
        <v>0</v>
      </c>
      <c r="E28" s="117"/>
      <c r="F28" s="453">
        <f t="shared" si="7"/>
        <v>0</v>
      </c>
      <c r="G28" s="453">
        <f ca="1">VLOOKUP(H28,Equipos!$Q$1:$R$25,2,0)</f>
        <v>7</v>
      </c>
      <c r="H28" s="454">
        <f ca="1">TRUNC(INDEX(WORLDCUP!$X$4:$X$147,MATCH(ADMIN!K28,WORLDCUP!$DT$4:$DT$147,0))+INDEX(Horarios!$R$3:$R$86,MATCH(Horarios!$C$3,Horarios!$P$3:$P$86,0))/24)</f>
        <v>46190</v>
      </c>
      <c r="I28" s="54">
        <v>1</v>
      </c>
      <c r="J28" s="102" t="s">
        <v>1196</v>
      </c>
      <c r="K28" s="59" t="str">
        <f ca="1">CONCATENATE(WORLDCUP!AA92,"-",WORLDCUP!AF92)</f>
        <v>Inglaterra-Croacia</v>
      </c>
      <c r="L28" s="59"/>
      <c r="M28" s="61" t="str">
        <f>IF(OR(WORLDCUP!AC92="",WORLDCUP!AD92=""),"-",N28&amp;"|"&amp;O28&amp;"-"&amp;P28)</f>
        <v>X|2-2</v>
      </c>
      <c r="N28" s="25" t="str">
        <f>IF(OR(WORLDCUP!AC92="",WORLDCUP!AD92=""),"",IF(WORLDCUP!AC92&gt;WORLDCUP!AD92,"1",IF(WORLDCUP!AC92&lt;WORLDCUP!AD92,"2","X")))</f>
        <v>X</v>
      </c>
      <c r="O28" s="25">
        <f>WORLDCUP!AC92</f>
        <v>2</v>
      </c>
      <c r="P28" s="25">
        <f>WORLDCUP!AD92</f>
        <v>2</v>
      </c>
      <c r="Q28" s="25">
        <f t="shared" si="11"/>
        <v>0</v>
      </c>
      <c r="R28" s="55"/>
      <c r="S28" s="80"/>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c r="W28" s="79">
        <f t="shared" si="9"/>
        <v>0</v>
      </c>
      <c r="X28" s="71"/>
      <c r="Y28" s="80"/>
      <c r="Z28" s="79">
        <f t="shared" si="12"/>
        <v>0</v>
      </c>
      <c r="AA28" s="71"/>
      <c r="AB28" s="80"/>
      <c r="AC28" s="79">
        <f t="shared" si="12"/>
        <v>0</v>
      </c>
      <c r="AD28" s="71"/>
      <c r="AE28" s="80"/>
      <c r="AF28" s="79">
        <f t="shared" si="12"/>
        <v>0</v>
      </c>
      <c r="AG28" s="71"/>
      <c r="AH28" s="71"/>
    </row>
    <row r="29" spans="1:34">
      <c r="A29" s="55"/>
      <c r="B29" s="55"/>
      <c r="C29" s="446" t="str">
        <f>Idiomas!D325&amp;"**"</f>
        <v>SEMIFINALES -Diferencia/Distancia de goles (Con 1X2 acertado)**</v>
      </c>
      <c r="D29" s="50">
        <v>0</v>
      </c>
      <c r="E29" s="117"/>
      <c r="F29" s="453">
        <f t="shared" si="7"/>
        <v>0</v>
      </c>
      <c r="G29" s="453">
        <f ca="1">VLOOKUP(H29,Equipos!$Q$1:$R$25,2,0)</f>
        <v>7</v>
      </c>
      <c r="H29" s="454">
        <f ca="1">TRUNC(INDEX(WORLDCUP!$X$4:$X$147,MATCH(ADMIN!K29,WORLDCUP!$DT$4:$DT$147,0))+INDEX(Horarios!$R$3:$R$86,MATCH(Horarios!$C$3,Horarios!$P$3:$P$86,0))/24)</f>
        <v>46190</v>
      </c>
      <c r="I29" s="54">
        <v>1</v>
      </c>
      <c r="J29" s="102" t="s">
        <v>1196</v>
      </c>
      <c r="K29" s="63" t="str">
        <f ca="1">CONCATENATE(WORLDCUP!AA93,"-",WORLDCUP!AF93)</f>
        <v>Ghana-Panamá</v>
      </c>
      <c r="L29" s="64"/>
      <c r="M29" s="65" t="str">
        <f>IF(OR(WORLDCUP!AC93="",WORLDCUP!AD93=""),"-",N29&amp;"|"&amp;O29&amp;"-"&amp;P29)</f>
        <v>1|3-1</v>
      </c>
      <c r="N29" s="25" t="str">
        <f>IF(OR(WORLDCUP!AC93="",WORLDCUP!AD93=""),"",IF(WORLDCUP!AC93&gt;WORLDCUP!AD93,"1",IF(WORLDCUP!AC93&lt;WORLDCUP!AD93,"2","X")))</f>
        <v>1</v>
      </c>
      <c r="O29" s="25">
        <f>WORLDCUP!AC93</f>
        <v>3</v>
      </c>
      <c r="P29" s="25">
        <f>WORLDCUP!AD93</f>
        <v>1</v>
      </c>
      <c r="Q29" s="25">
        <f t="shared" si="11"/>
        <v>2</v>
      </c>
      <c r="R29" s="55"/>
      <c r="S29" s="84"/>
      <c r="T29" s="85">
        <f t="shared" si="13"/>
        <v>0</v>
      </c>
      <c r="U29" s="71"/>
      <c r="V29" s="84"/>
      <c r="W29" s="85">
        <f t="shared" si="9"/>
        <v>0</v>
      </c>
      <c r="X29" s="71"/>
      <c r="Y29" s="84"/>
      <c r="Z29" s="85">
        <f t="shared" si="12"/>
        <v>0</v>
      </c>
      <c r="AA29" s="71"/>
      <c r="AB29" s="84"/>
      <c r="AC29" s="85">
        <f t="shared" si="12"/>
        <v>0</v>
      </c>
      <c r="AD29" s="71"/>
      <c r="AE29" s="84"/>
      <c r="AF29" s="85">
        <f t="shared" si="12"/>
        <v>0</v>
      </c>
      <c r="AG29" s="71"/>
      <c r="AH29" s="71"/>
    </row>
    <row r="30" spans="1:34">
      <c r="A30" s="55"/>
      <c r="B30" s="55"/>
      <c r="C30" s="445" t="str">
        <f>Idiomas!D326</f>
        <v>SEMIFINALES - Resultado exacto</v>
      </c>
      <c r="D30" s="68">
        <v>0</v>
      </c>
      <c r="E30" s="117"/>
      <c r="F30" s="453">
        <f t="shared" si="7"/>
        <v>0</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1|2-0</v>
      </c>
      <c r="N30" s="25" t="str">
        <f>IF(OR(WORLDCUP!AC6="",WORLDCUP!AD6=""),"",IF(WORLDCUP!AC6&gt;WORLDCUP!AD6,"1",IF(WORLDCUP!AC6&lt;WORLDCUP!AD6,"2","X")))</f>
        <v>1</v>
      </c>
      <c r="O30" s="25">
        <f>WORLDCUP!AC6</f>
        <v>2</v>
      </c>
      <c r="P30" s="25">
        <f>WORLDCUP!AD6</f>
        <v>0</v>
      </c>
      <c r="Q30" s="25">
        <f t="shared" si="11"/>
        <v>2</v>
      </c>
      <c r="R30" s="55"/>
      <c r="S30" s="82" t="str">
        <f>Idiomas!$D$365</f>
        <v>Pegar Valores (J2)</v>
      </c>
      <c r="T30" s="83">
        <f t="shared" si="13"/>
        <v>0</v>
      </c>
      <c r="U30" s="71"/>
      <c r="V30" s="82" t="str">
        <f>Idiomas!$D$365</f>
        <v>Pegar Valores (J2)</v>
      </c>
      <c r="W30" s="83">
        <f t="shared" si="9"/>
        <v>0</v>
      </c>
      <c r="X30" s="71"/>
      <c r="Y30" s="82" t="str">
        <f>Idiomas!$D$365</f>
        <v>Pegar Valores (J2)</v>
      </c>
      <c r="Z30" s="83">
        <f t="shared" si="12"/>
        <v>0</v>
      </c>
      <c r="AA30" s="71"/>
      <c r="AB30" s="82" t="str">
        <f>Idiomas!$D$365</f>
        <v>Pegar Valores (J2)</v>
      </c>
      <c r="AC30" s="83">
        <f t="shared" si="12"/>
        <v>0</v>
      </c>
      <c r="AD30" s="71"/>
      <c r="AE30" s="82" t="str">
        <f>Idiomas!$D$365</f>
        <v>Pegar Valores (J2)</v>
      </c>
      <c r="AF30" s="83">
        <f t="shared" si="12"/>
        <v>0</v>
      </c>
      <c r="AG30" s="71"/>
      <c r="AH30" s="71"/>
    </row>
    <row r="31" spans="1:34">
      <c r="A31" s="55"/>
      <c r="B31" s="55"/>
      <c r="C31" s="446" t="str">
        <f>Idiomas!D327</f>
        <v>Equipo clasificado para 3º y 4º puesto</v>
      </c>
      <c r="D31" s="50">
        <v>0</v>
      </c>
      <c r="E31" s="117"/>
      <c r="F31" s="453">
        <f t="shared" si="7"/>
        <v>0</v>
      </c>
      <c r="G31" s="453">
        <f ca="1">VLOOKUP(H31,Equipos!$Q$1:$R$25,2,0)</f>
        <v>8</v>
      </c>
      <c r="H31" s="454">
        <f ca="1">TRUNC(INDEX(WORLDCUP!$X$4:$X$147,MATCH(ADMIN!K31,WORLDCUP!$DT$4:$DT$147,0))+INDEX(Horarios!$R$3:$R$86,MATCH(Horarios!$C$3,Horarios!$P$3:$P$86,0))/24)</f>
        <v>46191</v>
      </c>
      <c r="I31" s="54">
        <v>1</v>
      </c>
      <c r="J31" s="101" t="s">
        <v>118</v>
      </c>
      <c r="K31" s="62" t="str">
        <f ca="1">CONCATENATE(WORLDCUP!AA7,"-",WORLDCUP!AF7)</f>
        <v>México-Corea del Sur</v>
      </c>
      <c r="L31" s="59"/>
      <c r="M31" s="61" t="str">
        <f>IF(OR(WORLDCUP!AC7="",WORLDCUP!AD7=""),"-",N31&amp;"|"&amp;O31&amp;"-"&amp;P31)</f>
        <v>X|1-1</v>
      </c>
      <c r="N31" s="25" t="str">
        <f>IF(OR(WORLDCUP!AC7="",WORLDCUP!AD7=""),"",IF(WORLDCUP!AC7&gt;WORLDCUP!AD7,"1",IF(WORLDCUP!AC7&lt;WORLDCUP!AD7,"2","X")))</f>
        <v>X</v>
      </c>
      <c r="O31" s="25">
        <f>WORLDCUP!AC7</f>
        <v>1</v>
      </c>
      <c r="P31" s="25">
        <f>WORLDCUP!AD7</f>
        <v>1</v>
      </c>
      <c r="Q31" s="25">
        <f t="shared" si="11"/>
        <v>0</v>
      </c>
      <c r="R31" s="55"/>
      <c r="S31" s="80"/>
      <c r="T31" s="79">
        <f t="shared" si="13"/>
        <v>0</v>
      </c>
      <c r="U31" s="71"/>
      <c r="V31" s="80"/>
      <c r="W31" s="79">
        <f t="shared" si="9"/>
        <v>0</v>
      </c>
      <c r="X31" s="71"/>
      <c r="Y31" s="80"/>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c r="AC31" s="79">
        <f t="shared" si="14"/>
        <v>0</v>
      </c>
      <c r="AD31" s="71"/>
      <c r="AE31" s="80"/>
      <c r="AF31" s="79">
        <f t="shared" si="14"/>
        <v>0</v>
      </c>
      <c r="AG31" s="71"/>
      <c r="AH31" s="71"/>
    </row>
    <row r="32" spans="1:34">
      <c r="A32" s="55"/>
      <c r="B32" s="55"/>
      <c r="C32" s="448" t="str">
        <f>Idiomas!D328</f>
        <v>Equipo clasificado para FINAL</v>
      </c>
      <c r="D32" s="69">
        <v>0</v>
      </c>
      <c r="E32" s="117"/>
      <c r="F32" s="453">
        <f t="shared" si="7"/>
        <v>0</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X|2-2</v>
      </c>
      <c r="N32" s="25" t="str">
        <f>IF(OR(WORLDCUP!AC14="",WORLDCUP!AD14=""),"",IF(WORLDCUP!AC14&gt;WORLDCUP!AD14,"1",IF(WORLDCUP!AC14&lt;WORLDCUP!AD14,"2","X")))</f>
        <v>X</v>
      </c>
      <c r="O32" s="25">
        <f>WORLDCUP!AC14</f>
        <v>2</v>
      </c>
      <c r="P32" s="25">
        <f>WORLDCUP!AD14</f>
        <v>2</v>
      </c>
      <c r="Q32" s="25">
        <f t="shared" si="11"/>
        <v>0</v>
      </c>
      <c r="R32" s="55"/>
      <c r="S32" s="80"/>
      <c r="T32" s="79">
        <f t="shared" si="13"/>
        <v>0</v>
      </c>
      <c r="U32" s="71"/>
      <c r="V32" s="80"/>
      <c r="W32" s="79">
        <f t="shared" si="9"/>
        <v>0</v>
      </c>
      <c r="X32" s="71"/>
      <c r="Y32" s="80"/>
      <c r="Z32" s="79">
        <f t="shared" si="14"/>
        <v>0</v>
      </c>
      <c r="AA32" s="71"/>
      <c r="AB32" s="80"/>
      <c r="AC32" s="79">
        <f t="shared" si="14"/>
        <v>0</v>
      </c>
      <c r="AD32" s="71"/>
      <c r="AE32" s="80"/>
      <c r="AF32" s="79">
        <f t="shared" si="14"/>
        <v>0</v>
      </c>
      <c r="AG32" s="71"/>
      <c r="AH32" s="71"/>
    </row>
    <row r="33" spans="1:34">
      <c r="A33" s="55"/>
      <c r="B33" s="55"/>
      <c r="C33" s="446" t="str">
        <f>Idiomas!D329</f>
        <v>3ºy4º PUESTO - Signo 1X2  (local, empate, visitante)</v>
      </c>
      <c r="D33" s="50">
        <v>0</v>
      </c>
      <c r="E33" s="117"/>
      <c r="F33" s="453">
        <f t="shared" si="7"/>
        <v>0</v>
      </c>
      <c r="G33" s="453">
        <f ca="1">VLOOKUP(H33,Equipos!$Q$1:$R$25,2,0)</f>
        <v>8</v>
      </c>
      <c r="H33" s="454">
        <f ca="1">TRUNC(INDEX(WORLDCUP!$X$4:$X$147,MATCH(ADMIN!K33,WORLDCUP!$DT$4:$DT$147,0))+INDEX(Horarios!$R$3:$R$86,MATCH(Horarios!$C$3,Horarios!$P$3:$P$86,0))/24)</f>
        <v>46191</v>
      </c>
      <c r="I33" s="54">
        <v>1</v>
      </c>
      <c r="J33" s="102" t="s">
        <v>119</v>
      </c>
      <c r="K33" s="62" t="str">
        <f ca="1">CONCATENATE(WORLDCUP!AA15,"-",WORLDCUP!AF15)</f>
        <v>Canadá-Catar</v>
      </c>
      <c r="L33" s="59"/>
      <c r="M33" s="61" t="str">
        <f>IF(OR(WORLDCUP!AC15="",WORLDCUP!AD15=""),"-",N33&amp;"|"&amp;O33&amp;"-"&amp;P33)</f>
        <v>X|1-1</v>
      </c>
      <c r="N33" s="25" t="str">
        <f>IF(OR(WORLDCUP!AC15="",WORLDCUP!AD15=""),"",IF(WORLDCUP!AC15&gt;WORLDCUP!AD15,"1",IF(WORLDCUP!AC15&lt;WORLDCUP!AD15,"2","X")))</f>
        <v>X</v>
      </c>
      <c r="O33" s="25">
        <f>WORLDCUP!AC15</f>
        <v>1</v>
      </c>
      <c r="P33" s="25">
        <f>WORLDCUP!AD15</f>
        <v>1</v>
      </c>
      <c r="Q33" s="25">
        <f t="shared" si="11"/>
        <v>0</v>
      </c>
      <c r="R33" s="55"/>
      <c r="S33" s="80"/>
      <c r="T33" s="79">
        <f t="shared" si="13"/>
        <v>0</v>
      </c>
      <c r="U33" s="71"/>
      <c r="V33" s="80"/>
      <c r="W33" s="79">
        <f t="shared" si="9"/>
        <v>0</v>
      </c>
      <c r="X33" s="71"/>
      <c r="Y33" s="80"/>
      <c r="Z33" s="79">
        <f t="shared" si="14"/>
        <v>0</v>
      </c>
      <c r="AA33" s="71"/>
      <c r="AB33" s="80"/>
      <c r="AC33" s="79">
        <f t="shared" si="14"/>
        <v>0</v>
      </c>
      <c r="AD33" s="71"/>
      <c r="AE33" s="80"/>
      <c r="AF33" s="79">
        <f t="shared" si="14"/>
        <v>0</v>
      </c>
      <c r="AG33" s="71"/>
      <c r="AH33" s="71"/>
    </row>
    <row r="34" spans="1:34">
      <c r="A34" s="55"/>
      <c r="B34" s="55"/>
      <c r="C34" s="445" t="str">
        <f>Idiomas!D330&amp;"**"</f>
        <v>3ºy4º PUESTO - Diferencia/Distancia de goles (Con 1X2 acertado)**</v>
      </c>
      <c r="D34" s="68">
        <v>0</v>
      </c>
      <c r="E34" s="117"/>
      <c r="F34" s="453">
        <f t="shared" si="7"/>
        <v>0</v>
      </c>
      <c r="G34" s="453">
        <f ca="1">VLOOKUP(H34,Equipos!$Q$1:$R$25,2,0)</f>
        <v>9</v>
      </c>
      <c r="H34" s="454">
        <f ca="1">TRUNC(INDEX(WORLDCUP!$X$4:$X$147,MATCH(ADMIN!K34,WORLDCUP!$DT$4:$DT$147,0))+INDEX(Horarios!$R$3:$R$86,MATCH(Horarios!$C$3,Horarios!$P$3:$P$86,0))/24)</f>
        <v>46192</v>
      </c>
      <c r="I34" s="54">
        <v>1</v>
      </c>
      <c r="J34" s="101" t="s">
        <v>120</v>
      </c>
      <c r="K34" s="59" t="str">
        <f ca="1">CONCATENATE(WORLDCUP!AA22,"-",WORLDCUP!AF22)</f>
        <v>Escocia-Marruecos</v>
      </c>
      <c r="L34" s="59"/>
      <c r="M34" s="61" t="str">
        <f>IF(OR(WORLDCUP!AC22="",WORLDCUP!AD22=""),"-",N34&amp;"|"&amp;O34&amp;"-"&amp;P34)</f>
        <v>1|2-1</v>
      </c>
      <c r="N34" s="25" t="str">
        <f>IF(OR(WORLDCUP!AC22="",WORLDCUP!AD22=""),"",IF(WORLDCUP!AC22&gt;WORLDCUP!AD22,"1",IF(WORLDCUP!AC22&lt;WORLDCUP!AD22,"2","X")))</f>
        <v>1</v>
      </c>
      <c r="O34" s="25">
        <f>WORLDCUP!AC22</f>
        <v>2</v>
      </c>
      <c r="P34" s="25">
        <f>WORLDCUP!AD22</f>
        <v>1</v>
      </c>
      <c r="Q34" s="25">
        <f t="shared" si="11"/>
        <v>1</v>
      </c>
      <c r="R34" s="55"/>
      <c r="S34" s="80"/>
      <c r="T34" s="79">
        <f t="shared" si="13"/>
        <v>0</v>
      </c>
      <c r="U34" s="71"/>
      <c r="V34" s="80"/>
      <c r="W34" s="79">
        <f t="shared" si="9"/>
        <v>0</v>
      </c>
      <c r="X34" s="71"/>
      <c r="Y34" s="80"/>
      <c r="Z34" s="79">
        <f t="shared" si="14"/>
        <v>0</v>
      </c>
      <c r="AA34" s="71"/>
      <c r="AB34" s="80"/>
      <c r="AC34" s="79">
        <f t="shared" si="14"/>
        <v>0</v>
      </c>
      <c r="AD34" s="71"/>
      <c r="AE34" s="80"/>
      <c r="AF34" s="79">
        <f t="shared" si="14"/>
        <v>0</v>
      </c>
      <c r="AG34" s="71"/>
      <c r="AH34" s="71"/>
    </row>
    <row r="35" spans="1:34">
      <c r="A35" s="55"/>
      <c r="B35" s="55"/>
      <c r="C35" s="447" t="str">
        <f>Idiomas!D331</f>
        <v>3ºy4º PUESTO - Resultado exacto</v>
      </c>
      <c r="D35" s="51">
        <v>0</v>
      </c>
      <c r="E35" s="117"/>
      <c r="F35" s="453">
        <f t="shared" si="7"/>
        <v>0</v>
      </c>
      <c r="G35" s="453">
        <f ca="1">VLOOKUP(H35,Equipos!$Q$1:$R$25,2,0)</f>
        <v>9</v>
      </c>
      <c r="H35" s="454">
        <f ca="1">TRUNC(INDEX(WORLDCUP!$X$4:$X$147,MATCH(ADMIN!K35,WORLDCUP!$DT$4:$DT$147,0))+INDEX(Horarios!$R$3:$R$86,MATCH(Horarios!$C$3,Horarios!$P$3:$P$86,0))/24)</f>
        <v>46192</v>
      </c>
      <c r="I35" s="54">
        <v>1</v>
      </c>
      <c r="J35" s="101" t="s">
        <v>120</v>
      </c>
      <c r="K35" s="62" t="str">
        <f ca="1">CONCATENATE(WORLDCUP!AA23,"-",WORLDCUP!AF23)</f>
        <v>Brasil-Haití</v>
      </c>
      <c r="L35" s="59"/>
      <c r="M35" s="61" t="str">
        <f>IF(OR(WORLDCUP!AC23="",WORLDCUP!AD23=""),"-",N35&amp;"|"&amp;O35&amp;"-"&amp;P35)</f>
        <v>1|5-0</v>
      </c>
      <c r="N35" s="25" t="str">
        <f>IF(OR(WORLDCUP!AC23="",WORLDCUP!AD23=""),"",IF(WORLDCUP!AC23&gt;WORLDCUP!AD23,"1",IF(WORLDCUP!AC23&lt;WORLDCUP!AD23,"2","X")))</f>
        <v>1</v>
      </c>
      <c r="O35" s="25">
        <f>WORLDCUP!AC23</f>
        <v>5</v>
      </c>
      <c r="P35" s="25">
        <f>WORLDCUP!AD23</f>
        <v>0</v>
      </c>
      <c r="Q35" s="25">
        <f t="shared" si="11"/>
        <v>5</v>
      </c>
      <c r="R35" s="55"/>
      <c r="S35" s="80"/>
      <c r="T35" s="79">
        <f t="shared" si="13"/>
        <v>0</v>
      </c>
      <c r="U35" s="71"/>
      <c r="V35" s="80"/>
      <c r="W35" s="79">
        <f t="shared" si="9"/>
        <v>0</v>
      </c>
      <c r="X35" s="71"/>
      <c r="Y35" s="80"/>
      <c r="Z35" s="79">
        <f t="shared" si="14"/>
        <v>0</v>
      </c>
      <c r="AA35" s="71"/>
      <c r="AB35" s="80"/>
      <c r="AC35" s="79">
        <f t="shared" si="14"/>
        <v>0</v>
      </c>
      <c r="AD35" s="71"/>
      <c r="AE35" s="80"/>
      <c r="AF35" s="79">
        <f t="shared" si="14"/>
        <v>0</v>
      </c>
      <c r="AG35" s="71"/>
      <c r="AH35" s="71"/>
    </row>
    <row r="36" spans="1:34">
      <c r="A36" s="55"/>
      <c r="B36" s="55"/>
      <c r="C36" s="445" t="str">
        <f>Idiomas!D332</f>
        <v>FINAL - Signo 1X2  (local, empate, visitante)</v>
      </c>
      <c r="D36" s="68">
        <v>0</v>
      </c>
      <c r="E36" s="117"/>
      <c r="F36" s="453">
        <f t="shared" si="7"/>
        <v>0</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1|1-0</v>
      </c>
      <c r="N36" s="25" t="str">
        <f>IF(OR(WORLDCUP!AC30="",WORLDCUP!AD30=""),"",IF(WORLDCUP!AC30&gt;WORLDCUP!AD30,"1",IF(WORLDCUP!AC30&lt;WORLDCUP!AD30,"2","X")))</f>
        <v>1</v>
      </c>
      <c r="O36" s="25">
        <f>WORLDCUP!AC30</f>
        <v>1</v>
      </c>
      <c r="P36" s="25">
        <f>WORLDCUP!AD30</f>
        <v>0</v>
      </c>
      <c r="Q36" s="25">
        <f t="shared" si="11"/>
        <v>1</v>
      </c>
      <c r="R36" s="55"/>
      <c r="S36" s="80"/>
      <c r="T36" s="79">
        <f t="shared" si="13"/>
        <v>0</v>
      </c>
      <c r="U36" s="71"/>
      <c r="V36" s="80"/>
      <c r="W36" s="79">
        <f t="shared" si="9"/>
        <v>0</v>
      </c>
      <c r="X36" s="71"/>
      <c r="Y36" s="80"/>
      <c r="Z36" s="79">
        <f t="shared" si="14"/>
        <v>0</v>
      </c>
      <c r="AA36" s="71"/>
      <c r="AB36" s="80"/>
      <c r="AC36" s="79">
        <f t="shared" si="14"/>
        <v>0</v>
      </c>
      <c r="AD36" s="71"/>
      <c r="AE36" s="80"/>
      <c r="AF36" s="79">
        <f t="shared" si="14"/>
        <v>0</v>
      </c>
      <c r="AG36" s="71"/>
      <c r="AH36" s="71"/>
    </row>
    <row r="37" spans="1:34">
      <c r="A37" s="55"/>
      <c r="B37" s="55"/>
      <c r="C37" s="446" t="str">
        <f>Idiomas!D333&amp;"**"</f>
        <v>FINAL - Diferencia/Distancia de goles (Con 1X2 acertado)**</v>
      </c>
      <c r="D37" s="50">
        <v>0</v>
      </c>
      <c r="E37" s="117"/>
      <c r="F37" s="453">
        <f t="shared" si="7"/>
        <v>0</v>
      </c>
      <c r="G37" s="453">
        <f ca="1">VLOOKUP(H37,Equipos!$Q$1:$R$25,2,0)</f>
        <v>9</v>
      </c>
      <c r="H37" s="454">
        <f ca="1">TRUNC(INDEX(WORLDCUP!$X$4:$X$147,MATCH(ADMIN!K37,WORLDCUP!$DT$4:$DT$147,0))+INDEX(Horarios!$R$3:$R$86,MATCH(Horarios!$C$3,Horarios!$P$3:$P$86,0))/24)</f>
        <v>46192</v>
      </c>
      <c r="I37" s="54">
        <v>1</v>
      </c>
      <c r="J37" s="102" t="s">
        <v>121</v>
      </c>
      <c r="K37" s="62" t="str">
        <f ca="1">CONCATENATE(WORLDCUP!AA31,"-",WORLDCUP!AF31)</f>
        <v>Turquía-Paraguay</v>
      </c>
      <c r="L37" s="59"/>
      <c r="M37" s="61" t="str">
        <f>IF(OR(WORLDCUP!AC31="",WORLDCUP!AD31=""),"-",N37&amp;"|"&amp;O37&amp;"-"&amp;P37)</f>
        <v>1|3-1</v>
      </c>
      <c r="N37" s="25" t="str">
        <f>IF(OR(WORLDCUP!AC31="",WORLDCUP!AD31=""),"",IF(WORLDCUP!AC31&gt;WORLDCUP!AD31,"1",IF(WORLDCUP!AC31&lt;WORLDCUP!AD31,"2","X")))</f>
        <v>1</v>
      </c>
      <c r="O37" s="25">
        <f>WORLDCUP!AC31</f>
        <v>3</v>
      </c>
      <c r="P37" s="25">
        <f>WORLDCUP!AD31</f>
        <v>1</v>
      </c>
      <c r="Q37" s="25">
        <f t="shared" si="11"/>
        <v>2</v>
      </c>
      <c r="R37" s="55"/>
      <c r="S37" s="80"/>
      <c r="T37" s="79">
        <f t="shared" si="8"/>
        <v>0</v>
      </c>
      <c r="U37" s="71"/>
      <c r="V37" s="80"/>
      <c r="W37" s="79">
        <f t="shared" si="9"/>
        <v>0</v>
      </c>
      <c r="X37" s="71"/>
      <c r="Y37" s="80"/>
      <c r="Z37" s="79">
        <f t="shared" si="14"/>
        <v>0</v>
      </c>
      <c r="AA37" s="71"/>
      <c r="AB37" s="80"/>
      <c r="AC37" s="79">
        <f t="shared" si="14"/>
        <v>0</v>
      </c>
      <c r="AD37" s="71"/>
      <c r="AE37" s="80"/>
      <c r="AF37" s="79">
        <f t="shared" si="14"/>
        <v>0</v>
      </c>
      <c r="AG37" s="71"/>
      <c r="AH37" s="71"/>
    </row>
    <row r="38" spans="1:34">
      <c r="A38" s="55"/>
      <c r="B38" s="55"/>
      <c r="C38" s="448" t="str">
        <f>Idiomas!D334</f>
        <v>FINAL - Resultado exacto</v>
      </c>
      <c r="D38" s="69">
        <v>0</v>
      </c>
      <c r="E38" s="117"/>
      <c r="F38" s="453">
        <f t="shared" si="7"/>
        <v>0</v>
      </c>
      <c r="G38" s="453">
        <f ca="1">VLOOKUP(H38,Equipos!$Q$1:$R$25,2,0)</f>
        <v>10</v>
      </c>
      <c r="H38" s="454">
        <f ca="1">TRUNC(INDEX(WORLDCUP!$X$4:$X$147,MATCH(ADMIN!K38,WORLDCUP!$DT$4:$DT$147,0))+INDEX(Horarios!$R$3:$R$86,MATCH(Horarios!$C$3,Horarios!$P$3:$P$86,0))/24)</f>
        <v>46193</v>
      </c>
      <c r="I38" s="54">
        <v>1</v>
      </c>
      <c r="J38" s="101" t="s">
        <v>122</v>
      </c>
      <c r="K38" s="59" t="str">
        <f ca="1">CONCATENATE(WORLDCUP!AA38,"-",WORLDCUP!AF38)</f>
        <v>Alemania-Costa de Marfil</v>
      </c>
      <c r="L38" s="59"/>
      <c r="M38" s="61" t="str">
        <f>IF(OR(WORLDCUP!AC38="",WORLDCUP!AD38=""),"-",N38&amp;"|"&amp;O38&amp;"-"&amp;P38)</f>
        <v>X|2-2</v>
      </c>
      <c r="N38" s="25" t="str">
        <f>IF(OR(WORLDCUP!AC38="",WORLDCUP!AD38=""),"",IF(WORLDCUP!AC38&gt;WORLDCUP!AD38,"1",IF(WORLDCUP!AC38&lt;WORLDCUP!AD38,"2","X")))</f>
        <v>X</v>
      </c>
      <c r="O38" s="25">
        <f>WORLDCUP!AC38</f>
        <v>2</v>
      </c>
      <c r="P38" s="25">
        <f>WORLDCUP!AD38</f>
        <v>2</v>
      </c>
      <c r="Q38" s="25">
        <f t="shared" si="11"/>
        <v>0</v>
      </c>
      <c r="R38" s="55"/>
      <c r="S38" s="80"/>
      <c r="T38" s="79">
        <f t="shared" si="8"/>
        <v>0</v>
      </c>
      <c r="U38" s="71"/>
      <c r="V38" s="80"/>
      <c r="W38" s="79">
        <f t="shared" si="9"/>
        <v>0</v>
      </c>
      <c r="X38" s="71"/>
      <c r="Y38" s="80"/>
      <c r="Z38" s="79">
        <f t="shared" si="14"/>
        <v>0</v>
      </c>
      <c r="AA38" s="71"/>
      <c r="AB38" s="80"/>
      <c r="AC38" s="79">
        <f t="shared" si="14"/>
        <v>0</v>
      </c>
      <c r="AD38" s="71"/>
      <c r="AE38" s="80"/>
      <c r="AF38" s="79">
        <f t="shared" si="14"/>
        <v>0</v>
      </c>
      <c r="AG38" s="71"/>
      <c r="AH38" s="71"/>
    </row>
    <row r="39" spans="1:34">
      <c r="A39" s="55"/>
      <c r="B39" s="55"/>
      <c r="C39" s="446" t="str">
        <f>Idiomas!D335</f>
        <v>Campeón</v>
      </c>
      <c r="D39" s="50">
        <v>0</v>
      </c>
      <c r="E39" s="117"/>
      <c r="F39" s="453">
        <f t="shared" si="7"/>
        <v>0</v>
      </c>
      <c r="G39" s="453">
        <f ca="1">VLOOKUP(H39,Equipos!$Q$1:$R$25,2,0)</f>
        <v>10</v>
      </c>
      <c r="H39" s="454">
        <f ca="1">TRUNC(INDEX(WORLDCUP!$X$4:$X$147,MATCH(ADMIN!K39,WORLDCUP!$DT$4:$DT$147,0))+INDEX(Horarios!$R$3:$R$86,MATCH(Horarios!$C$3,Horarios!$P$3:$P$86,0))/24)</f>
        <v>46193</v>
      </c>
      <c r="I39" s="54">
        <v>1</v>
      </c>
      <c r="J39" s="101" t="s">
        <v>122</v>
      </c>
      <c r="K39" s="62" t="str">
        <f ca="1">CONCATENATE(WORLDCUP!AA39,"-",WORLDCUP!AF39)</f>
        <v>Ecuador-Curazao</v>
      </c>
      <c r="L39" s="59"/>
      <c r="M39" s="61" t="str">
        <f>IF(OR(WORLDCUP!AC39="",WORLDCUP!AD39=""),"-",N39&amp;"|"&amp;O39&amp;"-"&amp;P39)</f>
        <v>1|2-0</v>
      </c>
      <c r="N39" s="25" t="str">
        <f>IF(OR(WORLDCUP!AC39="",WORLDCUP!AD39=""),"",IF(WORLDCUP!AC39&gt;WORLDCUP!AD39,"1",IF(WORLDCUP!AC39&lt;WORLDCUP!AD39,"2","X")))</f>
        <v>1</v>
      </c>
      <c r="O39" s="25">
        <f>WORLDCUP!AC39</f>
        <v>2</v>
      </c>
      <c r="P39" s="25">
        <f>WORLDCUP!AD39</f>
        <v>0</v>
      </c>
      <c r="Q39" s="25">
        <f t="shared" si="11"/>
        <v>2</v>
      </c>
      <c r="R39" s="55"/>
      <c r="S39" s="80"/>
      <c r="T39" s="79">
        <f t="shared" si="8"/>
        <v>0</v>
      </c>
      <c r="U39" s="71"/>
      <c r="V39" s="80"/>
      <c r="W39" s="79">
        <f t="shared" si="9"/>
        <v>0</v>
      </c>
      <c r="X39" s="71"/>
      <c r="Y39" s="80"/>
      <c r="Z39" s="79">
        <f t="shared" si="14"/>
        <v>0</v>
      </c>
      <c r="AA39" s="71"/>
      <c r="AB39" s="80"/>
      <c r="AC39" s="79">
        <f t="shared" si="14"/>
        <v>0</v>
      </c>
      <c r="AD39" s="71"/>
      <c r="AE39" s="80"/>
      <c r="AF39" s="79">
        <f t="shared" si="14"/>
        <v>0</v>
      </c>
      <c r="AG39" s="71"/>
      <c r="AH39" s="71"/>
    </row>
    <row r="40" spans="1:34">
      <c r="A40" s="55"/>
      <c r="B40" s="55"/>
      <c r="C40" s="445" t="str">
        <f>Idiomas!D336</f>
        <v>Subcampeón</v>
      </c>
      <c r="D40" s="68">
        <v>0</v>
      </c>
      <c r="E40" s="117"/>
      <c r="F40" s="453">
        <f t="shared" si="7"/>
        <v>0</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1|2-1</v>
      </c>
      <c r="N40" s="25" t="str">
        <f>IF(OR(WORLDCUP!AC46="",WORLDCUP!AD46=""),"",IF(WORLDCUP!AC46&gt;WORLDCUP!AD46,"1",IF(WORLDCUP!AC46&lt;WORLDCUP!AD46,"2","X")))</f>
        <v>1</v>
      </c>
      <c r="O40" s="25">
        <f>WORLDCUP!AC46</f>
        <v>2</v>
      </c>
      <c r="P40" s="25">
        <f>WORLDCUP!AD46</f>
        <v>1</v>
      </c>
      <c r="Q40" s="25">
        <f t="shared" si="11"/>
        <v>1</v>
      </c>
      <c r="R40" s="55"/>
      <c r="S40" s="80"/>
      <c r="T40" s="79">
        <f t="shared" si="8"/>
        <v>0</v>
      </c>
      <c r="U40" s="71"/>
      <c r="V40" s="80"/>
      <c r="W40" s="79">
        <f t="shared" si="9"/>
        <v>0</v>
      </c>
      <c r="X40" s="71"/>
      <c r="Y40" s="80"/>
      <c r="Z40" s="79">
        <f t="shared" si="14"/>
        <v>0</v>
      </c>
      <c r="AA40" s="71"/>
      <c r="AB40" s="80"/>
      <c r="AC40" s="79">
        <f t="shared" si="14"/>
        <v>0</v>
      </c>
      <c r="AD40" s="71"/>
      <c r="AE40" s="80"/>
      <c r="AF40" s="79">
        <f t="shared" si="14"/>
        <v>0</v>
      </c>
      <c r="AG40" s="71"/>
      <c r="AH40" s="71"/>
    </row>
    <row r="41" spans="1:34">
      <c r="A41" s="55"/>
      <c r="B41" s="55"/>
      <c r="C41" s="446" t="str">
        <f>Idiomas!D337</f>
        <v>3º puesto</v>
      </c>
      <c r="D41" s="50">
        <v>0</v>
      </c>
      <c r="E41" s="117"/>
      <c r="F41" s="453">
        <f t="shared" si="7"/>
        <v>0</v>
      </c>
      <c r="G41" s="453">
        <f ca="1">VLOOKUP(H41,Equipos!$Q$1:$R$25,2,0)</f>
        <v>10</v>
      </c>
      <c r="H41" s="454">
        <f ca="1">TRUNC(INDEX(WORLDCUP!$X$4:$X$147,MATCH(ADMIN!K41,WORLDCUP!$DT$4:$DT$147,0))+INDEX(Horarios!$R$3:$R$86,MATCH(Horarios!$C$3,Horarios!$P$3:$P$86,0))/24)</f>
        <v>46193</v>
      </c>
      <c r="I41" s="54">
        <v>1</v>
      </c>
      <c r="J41" s="102" t="s">
        <v>123</v>
      </c>
      <c r="K41" s="62" t="str">
        <f ca="1">CONCATENATE(WORLDCUP!AA47,"-",WORLDCUP!AF47)</f>
        <v>Túnez-Japón</v>
      </c>
      <c r="L41" s="59"/>
      <c r="M41" s="61" t="str">
        <f>IF(OR(WORLDCUP!AC47="",WORLDCUP!AD47=""),"-",N41&amp;"|"&amp;O41&amp;"-"&amp;P41)</f>
        <v>2|1-4</v>
      </c>
      <c r="N41" s="25" t="str">
        <f>IF(OR(WORLDCUP!AC47="",WORLDCUP!AD47=""),"",IF(WORLDCUP!AC47&gt;WORLDCUP!AD47,"1",IF(WORLDCUP!AC47&lt;WORLDCUP!AD47,"2","X")))</f>
        <v>2</v>
      </c>
      <c r="O41" s="25">
        <f>WORLDCUP!AC47</f>
        <v>1</v>
      </c>
      <c r="P41" s="25">
        <f>WORLDCUP!AD47</f>
        <v>4</v>
      </c>
      <c r="Q41" s="25">
        <f t="shared" si="11"/>
        <v>3</v>
      </c>
      <c r="R41" s="55"/>
      <c r="S41" s="80"/>
      <c r="T41" s="79">
        <f t="shared" si="8"/>
        <v>0</v>
      </c>
      <c r="U41" s="71"/>
      <c r="V41" s="80"/>
      <c r="W41" s="79">
        <f t="shared" si="9"/>
        <v>0</v>
      </c>
      <c r="X41" s="71"/>
      <c r="Y41" s="80"/>
      <c r="Z41" s="79">
        <f t="shared" si="14"/>
        <v>0</v>
      </c>
      <c r="AA41" s="71"/>
      <c r="AB41" s="80"/>
      <c r="AC41" s="79">
        <f t="shared" si="14"/>
        <v>0</v>
      </c>
      <c r="AD41" s="71"/>
      <c r="AE41" s="80"/>
      <c r="AF41" s="79">
        <f t="shared" si="14"/>
        <v>0</v>
      </c>
      <c r="AG41" s="71"/>
      <c r="AH41" s="71"/>
    </row>
    <row r="42" spans="1:34">
      <c r="A42" s="55"/>
      <c r="B42" s="55"/>
      <c r="C42" s="445" t="str">
        <f>Idiomas!D338</f>
        <v>Bota de Oro  (máximo goleador)</v>
      </c>
      <c r="D42" s="68">
        <v>0</v>
      </c>
      <c r="E42" s="117"/>
      <c r="F42" s="453">
        <f t="shared" si="7"/>
        <v>0</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1|2-0</v>
      </c>
      <c r="N42" s="25" t="str">
        <f>IF(OR(WORLDCUP!AC54="",WORLDCUP!AD54=""),"",IF(WORLDCUP!AC54&gt;WORLDCUP!AD54,"1",IF(WORLDCUP!AC54&lt;WORLDCUP!AD54,"2","X")))</f>
        <v>1</v>
      </c>
      <c r="O42" s="25">
        <f>WORLDCUP!AC54</f>
        <v>2</v>
      </c>
      <c r="P42" s="25">
        <f>WORLDCUP!AD54</f>
        <v>0</v>
      </c>
      <c r="Q42" s="25">
        <f t="shared" si="11"/>
        <v>2</v>
      </c>
      <c r="R42" s="55"/>
      <c r="S42" s="82"/>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c r="Z42" s="83">
        <f t="shared" si="14"/>
        <v>0</v>
      </c>
      <c r="AA42" s="71"/>
      <c r="AB42" s="82"/>
      <c r="AC42" s="83">
        <f t="shared" si="14"/>
        <v>0</v>
      </c>
      <c r="AD42" s="71"/>
      <c r="AE42" s="82"/>
      <c r="AF42" s="83">
        <f t="shared" si="14"/>
        <v>0</v>
      </c>
      <c r="AG42" s="71"/>
      <c r="AH42" s="71"/>
    </row>
    <row r="43" spans="1:34">
      <c r="A43" s="55"/>
      <c r="B43" s="55"/>
      <c r="C43" s="446" t="str">
        <f>Idiomas!D339</f>
        <v>Bota de Plata (2º máximo goleador)</v>
      </c>
      <c r="D43" s="50">
        <v>0</v>
      </c>
      <c r="E43" s="117"/>
      <c r="F43" s="453">
        <f t="shared" si="7"/>
        <v>0</v>
      </c>
      <c r="G43" s="453">
        <f ca="1">VLOOKUP(H43,Equipos!$Q$1:$R$25,2,0)</f>
        <v>11</v>
      </c>
      <c r="H43" s="454">
        <f ca="1">TRUNC(INDEX(WORLDCUP!$X$4:$X$147,MATCH(ADMIN!K43,WORLDCUP!$DT$4:$DT$147,0))+INDEX(Horarios!$R$3:$R$86,MATCH(Horarios!$C$3,Horarios!$P$3:$P$86,0))/24)</f>
        <v>46194</v>
      </c>
      <c r="I43" s="54">
        <v>1</v>
      </c>
      <c r="J43" s="101" t="s">
        <v>511</v>
      </c>
      <c r="K43" s="62" t="str">
        <f ca="1">CONCATENATE(WORLDCUP!AA55,"-",WORLDCUP!AF55)</f>
        <v>Nueva Zelanda-Egipto</v>
      </c>
      <c r="L43" s="59"/>
      <c r="M43" s="61" t="str">
        <f>IF(OR(WORLDCUP!AC55="",WORLDCUP!AD55=""),"-",N43&amp;"|"&amp;O43&amp;"-"&amp;P43)</f>
        <v>X|2-2</v>
      </c>
      <c r="N43" s="25" t="str">
        <f>IF(OR(WORLDCUP!AC55="",WORLDCUP!AD55=""),"",IF(WORLDCUP!AC55&gt;WORLDCUP!AD55,"1",IF(WORLDCUP!AC55&lt;WORLDCUP!AD55,"2","X")))</f>
        <v>X</v>
      </c>
      <c r="O43" s="25">
        <f>WORLDCUP!AC55</f>
        <v>2</v>
      </c>
      <c r="P43" s="25">
        <f>WORLDCUP!AD55</f>
        <v>2</v>
      </c>
      <c r="Q43" s="25">
        <f t="shared" si="11"/>
        <v>0</v>
      </c>
      <c r="R43" s="55"/>
      <c r="S43" s="80"/>
      <c r="T43" s="79">
        <f t="shared" si="8"/>
        <v>0</v>
      </c>
      <c r="U43" s="71"/>
      <c r="V43" s="80"/>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c r="AC43" s="79">
        <f t="shared" si="16"/>
        <v>0</v>
      </c>
      <c r="AD43" s="71"/>
      <c r="AE43" s="80"/>
      <c r="AF43" s="79">
        <f t="shared" si="16"/>
        <v>0</v>
      </c>
      <c r="AG43" s="71"/>
      <c r="AH43" s="71"/>
    </row>
    <row r="44" spans="1:34">
      <c r="A44" s="55"/>
      <c r="B44" s="55"/>
      <c r="C44" s="445" t="str">
        <f>Idiomas!D340</f>
        <v>Bota de Bronce (3º máximo goleador)</v>
      </c>
      <c r="D44" s="68">
        <v>0</v>
      </c>
      <c r="E44" s="117"/>
      <c r="F44" s="453">
        <f t="shared" si="7"/>
        <v>0</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1|4-0</v>
      </c>
      <c r="N44" s="25" t="str">
        <f>IF(OR(WORLDCUP!AC62="",WORLDCUP!AD62=""),"",IF(WORLDCUP!AC62&gt;WORLDCUP!AD62,"1",IF(WORLDCUP!AC62&lt;WORLDCUP!AD62,"2","X")))</f>
        <v>1</v>
      </c>
      <c r="O44" s="25">
        <f>WORLDCUP!AC62</f>
        <v>4</v>
      </c>
      <c r="P44" s="25">
        <f>WORLDCUP!AD62</f>
        <v>0</v>
      </c>
      <c r="Q44" s="25">
        <f t="shared" si="11"/>
        <v>4</v>
      </c>
      <c r="R44" s="55"/>
      <c r="S44" s="80"/>
      <c r="T44" s="79">
        <f t="shared" si="8"/>
        <v>0</v>
      </c>
      <c r="U44" s="71"/>
      <c r="V44" s="80"/>
      <c r="W44" s="79">
        <f t="shared" si="15"/>
        <v>0</v>
      </c>
      <c r="X44" s="71"/>
      <c r="Y44" s="80"/>
      <c r="Z44" s="79">
        <f t="shared" si="16"/>
        <v>0</v>
      </c>
      <c r="AA44" s="71"/>
      <c r="AB44" s="80"/>
      <c r="AC44" s="79">
        <f t="shared" si="16"/>
        <v>0</v>
      </c>
      <c r="AD44" s="71"/>
      <c r="AE44" s="80"/>
      <c r="AF44" s="79">
        <f t="shared" si="16"/>
        <v>0</v>
      </c>
      <c r="AG44" s="71"/>
      <c r="AH44" s="71"/>
    </row>
    <row r="45" spans="1:34">
      <c r="A45" s="55"/>
      <c r="B45" s="55"/>
      <c r="C45" s="446" t="str">
        <f>Idiomas!D341</f>
        <v>Balón de Oro  (mejor jugador)</v>
      </c>
      <c r="D45" s="50">
        <v>0</v>
      </c>
      <c r="E45" s="117"/>
      <c r="F45" s="453">
        <f t="shared" si="7"/>
        <v>0</v>
      </c>
      <c r="G45" s="453">
        <f ca="1">VLOOKUP(H45,Equipos!$Q$1:$R$25,2,0)</f>
        <v>11</v>
      </c>
      <c r="H45" s="454">
        <f ca="1">TRUNC(INDEX(WORLDCUP!$X$4:$X$147,MATCH(ADMIN!K45,WORLDCUP!$DT$4:$DT$147,0))+INDEX(Horarios!$R$3:$R$86,MATCH(Horarios!$C$3,Horarios!$P$3:$P$86,0))/24)</f>
        <v>46194</v>
      </c>
      <c r="I45" s="54">
        <v>1</v>
      </c>
      <c r="J45" s="102" t="s">
        <v>513</v>
      </c>
      <c r="K45" s="59" t="str">
        <f ca="1">CONCATENATE(WORLDCUP!AA63,"-",WORLDCUP!AF63)</f>
        <v>Uruguay-Cabo Verde</v>
      </c>
      <c r="L45" s="59"/>
      <c r="M45" s="61" t="str">
        <f>IF(OR(WORLDCUP!AC63="",WORLDCUP!AD63=""),"-",N45&amp;"|"&amp;O45&amp;"-"&amp;P45)</f>
        <v>X|1-1</v>
      </c>
      <c r="N45" s="25" t="str">
        <f>IF(OR(WORLDCUP!AC63="",WORLDCUP!AD63=""),"",IF(WORLDCUP!AC63&gt;WORLDCUP!AD63,"1",IF(WORLDCUP!AC63&lt;WORLDCUP!AD63,"2","X")))</f>
        <v>X</v>
      </c>
      <c r="O45" s="25">
        <f>WORLDCUP!AC63</f>
        <v>1</v>
      </c>
      <c r="P45" s="25">
        <f>WORLDCUP!AD63</f>
        <v>1</v>
      </c>
      <c r="Q45" s="25">
        <f t="shared" si="11"/>
        <v>0</v>
      </c>
      <c r="R45" s="55"/>
      <c r="S45" s="80"/>
      <c r="T45" s="79">
        <f t="shared" si="8"/>
        <v>0</v>
      </c>
      <c r="U45" s="71"/>
      <c r="V45" s="80"/>
      <c r="W45" s="79">
        <f t="shared" si="15"/>
        <v>0</v>
      </c>
      <c r="X45" s="71"/>
      <c r="Y45" s="80"/>
      <c r="Z45" s="79">
        <f t="shared" si="16"/>
        <v>0</v>
      </c>
      <c r="AA45" s="71"/>
      <c r="AB45" s="80"/>
      <c r="AC45" s="79">
        <f t="shared" si="16"/>
        <v>0</v>
      </c>
      <c r="AD45" s="71"/>
      <c r="AE45" s="80"/>
      <c r="AF45" s="79">
        <f t="shared" si="16"/>
        <v>0</v>
      </c>
      <c r="AG45" s="71"/>
      <c r="AH45" s="71"/>
    </row>
    <row r="46" spans="1:34">
      <c r="A46" s="55"/>
      <c r="B46" s="55"/>
      <c r="C46" s="445" t="str">
        <f>Idiomas!D342</f>
        <v>Balón de Plata (2º mejor jugador)</v>
      </c>
      <c r="D46" s="68">
        <v>0</v>
      </c>
      <c r="E46" s="117"/>
      <c r="F46" s="453">
        <f t="shared" si="7"/>
        <v>0</v>
      </c>
      <c r="G46" s="453">
        <f ca="1">VLOOKUP(H46,Equipos!$Q$1:$R$25,2,0)</f>
        <v>12</v>
      </c>
      <c r="H46" s="454">
        <f ca="1">TRUNC(INDEX(WORLDCUP!$X$4:$X$147,MATCH(ADMIN!K46,WORLDCUP!$DT$4:$DT$147,0))+INDEX(Horarios!$R$3:$R$86,MATCH(Horarios!$C$3,Horarios!$P$3:$P$86,0))/24)</f>
        <v>46195</v>
      </c>
      <c r="I46" s="54">
        <v>1</v>
      </c>
      <c r="J46" s="101" t="s">
        <v>514</v>
      </c>
      <c r="K46" s="59" t="str">
        <f ca="1">CONCATENATE(WORLDCUP!AA70,"-",WORLDCUP!AF70)</f>
        <v>Francia-Irak</v>
      </c>
      <c r="L46" s="59"/>
      <c r="M46" s="61" t="str">
        <f>IF(OR(WORLDCUP!AC70="",WORLDCUP!AD70=""),"-",N46&amp;"|"&amp;O46&amp;"-"&amp;P46)</f>
        <v>1|5-0</v>
      </c>
      <c r="N46" s="25" t="str">
        <f>IF(OR(WORLDCUP!AC70="",WORLDCUP!AD70=""),"",IF(WORLDCUP!AC70&gt;WORLDCUP!AD70,"1",IF(WORLDCUP!AC70&lt;WORLDCUP!AD70,"2","X")))</f>
        <v>1</v>
      </c>
      <c r="O46" s="25">
        <f>WORLDCUP!AC70</f>
        <v>5</v>
      </c>
      <c r="P46" s="25">
        <f>WORLDCUP!AD70</f>
        <v>0</v>
      </c>
      <c r="Q46" s="25">
        <f t="shared" si="11"/>
        <v>5</v>
      </c>
      <c r="R46" s="55"/>
      <c r="S46" s="80"/>
      <c r="T46" s="79">
        <f t="shared" si="8"/>
        <v>0</v>
      </c>
      <c r="U46" s="71"/>
      <c r="V46" s="80"/>
      <c r="W46" s="79">
        <f t="shared" si="15"/>
        <v>0</v>
      </c>
      <c r="X46" s="71"/>
      <c r="Y46" s="80"/>
      <c r="Z46" s="79">
        <f t="shared" si="16"/>
        <v>0</v>
      </c>
      <c r="AA46" s="71"/>
      <c r="AB46" s="80"/>
      <c r="AC46" s="79">
        <f t="shared" si="16"/>
        <v>0</v>
      </c>
      <c r="AD46" s="71"/>
      <c r="AE46" s="80"/>
      <c r="AF46" s="79">
        <f t="shared" si="16"/>
        <v>0</v>
      </c>
      <c r="AG46" s="71"/>
      <c r="AH46" s="71"/>
    </row>
    <row r="47" spans="1:34">
      <c r="A47" s="55"/>
      <c r="B47" s="55"/>
      <c r="C47" s="447" t="str">
        <f>Idiomas!D343</f>
        <v>Balón de Bronce (3º mejor jugador)</v>
      </c>
      <c r="D47" s="51">
        <v>0</v>
      </c>
      <c r="E47" s="117"/>
      <c r="F47" s="453">
        <f t="shared" si="7"/>
        <v>0</v>
      </c>
      <c r="G47" s="453">
        <f ca="1">VLOOKUP(H47,Equipos!$Q$1:$R$25,2,0)</f>
        <v>12</v>
      </c>
      <c r="H47" s="454">
        <f ca="1">TRUNC(INDEX(WORLDCUP!$X$4:$X$147,MATCH(ADMIN!K47,WORLDCUP!$DT$4:$DT$147,0))+INDEX(Horarios!$R$3:$R$86,MATCH(Horarios!$C$3,Horarios!$P$3:$P$86,0))/24)</f>
        <v>46195</v>
      </c>
      <c r="I47" s="54">
        <v>1</v>
      </c>
      <c r="J47" s="101" t="s">
        <v>514</v>
      </c>
      <c r="K47" s="62" t="str">
        <f ca="1">CONCATENATE(WORLDCUP!AA71,"-",WORLDCUP!AF71)</f>
        <v>Noruega-Senegal</v>
      </c>
      <c r="L47" s="59"/>
      <c r="M47" s="61" t="str">
        <f>IF(OR(WORLDCUP!AC71="",WORLDCUP!AD71=""),"-",N47&amp;"|"&amp;O47&amp;"-"&amp;P47)</f>
        <v>X|2-2</v>
      </c>
      <c r="N47" s="25" t="str">
        <f>IF(OR(WORLDCUP!AC71="",WORLDCUP!AD71=""),"",IF(WORLDCUP!AC71&gt;WORLDCUP!AD71,"1",IF(WORLDCUP!AC71&lt;WORLDCUP!AD71,"2","X")))</f>
        <v>X</v>
      </c>
      <c r="O47" s="25">
        <f>WORLDCUP!AC71</f>
        <v>2</v>
      </c>
      <c r="P47" s="25">
        <f>WORLDCUP!AD71</f>
        <v>2</v>
      </c>
      <c r="Q47" s="25">
        <f t="shared" si="11"/>
        <v>0</v>
      </c>
      <c r="R47" s="55"/>
      <c r="S47" s="80"/>
      <c r="T47" s="79">
        <f t="shared" si="8"/>
        <v>0</v>
      </c>
      <c r="U47" s="71"/>
      <c r="V47" s="80"/>
      <c r="W47" s="79">
        <f t="shared" si="15"/>
        <v>0</v>
      </c>
      <c r="X47" s="71"/>
      <c r="Y47" s="80"/>
      <c r="Z47" s="79">
        <f t="shared" si="16"/>
        <v>0</v>
      </c>
      <c r="AA47" s="71"/>
      <c r="AB47" s="80"/>
      <c r="AC47" s="79">
        <f t="shared" si="16"/>
        <v>0</v>
      </c>
      <c r="AD47" s="71"/>
      <c r="AE47" s="80"/>
      <c r="AF47" s="79">
        <f t="shared" si="16"/>
        <v>0</v>
      </c>
      <c r="AG47" s="71"/>
      <c r="AH47" s="71"/>
    </row>
    <row r="48" spans="1:34">
      <c r="A48" s="55"/>
      <c r="B48" s="55"/>
      <c r="C48" s="17"/>
      <c r="D48" s="17"/>
      <c r="E48" s="95"/>
      <c r="F48" s="453">
        <f t="shared" si="7"/>
        <v>0</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1|1-0</v>
      </c>
      <c r="N48" s="25" t="str">
        <f>IF(OR(WORLDCUP!AC78="",WORLDCUP!AD78=""),"",IF(WORLDCUP!AC78&gt;WORLDCUP!AD78,"1",IF(WORLDCUP!AC78&lt;WORLDCUP!AD78,"2","X")))</f>
        <v>1</v>
      </c>
      <c r="O48" s="25">
        <f>WORLDCUP!AC78</f>
        <v>1</v>
      </c>
      <c r="P48" s="25">
        <f>WORLDCUP!AD78</f>
        <v>0</v>
      </c>
      <c r="Q48" s="25">
        <f t="shared" si="11"/>
        <v>1</v>
      </c>
      <c r="R48" s="55"/>
      <c r="S48" s="80"/>
      <c r="T48" s="79">
        <f t="shared" si="8"/>
        <v>0</v>
      </c>
      <c r="U48" s="71"/>
      <c r="V48" s="80"/>
      <c r="W48" s="79">
        <f t="shared" si="15"/>
        <v>0</v>
      </c>
      <c r="X48" s="71"/>
      <c r="Y48" s="80"/>
      <c r="Z48" s="79">
        <f t="shared" si="16"/>
        <v>0</v>
      </c>
      <c r="AA48" s="71"/>
      <c r="AB48" s="80"/>
      <c r="AC48" s="79">
        <f t="shared" si="16"/>
        <v>0</v>
      </c>
      <c r="AD48" s="71"/>
      <c r="AE48" s="80"/>
      <c r="AF48" s="79">
        <f t="shared" si="16"/>
        <v>0</v>
      </c>
      <c r="AG48" s="71"/>
      <c r="AH48" s="71"/>
    </row>
    <row r="49" spans="1:34" ht="15" thickBot="1">
      <c r="A49" s="55"/>
      <c r="B49" s="444"/>
      <c r="C49" s="675" t="str">
        <f>"**"&amp;Idiomas!D441&amp;": -&gt;"</f>
        <v>**% Ajuste por desvío en Diferencia/Distancia de goles: -&gt;</v>
      </c>
      <c r="D49" s="676" t="s">
        <v>1927</v>
      </c>
      <c r="E49" s="95"/>
      <c r="F49" s="453">
        <f t="shared" si="7"/>
        <v>0</v>
      </c>
      <c r="G49" s="453">
        <f ca="1">VLOOKUP(H49,Equipos!$Q$1:$R$25,2,0)</f>
        <v>12</v>
      </c>
      <c r="H49" s="454">
        <f ca="1">TRUNC(INDEX(WORLDCUP!$X$4:$X$147,MATCH(ADMIN!K49,WORLDCUP!$DT$4:$DT$147,0))+INDEX(Horarios!$R$3:$R$86,MATCH(Horarios!$C$3,Horarios!$P$3:$P$86,0))/24)</f>
        <v>46195</v>
      </c>
      <c r="I49" s="54">
        <v>1</v>
      </c>
      <c r="J49" s="102" t="s">
        <v>27</v>
      </c>
      <c r="K49" s="59" t="str">
        <f ca="1">CONCATENATE(WORLDCUP!AA79,"-",WORLDCUP!AF79)</f>
        <v>Jordania-Argelia</v>
      </c>
      <c r="L49" s="59"/>
      <c r="M49" s="61" t="str">
        <f>IF(OR(WORLDCUP!AC79="",WORLDCUP!AD79=""),"-",N49&amp;"|"&amp;O49&amp;"-"&amp;P49)</f>
        <v>X|1-1</v>
      </c>
      <c r="N49" s="25" t="str">
        <f>IF(OR(WORLDCUP!AC79="",WORLDCUP!AD79=""),"",IF(WORLDCUP!AC79&gt;WORLDCUP!AD79,"1",IF(WORLDCUP!AC79&lt;WORLDCUP!AD79,"2","X")))</f>
        <v>X</v>
      </c>
      <c r="O49" s="25">
        <f>WORLDCUP!AC79</f>
        <v>1</v>
      </c>
      <c r="P49" s="25">
        <f>WORLDCUP!AD79</f>
        <v>1</v>
      </c>
      <c r="Q49" s="25">
        <f t="shared" si="11"/>
        <v>0</v>
      </c>
      <c r="R49" s="55"/>
      <c r="S49" s="80"/>
      <c r="T49" s="79">
        <f t="shared" si="8"/>
        <v>0</v>
      </c>
      <c r="U49" s="71"/>
      <c r="V49" s="80"/>
      <c r="W49" s="79">
        <f t="shared" si="15"/>
        <v>0</v>
      </c>
      <c r="X49" s="71"/>
      <c r="Y49" s="80"/>
      <c r="Z49" s="79">
        <f t="shared" si="16"/>
        <v>0</v>
      </c>
      <c r="AA49" s="71"/>
      <c r="AB49" s="80"/>
      <c r="AC49" s="79">
        <f t="shared" si="16"/>
        <v>0</v>
      </c>
      <c r="AD49" s="71"/>
      <c r="AE49" s="80"/>
      <c r="AF49" s="79">
        <f t="shared" si="16"/>
        <v>0</v>
      </c>
      <c r="AG49" s="71"/>
      <c r="AH49" s="71"/>
    </row>
    <row r="50" spans="1:34" ht="15" thickBot="1">
      <c r="A50" s="55"/>
      <c r="B50" s="55"/>
      <c r="C50" s="679" t="str">
        <f>HYPERLINK(Idiomas!D444,Idiomas!D443)</f>
        <v>**¿Qué es esto y cómo funciona?</v>
      </c>
      <c r="D50" s="437">
        <f>IF(D49=Idiomas!$D$442,1,D49)</f>
        <v>1</v>
      </c>
      <c r="E50" s="95"/>
      <c r="F50" s="453">
        <f t="shared" si="7"/>
        <v>0</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1|1-0</v>
      </c>
      <c r="N50" s="25" t="str">
        <f>IF(OR(WORLDCUP!AC86="",WORLDCUP!AD86=""),"",IF(WORLDCUP!AC86&gt;WORLDCUP!AD86,"1",IF(WORLDCUP!AC86&lt;WORLDCUP!AD86,"2","X")))</f>
        <v>1</v>
      </c>
      <c r="O50" s="25">
        <f>WORLDCUP!AC86</f>
        <v>1</v>
      </c>
      <c r="P50" s="25">
        <f>WORLDCUP!AD86</f>
        <v>0</v>
      </c>
      <c r="Q50" s="25">
        <f t="shared" si="11"/>
        <v>1</v>
      </c>
      <c r="R50" s="55"/>
      <c r="S50" s="80"/>
      <c r="T50" s="79">
        <f t="shared" si="8"/>
        <v>0</v>
      </c>
      <c r="U50" s="71"/>
      <c r="V50" s="80"/>
      <c r="W50" s="79">
        <f t="shared" si="15"/>
        <v>0</v>
      </c>
      <c r="X50" s="71"/>
      <c r="Y50" s="80"/>
      <c r="Z50" s="79">
        <f t="shared" si="16"/>
        <v>0</v>
      </c>
      <c r="AA50" s="71"/>
      <c r="AB50" s="80"/>
      <c r="AC50" s="79">
        <f t="shared" si="16"/>
        <v>0</v>
      </c>
      <c r="AD50" s="71"/>
      <c r="AE50" s="80"/>
      <c r="AF50" s="79">
        <f t="shared" si="16"/>
        <v>0</v>
      </c>
      <c r="AG50" s="71"/>
      <c r="AH50" s="71"/>
    </row>
    <row r="51" spans="1:34">
      <c r="A51" s="55"/>
      <c r="B51" s="55"/>
      <c r="C51" s="17"/>
      <c r="D51" s="17"/>
      <c r="E51" s="95"/>
      <c r="F51" s="453">
        <f t="shared" si="7"/>
        <v>0</v>
      </c>
      <c r="G51" s="453">
        <f ca="1">VLOOKUP(H51,Equipos!$Q$1:$R$25,2,0)</f>
        <v>13</v>
      </c>
      <c r="H51" s="454">
        <f ca="1">TRUNC(INDEX(WORLDCUP!$X$4:$X$147,MATCH(ADMIN!K51,WORLDCUP!$DT$4:$DT$147,0))+INDEX(Horarios!$R$3:$R$86,MATCH(Horarios!$C$3,Horarios!$P$3:$P$86,0))/24)</f>
        <v>46196</v>
      </c>
      <c r="I51" s="54">
        <v>1</v>
      </c>
      <c r="J51" s="101" t="s">
        <v>300</v>
      </c>
      <c r="K51" s="59" t="str">
        <f ca="1">CONCATENATE(WORLDCUP!AA87,"-",WORLDCUP!AF87)</f>
        <v>Colombia-RD Congo</v>
      </c>
      <c r="L51" s="59"/>
      <c r="M51" s="61" t="str">
        <f>IF(OR(WORLDCUP!AC87="",WORLDCUP!AD87=""),"-",N51&amp;"|"&amp;O51&amp;"-"&amp;P51)</f>
        <v>X|1-1</v>
      </c>
      <c r="N51" s="25" t="str">
        <f>IF(OR(WORLDCUP!AC87="",WORLDCUP!AD87=""),"",IF(WORLDCUP!AC87&gt;WORLDCUP!AD87,"1",IF(WORLDCUP!AC87&lt;WORLDCUP!AD87,"2","X")))</f>
        <v>X</v>
      </c>
      <c r="O51" s="25">
        <f>WORLDCUP!AC87</f>
        <v>1</v>
      </c>
      <c r="P51" s="25">
        <f>WORLDCUP!AD87</f>
        <v>1</v>
      </c>
      <c r="Q51" s="25">
        <f t="shared" si="11"/>
        <v>0</v>
      </c>
      <c r="R51" s="55"/>
      <c r="S51" s="80"/>
      <c r="T51" s="79">
        <f t="shared" si="8"/>
        <v>0</v>
      </c>
      <c r="U51" s="71"/>
      <c r="V51" s="80"/>
      <c r="W51" s="79">
        <f t="shared" si="15"/>
        <v>0</v>
      </c>
      <c r="X51" s="71"/>
      <c r="Y51" s="80"/>
      <c r="Z51" s="79">
        <f t="shared" si="16"/>
        <v>0</v>
      </c>
      <c r="AA51" s="71"/>
      <c r="AB51" s="80"/>
      <c r="AC51" s="79">
        <f t="shared" si="16"/>
        <v>0</v>
      </c>
      <c r="AD51" s="71"/>
      <c r="AE51" s="80"/>
      <c r="AF51" s="79">
        <f t="shared" si="16"/>
        <v>0</v>
      </c>
      <c r="AG51" s="71"/>
      <c r="AH51" s="71"/>
    </row>
    <row r="52" spans="1:34">
      <c r="A52" s="55"/>
      <c r="B52" s="55"/>
      <c r="C52" s="17"/>
      <c r="D52" s="17"/>
      <c r="E52" s="95"/>
      <c r="F52" s="453">
        <f t="shared" si="7"/>
        <v>0</v>
      </c>
      <c r="G52" s="453">
        <f ca="1">VLOOKUP(H52,Equipos!$Q$1:$R$25,2,0)</f>
        <v>13</v>
      </c>
      <c r="H52" s="454">
        <f ca="1">TRUNC(INDEX(WORLDCUP!$X$4:$X$147,MATCH(ADMIN!K52,WORLDCUP!$DT$4:$DT$147,0))+INDEX(Horarios!$R$3:$R$86,MATCH(Horarios!$C$3,Horarios!$P$3:$P$86,0))/24)</f>
        <v>46196</v>
      </c>
      <c r="I52" s="54">
        <v>1</v>
      </c>
      <c r="J52" s="102" t="s">
        <v>1197</v>
      </c>
      <c r="K52" s="62" t="str">
        <f ca="1">CONCATENATE(WORLDCUP!AA94,"-",WORLDCUP!AF94)</f>
        <v>Inglaterra-Ghana</v>
      </c>
      <c r="L52" s="59"/>
      <c r="M52" s="61" t="str">
        <f>IF(OR(WORLDCUP!AC94="",WORLDCUP!AD94=""),"-",N52&amp;"|"&amp;O52&amp;"-"&amp;P52)</f>
        <v>1|1-0</v>
      </c>
      <c r="N52" s="25" t="str">
        <f>IF(OR(WORLDCUP!AC94="",WORLDCUP!AD94=""),"",IF(WORLDCUP!AC94&gt;WORLDCUP!AD94,"1",IF(WORLDCUP!AC94&lt;WORLDCUP!AD94,"2","X")))</f>
        <v>1</v>
      </c>
      <c r="O52" s="25">
        <f>WORLDCUP!AC94</f>
        <v>1</v>
      </c>
      <c r="P52" s="25">
        <f>WORLDCUP!AD94</f>
        <v>0</v>
      </c>
      <c r="Q52" s="25">
        <f t="shared" si="11"/>
        <v>1</v>
      </c>
      <c r="R52" s="55"/>
      <c r="S52" s="80"/>
      <c r="T52" s="79">
        <f t="shared" si="8"/>
        <v>0</v>
      </c>
      <c r="U52" s="71"/>
      <c r="V52" s="80"/>
      <c r="W52" s="79">
        <f t="shared" si="15"/>
        <v>0</v>
      </c>
      <c r="X52" s="71"/>
      <c r="Y52" s="80"/>
      <c r="Z52" s="79">
        <f t="shared" si="16"/>
        <v>0</v>
      </c>
      <c r="AA52" s="71"/>
      <c r="AB52" s="80"/>
      <c r="AC52" s="79">
        <f t="shared" si="16"/>
        <v>0</v>
      </c>
      <c r="AD52" s="71"/>
      <c r="AE52" s="80"/>
      <c r="AF52" s="79">
        <f t="shared" si="16"/>
        <v>0</v>
      </c>
      <c r="AG52" s="71"/>
      <c r="AH52" s="71"/>
    </row>
    <row r="53" spans="1:34">
      <c r="A53" s="55"/>
      <c r="B53" s="55"/>
      <c r="C53" s="17"/>
      <c r="D53" s="209"/>
      <c r="E53" s="95"/>
      <c r="F53" s="453">
        <f t="shared" si="7"/>
        <v>0</v>
      </c>
      <c r="G53" s="453">
        <f ca="1">VLOOKUP(H53,Equipos!$Q$1:$R$25,2,0)</f>
        <v>13</v>
      </c>
      <c r="H53" s="454">
        <f ca="1">TRUNC(INDEX(WORLDCUP!$X$4:$X$147,MATCH(ADMIN!K53,WORLDCUP!$DT$4:$DT$147,0))+INDEX(Horarios!$R$3:$R$86,MATCH(Horarios!$C$3,Horarios!$P$3:$P$86,0))/24)</f>
        <v>46196</v>
      </c>
      <c r="I53" s="54">
        <v>1</v>
      </c>
      <c r="J53" s="102" t="s">
        <v>1197</v>
      </c>
      <c r="K53" s="63" t="str">
        <f ca="1">CONCATENATE(WORLDCUP!AA95,"-",WORLDCUP!AF95)</f>
        <v>Panamá-Croacia</v>
      </c>
      <c r="L53" s="64"/>
      <c r="M53" s="65" t="str">
        <f>IF(OR(WORLDCUP!AC95="",WORLDCUP!AD95=""),"-",N53&amp;"|"&amp;O53&amp;"-"&amp;P53)</f>
        <v>2|1-2</v>
      </c>
      <c r="N53" s="25" t="str">
        <f>IF(OR(WORLDCUP!AC95="",WORLDCUP!AD95=""),"",IF(WORLDCUP!AC95&gt;WORLDCUP!AD95,"1",IF(WORLDCUP!AC95&lt;WORLDCUP!AD95,"2","X")))</f>
        <v>2</v>
      </c>
      <c r="O53" s="25">
        <f>WORLDCUP!AC95</f>
        <v>1</v>
      </c>
      <c r="P53" s="25">
        <f>WORLDCUP!AD95</f>
        <v>2</v>
      </c>
      <c r="Q53" s="25">
        <f t="shared" si="11"/>
        <v>1</v>
      </c>
      <c r="R53" s="55"/>
      <c r="S53" s="84"/>
      <c r="T53" s="85">
        <f t="shared" si="8"/>
        <v>0</v>
      </c>
      <c r="U53" s="71"/>
      <c r="V53" s="84"/>
      <c r="W53" s="85">
        <f t="shared" si="15"/>
        <v>0</v>
      </c>
      <c r="X53" s="71"/>
      <c r="Y53" s="84"/>
      <c r="Z53" s="85">
        <f t="shared" si="16"/>
        <v>0</v>
      </c>
      <c r="AA53" s="71"/>
      <c r="AB53" s="84"/>
      <c r="AC53" s="85">
        <f t="shared" si="16"/>
        <v>0</v>
      </c>
      <c r="AD53" s="71"/>
      <c r="AE53" s="84"/>
      <c r="AF53" s="85">
        <f t="shared" si="16"/>
        <v>0</v>
      </c>
      <c r="AG53" s="71"/>
      <c r="AH53" s="71"/>
    </row>
    <row r="54" spans="1:34">
      <c r="A54" s="55"/>
      <c r="B54" s="55"/>
      <c r="C54" s="17"/>
      <c r="D54" s="209"/>
      <c r="E54" s="95"/>
      <c r="F54" s="453">
        <f t="shared" si="7"/>
        <v>0</v>
      </c>
      <c r="G54" s="453">
        <f ca="1">VLOOKUP(H54,Equipos!$Q$1:$R$25,2,0)</f>
        <v>14</v>
      </c>
      <c r="H54" s="454">
        <f ca="1">TRUNC(INDEX(WORLDCUP!$X$4:$X$147,MATCH(ADMIN!K54,WORLDCUP!$DT$4:$DT$147,0))+INDEX(Horarios!$R$3:$R$86,MATCH(Horarios!$C$3,Horarios!$P$3:$P$86,0))/24)</f>
        <v>46197</v>
      </c>
      <c r="I54" s="54">
        <v>1</v>
      </c>
      <c r="J54" s="101" t="s">
        <v>124</v>
      </c>
      <c r="K54" s="59" t="str">
        <f ca="1">CONCATENATE(WORLDCUP!AA8,"-",WORLDCUP!AF8)</f>
        <v>República Checa-México</v>
      </c>
      <c r="L54" s="59"/>
      <c r="M54" s="61" t="str">
        <f>IF(OR(WORLDCUP!AC8="",WORLDCUP!AD8=""),"-",N54&amp;"|"&amp;O54&amp;"-"&amp;P54)</f>
        <v>2|0-1</v>
      </c>
      <c r="N54" s="25" t="str">
        <f>IF(OR(WORLDCUP!AC8="",WORLDCUP!AD8=""),"",IF(WORLDCUP!AC8&gt;WORLDCUP!AD8,"1",IF(WORLDCUP!AC8&lt;WORLDCUP!AD8,"2","X")))</f>
        <v>2</v>
      </c>
      <c r="O54" s="25">
        <f>WORLDCUP!AC8</f>
        <v>0</v>
      </c>
      <c r="P54" s="25">
        <f>WORLDCUP!AD8</f>
        <v>1</v>
      </c>
      <c r="Q54" s="25">
        <f t="shared" si="11"/>
        <v>1</v>
      </c>
      <c r="R54" s="55"/>
      <c r="S54" s="82" t="str">
        <f>Idiomas!$D$366</f>
        <v>Pegar Valores (J3)</v>
      </c>
      <c r="T54" s="83">
        <f t="shared" si="8"/>
        <v>0</v>
      </c>
      <c r="U54" s="71"/>
      <c r="V54" s="82" t="str">
        <f>Idiomas!$D$366</f>
        <v>Pegar Valores (J3)</v>
      </c>
      <c r="W54" s="83">
        <f t="shared" si="15"/>
        <v>0</v>
      </c>
      <c r="X54" s="71"/>
      <c r="Y54" s="82" t="str">
        <f>Idiomas!$D$366</f>
        <v>Pegar Valores (J3)</v>
      </c>
      <c r="Z54" s="83">
        <f t="shared" si="16"/>
        <v>0</v>
      </c>
      <c r="AA54" s="71"/>
      <c r="AB54" s="82" t="str">
        <f>Idiomas!$D$366</f>
        <v>Pegar Valores (J3)</v>
      </c>
      <c r="AC54" s="83">
        <f t="shared" si="16"/>
        <v>0</v>
      </c>
      <c r="AD54" s="71"/>
      <c r="AE54" s="82" t="str">
        <f>Idiomas!$D$366</f>
        <v>Pegar Valores (J3)</v>
      </c>
      <c r="AF54" s="83">
        <f t="shared" si="16"/>
        <v>0</v>
      </c>
      <c r="AG54" s="71"/>
      <c r="AH54" s="71"/>
    </row>
    <row r="55" spans="1:34">
      <c r="A55" s="55"/>
      <c r="B55" s="55"/>
      <c r="C55" s="17"/>
      <c r="D55" s="17"/>
      <c r="E55" s="95"/>
      <c r="F55" s="453">
        <f t="shared" si="7"/>
        <v>0</v>
      </c>
      <c r="G55" s="453">
        <f ca="1">VLOOKUP(H55,Equipos!$Q$1:$R$25,2,0)</f>
        <v>14</v>
      </c>
      <c r="H55" s="454">
        <f ca="1">TRUNC(INDEX(WORLDCUP!$X$4:$X$147,MATCH(ADMIN!K55,WORLDCUP!$DT$4:$DT$147,0))+INDEX(Horarios!$R$3:$R$86,MATCH(Horarios!$C$3,Horarios!$P$3:$P$86,0))/24)</f>
        <v>46197</v>
      </c>
      <c r="I55" s="54">
        <v>1</v>
      </c>
      <c r="J55" s="101" t="s">
        <v>124</v>
      </c>
      <c r="K55" s="59" t="str">
        <f ca="1">CONCATENATE(WORLDCUP!AA9,"-",WORLDCUP!AF9)</f>
        <v>Sudáfrica-Corea del Sur</v>
      </c>
      <c r="L55" s="59"/>
      <c r="M55" s="61" t="str">
        <f>IF(OR(WORLDCUP!AC9="",WORLDCUP!AD9=""),"-",N55&amp;"|"&amp;O55&amp;"-"&amp;P55)</f>
        <v>2|1-2</v>
      </c>
      <c r="N55" s="25" t="str">
        <f>IF(OR(WORLDCUP!AC9="",WORLDCUP!AD9=""),"",IF(WORLDCUP!AC9&gt;WORLDCUP!AD9,"1",IF(WORLDCUP!AC9&lt;WORLDCUP!AD9,"2","X")))</f>
        <v>2</v>
      </c>
      <c r="O55" s="25">
        <f>WORLDCUP!AC9</f>
        <v>1</v>
      </c>
      <c r="P55" s="25">
        <f>WORLDCUP!AD9</f>
        <v>2</v>
      </c>
      <c r="Q55" s="25">
        <f t="shared" si="11"/>
        <v>1</v>
      </c>
      <c r="R55" s="55"/>
      <c r="S55" s="80"/>
      <c r="T55" s="79">
        <f t="shared" si="8"/>
        <v>0</v>
      </c>
      <c r="U55" s="71"/>
      <c r="V55" s="80"/>
      <c r="W55" s="79">
        <f t="shared" si="15"/>
        <v>0</v>
      </c>
      <c r="X55" s="71"/>
      <c r="Y55" s="80"/>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c r="AC55" s="79">
        <f t="shared" si="17"/>
        <v>0</v>
      </c>
      <c r="AD55" s="71"/>
      <c r="AE55" s="80"/>
      <c r="AF55" s="79">
        <f t="shared" si="17"/>
        <v>0</v>
      </c>
      <c r="AG55" s="71"/>
      <c r="AH55" s="71"/>
    </row>
    <row r="56" spans="1:34">
      <c r="A56" s="55"/>
      <c r="B56" s="55"/>
      <c r="C56" s="125" t="str">
        <f>"MAX. "&amp;K5</f>
        <v>MAX. FASE DE GRUPOS</v>
      </c>
      <c r="D56" s="128">
        <f>SUM($D$8:$D$10)*SUM($I$6:$I$77)+SUM($D$11:$D$14)*12+$D$15*32</f>
        <v>0</v>
      </c>
      <c r="E56" s="117"/>
      <c r="F56" s="453">
        <f t="shared" si="7"/>
        <v>0</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1|2-0</v>
      </c>
      <c r="N56" s="25" t="str">
        <f>IF(OR(WORLDCUP!AC16="",WORLDCUP!AD16=""),"",IF(WORLDCUP!AC16&gt;WORLDCUP!AD16,"1",IF(WORLDCUP!AC16&lt;WORLDCUP!AD16,"2","X")))</f>
        <v>1</v>
      </c>
      <c r="O56" s="25">
        <f>WORLDCUP!AC16</f>
        <v>2</v>
      </c>
      <c r="P56" s="25">
        <f>WORLDCUP!AD16</f>
        <v>0</v>
      </c>
      <c r="Q56" s="25">
        <f t="shared" si="11"/>
        <v>2</v>
      </c>
      <c r="R56" s="55"/>
      <c r="S56" s="80"/>
      <c r="T56" s="79">
        <f t="shared" si="8"/>
        <v>0</v>
      </c>
      <c r="U56" s="71"/>
      <c r="V56" s="80"/>
      <c r="W56" s="79">
        <f t="shared" si="15"/>
        <v>0</v>
      </c>
      <c r="X56" s="71"/>
      <c r="Y56" s="80"/>
      <c r="Z56" s="79">
        <f t="shared" si="17"/>
        <v>0</v>
      </c>
      <c r="AA56" s="71"/>
      <c r="AB56" s="80"/>
      <c r="AC56" s="79">
        <f t="shared" si="17"/>
        <v>0</v>
      </c>
      <c r="AD56" s="71"/>
      <c r="AE56" s="80"/>
      <c r="AF56" s="79">
        <f t="shared" si="17"/>
        <v>0</v>
      </c>
      <c r="AG56" s="71"/>
      <c r="AH56" s="71"/>
    </row>
    <row r="57" spans="1:34">
      <c r="A57" s="55"/>
      <c r="B57" s="55"/>
      <c r="C57" s="126" t="str">
        <f>"MAX. "&amp;UPPER(Idiomas!D260)</f>
        <v>MAX. DIECISEISAVOS DE FINAL</v>
      </c>
      <c r="D57" s="129">
        <f>SUM($D$16:$D$18)*SUM($I$164:$I$179)+$D$19*16</f>
        <v>0</v>
      </c>
      <c r="E57" s="117"/>
      <c r="F57" s="453">
        <f t="shared" si="7"/>
        <v>0</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1|4-0</v>
      </c>
      <c r="N57" s="25" t="str">
        <f>IF(OR(WORLDCUP!AC17="",WORLDCUP!AD17=""),"",IF(WORLDCUP!AC17&gt;WORLDCUP!AD17,"1",IF(WORLDCUP!AC17&lt;WORLDCUP!AD17,"2","X")))</f>
        <v>1</v>
      </c>
      <c r="O57" s="25">
        <f>WORLDCUP!AC17</f>
        <v>4</v>
      </c>
      <c r="P57" s="25">
        <f>WORLDCUP!AD17</f>
        <v>0</v>
      </c>
      <c r="Q57" s="25">
        <f t="shared" si="11"/>
        <v>4</v>
      </c>
      <c r="R57" s="55"/>
      <c r="S57" s="80"/>
      <c r="T57" s="79">
        <f t="shared" si="8"/>
        <v>0</v>
      </c>
      <c r="U57" s="71"/>
      <c r="V57" s="80"/>
      <c r="W57" s="79">
        <f t="shared" si="15"/>
        <v>0</v>
      </c>
      <c r="X57" s="71"/>
      <c r="Y57" s="80"/>
      <c r="Z57" s="79">
        <f t="shared" si="17"/>
        <v>0</v>
      </c>
      <c r="AA57" s="71"/>
      <c r="AB57" s="80"/>
      <c r="AC57" s="79">
        <f t="shared" si="17"/>
        <v>0</v>
      </c>
      <c r="AD57" s="71"/>
      <c r="AE57" s="80"/>
      <c r="AF57" s="79">
        <f t="shared" si="17"/>
        <v>0</v>
      </c>
      <c r="AG57" s="71"/>
      <c r="AH57" s="71"/>
    </row>
    <row r="58" spans="1:34">
      <c r="A58" s="55"/>
      <c r="B58" s="55"/>
      <c r="C58" s="127" t="str">
        <f>"MAX. "&amp;UPPER(Idiomas!D261)</f>
        <v>MAX. OCTAVOS DE FINAL</v>
      </c>
      <c r="D58" s="130">
        <f>SUM($D$20:$D$22)*SUM($I$200:$I$207)+$D$23*8</f>
        <v>0</v>
      </c>
      <c r="E58" s="117"/>
      <c r="F58" s="453">
        <f t="shared" si="7"/>
        <v>0</v>
      </c>
      <c r="G58" s="453">
        <f ca="1">VLOOKUP(H58,Equipos!$Q$1:$R$25,2,0)</f>
        <v>14</v>
      </c>
      <c r="H58" s="454">
        <f ca="1">TRUNC(INDEX(WORLDCUP!$X$4:$X$147,MATCH(ADMIN!K58,WORLDCUP!$DT$4:$DT$147,0))+INDEX(Horarios!$R$3:$R$86,MATCH(Horarios!$C$3,Horarios!$P$3:$P$86,0))/24)</f>
        <v>46197</v>
      </c>
      <c r="I58" s="54">
        <v>1</v>
      </c>
      <c r="J58" s="101" t="s">
        <v>126</v>
      </c>
      <c r="K58" s="62" t="str">
        <f ca="1">CONCATENATE(WORLDCUP!AA24,"-",WORLDCUP!AF24)</f>
        <v>Escocia-Brasil</v>
      </c>
      <c r="L58" s="59"/>
      <c r="M58" s="61" t="str">
        <f>IF(OR(WORLDCUP!AC24="",WORLDCUP!AD24=""),"-",N58&amp;"|"&amp;O58&amp;"-"&amp;P58)</f>
        <v>2|1-2</v>
      </c>
      <c r="N58" s="25" t="str">
        <f>IF(OR(WORLDCUP!AC24="",WORLDCUP!AD24=""),"",IF(WORLDCUP!AC24&gt;WORLDCUP!AD24,"1",IF(WORLDCUP!AC24&lt;WORLDCUP!AD24,"2","X")))</f>
        <v>2</v>
      </c>
      <c r="O58" s="25">
        <f>WORLDCUP!AC24</f>
        <v>1</v>
      </c>
      <c r="P58" s="25">
        <f>WORLDCUP!AD24</f>
        <v>2</v>
      </c>
      <c r="Q58" s="25">
        <f t="shared" si="11"/>
        <v>1</v>
      </c>
      <c r="R58" s="55"/>
      <c r="S58" s="80"/>
      <c r="T58" s="79">
        <f t="shared" si="8"/>
        <v>0</v>
      </c>
      <c r="U58" s="71"/>
      <c r="V58" s="80"/>
      <c r="W58" s="79">
        <f t="shared" si="15"/>
        <v>0</v>
      </c>
      <c r="X58" s="71"/>
      <c r="Y58" s="80"/>
      <c r="Z58" s="79">
        <f t="shared" si="17"/>
        <v>0</v>
      </c>
      <c r="AA58" s="71"/>
      <c r="AB58" s="80"/>
      <c r="AC58" s="79">
        <f t="shared" si="17"/>
        <v>0</v>
      </c>
      <c r="AD58" s="71"/>
      <c r="AE58" s="80"/>
      <c r="AF58" s="79">
        <f t="shared" si="17"/>
        <v>0</v>
      </c>
      <c r="AG58" s="71"/>
      <c r="AH58" s="71"/>
    </row>
    <row r="59" spans="1:34">
      <c r="A59" s="55"/>
      <c r="B59" s="55"/>
      <c r="C59" s="126" t="str">
        <f>"MAX. "&amp;UPPER(Idiomas!D262)</f>
        <v>MAX. CUARTOS DE FINAL</v>
      </c>
      <c r="D59" s="129">
        <f>SUM($D$24:$D$26)*SUM($I$220:$I$223)+$D$27*4</f>
        <v>0</v>
      </c>
      <c r="E59" s="117"/>
      <c r="F59" s="453">
        <f t="shared" si="7"/>
        <v>0</v>
      </c>
      <c r="G59" s="453">
        <f ca="1">VLOOKUP(H59,Equipos!$Q$1:$R$25,2,0)</f>
        <v>14</v>
      </c>
      <c r="H59" s="454">
        <f ca="1">TRUNC(INDEX(WORLDCUP!$X$4:$X$147,MATCH(ADMIN!K59,WORLDCUP!$DT$4:$DT$147,0))+INDEX(Horarios!$R$3:$R$86,MATCH(Horarios!$C$3,Horarios!$P$3:$P$86,0))/24)</f>
        <v>46197</v>
      </c>
      <c r="I59" s="54">
        <v>1</v>
      </c>
      <c r="J59" s="101" t="s">
        <v>126</v>
      </c>
      <c r="K59" s="59" t="str">
        <f ca="1">CONCATENATE(WORLDCUP!AA25,"-",WORLDCUP!AF25)</f>
        <v>Marruecos-Haití</v>
      </c>
      <c r="L59" s="59"/>
      <c r="M59" s="61" t="str">
        <f>IF(OR(WORLDCUP!AC25="",WORLDCUP!AD25=""),"-",N59&amp;"|"&amp;O59&amp;"-"&amp;P59)</f>
        <v>1|1-0</v>
      </c>
      <c r="N59" s="25" t="str">
        <f>IF(OR(WORLDCUP!AC25="",WORLDCUP!AD25=""),"",IF(WORLDCUP!AC25&gt;WORLDCUP!AD25,"1",IF(WORLDCUP!AC25&lt;WORLDCUP!AD25,"2","X")))</f>
        <v>1</v>
      </c>
      <c r="O59" s="25">
        <f>WORLDCUP!AC25</f>
        <v>1</v>
      </c>
      <c r="P59" s="25">
        <f>WORLDCUP!AD25</f>
        <v>0</v>
      </c>
      <c r="Q59" s="25">
        <f t="shared" si="11"/>
        <v>1</v>
      </c>
      <c r="R59" s="55"/>
      <c r="S59" s="80"/>
      <c r="T59" s="79">
        <f t="shared" si="8"/>
        <v>0</v>
      </c>
      <c r="U59" s="71"/>
      <c r="V59" s="80"/>
      <c r="W59" s="79">
        <f t="shared" si="15"/>
        <v>0</v>
      </c>
      <c r="X59" s="71"/>
      <c r="Y59" s="80"/>
      <c r="Z59" s="79">
        <f t="shared" si="17"/>
        <v>0</v>
      </c>
      <c r="AA59" s="71"/>
      <c r="AB59" s="80"/>
      <c r="AC59" s="79">
        <f t="shared" si="17"/>
        <v>0</v>
      </c>
      <c r="AD59" s="71"/>
      <c r="AE59" s="80"/>
      <c r="AF59" s="79">
        <f t="shared" si="17"/>
        <v>0</v>
      </c>
      <c r="AG59" s="71"/>
      <c r="AH59" s="71"/>
    </row>
    <row r="60" spans="1:34">
      <c r="A60" s="55"/>
      <c r="B60" s="55"/>
      <c r="C60" s="127" t="str">
        <f>"MAX. "&amp;UPPER(Idiomas!D263)</f>
        <v>MAX. SEMIFINALES</v>
      </c>
      <c r="D60" s="130">
        <f>SUM($D$28:$D$30)*SUM($I$232:$I$233)+$D$31*2+$D$32*2</f>
        <v>0</v>
      </c>
      <c r="E60" s="117"/>
      <c r="F60" s="453">
        <f t="shared" si="7"/>
        <v>0</v>
      </c>
      <c r="G60" s="453">
        <f ca="1">VLOOKUP(H60,Equipos!$Q$1:$R$25,2,0)</f>
        <v>15</v>
      </c>
      <c r="H60" s="454">
        <f ca="1">TRUNC(INDEX(WORLDCUP!$X$4:$X$147,MATCH(ADMIN!K60,WORLDCUP!$DT$4:$DT$147,0))+INDEX(Horarios!$R$3:$R$86,MATCH(Horarios!$C$3,Horarios!$P$3:$P$86,0))/24)</f>
        <v>46198</v>
      </c>
      <c r="I60" s="54">
        <v>1</v>
      </c>
      <c r="J60" s="102" t="s">
        <v>127</v>
      </c>
      <c r="K60" s="62" t="str">
        <f ca="1">CONCATENATE(WORLDCUP!AA32,"-",WORLDCUP!AF32)</f>
        <v>Turquía-Estados Unidos</v>
      </c>
      <c r="L60" s="59"/>
      <c r="M60" s="61" t="str">
        <f>IF(OR(WORLDCUP!AC32="",WORLDCUP!AD32=""),"-",N60&amp;"|"&amp;O60&amp;"-"&amp;P60)</f>
        <v>X|1-1</v>
      </c>
      <c r="N60" s="25" t="str">
        <f>IF(OR(WORLDCUP!AC32="",WORLDCUP!AD32=""),"",IF(WORLDCUP!AC32&gt;WORLDCUP!AD32,"1",IF(WORLDCUP!AC32&lt;WORLDCUP!AD32,"2","X")))</f>
        <v>X</v>
      </c>
      <c r="O60" s="25">
        <f>WORLDCUP!AC32</f>
        <v>1</v>
      </c>
      <c r="P60" s="25">
        <f>WORLDCUP!AD32</f>
        <v>1</v>
      </c>
      <c r="Q60" s="25">
        <f t="shared" si="11"/>
        <v>0</v>
      </c>
      <c r="R60" s="55"/>
      <c r="S60" s="82"/>
      <c r="T60" s="83">
        <f t="shared" si="8"/>
        <v>0</v>
      </c>
      <c r="U60" s="71"/>
      <c r="V60" s="82"/>
      <c r="W60" s="83">
        <f t="shared" si="15"/>
        <v>0</v>
      </c>
      <c r="X60" s="71"/>
      <c r="Y60" s="82"/>
      <c r="Z60" s="83">
        <f t="shared" si="17"/>
        <v>0</v>
      </c>
      <c r="AA60" s="71"/>
      <c r="AB60" s="82"/>
      <c r="AC60" s="83">
        <f t="shared" si="17"/>
        <v>0</v>
      </c>
      <c r="AD60" s="71"/>
      <c r="AE60" s="82"/>
      <c r="AF60" s="83">
        <f t="shared" si="17"/>
        <v>0</v>
      </c>
      <c r="AG60" s="71"/>
      <c r="AH60" s="71"/>
    </row>
    <row r="61" spans="1:34">
      <c r="A61" s="55"/>
      <c r="B61" s="55"/>
      <c r="C61" s="126" t="str">
        <f>"MAX. "&amp;UPPER(Idiomas!D264)</f>
        <v>MAX. 3-4 &amp; FINAL</v>
      </c>
      <c r="D61" s="129">
        <f>SUM($D$33:$D$35)*$I$244+SUM($D$36:$D$38)*$I$247</f>
        <v>0</v>
      </c>
      <c r="E61" s="117"/>
      <c r="F61" s="453">
        <f t="shared" si="7"/>
        <v>0</v>
      </c>
      <c r="G61" s="453">
        <f ca="1">VLOOKUP(H61,Equipos!$Q$1:$R$25,2,0)</f>
        <v>15</v>
      </c>
      <c r="H61" s="454">
        <f ca="1">TRUNC(INDEX(WORLDCUP!$X$4:$X$147,MATCH(ADMIN!K61,WORLDCUP!$DT$4:$DT$147,0))+INDEX(Horarios!$R$3:$R$86,MATCH(Horarios!$C$3,Horarios!$P$3:$P$86,0))/24)</f>
        <v>46198</v>
      </c>
      <c r="I61" s="54">
        <v>1</v>
      </c>
      <c r="J61" s="102" t="s">
        <v>127</v>
      </c>
      <c r="K61" s="59" t="str">
        <f ca="1">CONCATENATE(WORLDCUP!AA33,"-",WORLDCUP!AF33)</f>
        <v>Paraguay-Australia</v>
      </c>
      <c r="L61" s="59"/>
      <c r="M61" s="61" t="str">
        <f>IF(OR(WORLDCUP!AC33="",WORLDCUP!AD33=""),"-",N61&amp;"|"&amp;O61&amp;"-"&amp;P61)</f>
        <v>1|2-1</v>
      </c>
      <c r="N61" s="25" t="str">
        <f>IF(OR(WORLDCUP!AC33="",WORLDCUP!AD33=""),"",IF(WORLDCUP!AC33&gt;WORLDCUP!AD33,"1",IF(WORLDCUP!AC33&lt;WORLDCUP!AD33,"2","X")))</f>
        <v>1</v>
      </c>
      <c r="O61" s="25">
        <f>WORLDCUP!AC33</f>
        <v>2</v>
      </c>
      <c r="P61" s="25">
        <f>WORLDCUP!AD33</f>
        <v>1</v>
      </c>
      <c r="Q61" s="25">
        <f t="shared" si="11"/>
        <v>1</v>
      </c>
      <c r="R61" s="55"/>
      <c r="S61" s="80"/>
      <c r="T61" s="79">
        <f t="shared" si="8"/>
        <v>0</v>
      </c>
      <c r="U61" s="71"/>
      <c r="V61" s="80"/>
      <c r="W61" s="79">
        <f t="shared" si="15"/>
        <v>0</v>
      </c>
      <c r="X61" s="71"/>
      <c r="Y61" s="80"/>
      <c r="Z61" s="79">
        <f t="shared" si="17"/>
        <v>0</v>
      </c>
      <c r="AA61" s="71"/>
      <c r="AB61" s="80"/>
      <c r="AC61" s="79">
        <f t="shared" si="17"/>
        <v>0</v>
      </c>
      <c r="AD61" s="71"/>
      <c r="AE61" s="80"/>
      <c r="AF61" s="79">
        <f t="shared" si="17"/>
        <v>0</v>
      </c>
      <c r="AG61" s="71"/>
      <c r="AH61" s="71"/>
    </row>
    <row r="62" spans="1:34">
      <c r="A62" s="55"/>
      <c r="B62" s="55"/>
      <c r="C62" s="53" t="str">
        <f>"MAX. "&amp;$K$249</f>
        <v>MAX. CUADRO DE HONOR</v>
      </c>
      <c r="D62" s="132">
        <f>SUM($D$39:$D$47)</f>
        <v>0</v>
      </c>
      <c r="E62" s="117"/>
      <c r="F62" s="453">
        <f t="shared" si="7"/>
        <v>0</v>
      </c>
      <c r="G62" s="453">
        <f ca="1">VLOOKUP(H62,Equipos!$Q$1:$R$25,2,0)</f>
        <v>15</v>
      </c>
      <c r="H62" s="454">
        <f ca="1">TRUNC(INDEX(WORLDCUP!$X$4:$X$147,MATCH(ADMIN!K62,WORLDCUP!$DT$4:$DT$147,0))+INDEX(Horarios!$R$3:$R$86,MATCH(Horarios!$C$3,Horarios!$P$3:$P$86,0))/24)</f>
        <v>46198</v>
      </c>
      <c r="I62" s="54">
        <v>1</v>
      </c>
      <c r="J62" s="101" t="s">
        <v>128</v>
      </c>
      <c r="K62" s="62" t="str">
        <f ca="1">CONCATENATE(WORLDCUP!AA40,"-",WORLDCUP!AF40)</f>
        <v>Curazao-Costa de Marfil</v>
      </c>
      <c r="L62" s="59"/>
      <c r="M62" s="61" t="str">
        <f>IF(OR(WORLDCUP!AC40="",WORLDCUP!AD40=""),"-",N62&amp;"|"&amp;O62&amp;"-"&amp;P62)</f>
        <v>2|1-4</v>
      </c>
      <c r="N62" s="25" t="str">
        <f>IF(OR(WORLDCUP!AC40="",WORLDCUP!AD40=""),"",IF(WORLDCUP!AC40&gt;WORLDCUP!AD40,"1",IF(WORLDCUP!AC40&lt;WORLDCUP!AD40,"2","X")))</f>
        <v>2</v>
      </c>
      <c r="O62" s="25">
        <f>WORLDCUP!AC40</f>
        <v>1</v>
      </c>
      <c r="P62" s="25">
        <f>WORLDCUP!AD40</f>
        <v>4</v>
      </c>
      <c r="Q62" s="25">
        <f t="shared" si="11"/>
        <v>3</v>
      </c>
      <c r="R62" s="55"/>
      <c r="S62" s="80"/>
      <c r="T62" s="79">
        <f t="shared" si="8"/>
        <v>0</v>
      </c>
      <c r="U62" s="71"/>
      <c r="V62" s="80"/>
      <c r="W62" s="79">
        <f t="shared" si="15"/>
        <v>0</v>
      </c>
      <c r="X62" s="71"/>
      <c r="Y62" s="80"/>
      <c r="Z62" s="79">
        <f t="shared" si="17"/>
        <v>0</v>
      </c>
      <c r="AA62" s="71"/>
      <c r="AB62" s="80"/>
      <c r="AC62" s="79">
        <f t="shared" si="17"/>
        <v>0</v>
      </c>
      <c r="AD62" s="71"/>
      <c r="AE62" s="80"/>
      <c r="AF62" s="79">
        <f t="shared" si="17"/>
        <v>0</v>
      </c>
      <c r="AG62" s="71"/>
      <c r="AH62" s="71"/>
    </row>
    <row r="63" spans="1:34">
      <c r="A63" s="55"/>
      <c r="B63" s="55"/>
      <c r="C63" s="55"/>
      <c r="D63" s="55"/>
      <c r="E63" s="117"/>
      <c r="F63" s="453">
        <f t="shared" si="7"/>
        <v>0</v>
      </c>
      <c r="G63" s="453">
        <f ca="1">VLOOKUP(H63,Equipos!$Q$1:$R$25,2,0)</f>
        <v>15</v>
      </c>
      <c r="H63" s="454">
        <f ca="1">TRUNC(INDEX(WORLDCUP!$X$4:$X$147,MATCH(ADMIN!K63,WORLDCUP!$DT$4:$DT$147,0))+INDEX(Horarios!$R$3:$R$86,MATCH(Horarios!$C$3,Horarios!$P$3:$P$86,0))/24)</f>
        <v>46198</v>
      </c>
      <c r="I63" s="54">
        <v>1</v>
      </c>
      <c r="J63" s="101" t="s">
        <v>128</v>
      </c>
      <c r="K63" s="59" t="str">
        <f ca="1">CONCATENATE(WORLDCUP!AA41,"-",WORLDCUP!AF41)</f>
        <v>Ecuador-Alemania</v>
      </c>
      <c r="L63" s="59"/>
      <c r="M63" s="61" t="str">
        <f>IF(OR(WORLDCUP!AC41="",WORLDCUP!AD41=""),"-",N63&amp;"|"&amp;O63&amp;"-"&amp;P63)</f>
        <v>2|2-3</v>
      </c>
      <c r="N63" s="25" t="str">
        <f>IF(OR(WORLDCUP!AC41="",WORLDCUP!AD41=""),"",IF(WORLDCUP!AC41&gt;WORLDCUP!AD41,"1",IF(WORLDCUP!AC41&lt;WORLDCUP!AD41,"2","X")))</f>
        <v>2</v>
      </c>
      <c r="O63" s="25">
        <f>WORLDCUP!AC41</f>
        <v>2</v>
      </c>
      <c r="P63" s="25">
        <f>WORLDCUP!AD41</f>
        <v>3</v>
      </c>
      <c r="Q63" s="25">
        <f t="shared" si="11"/>
        <v>1</v>
      </c>
      <c r="R63" s="55"/>
      <c r="S63" s="80"/>
      <c r="T63" s="79">
        <f t="shared" si="8"/>
        <v>0</v>
      </c>
      <c r="U63" s="71"/>
      <c r="V63" s="80"/>
      <c r="W63" s="79">
        <f t="shared" si="15"/>
        <v>0</v>
      </c>
      <c r="X63" s="71"/>
      <c r="Y63" s="80"/>
      <c r="Z63" s="79">
        <f t="shared" si="17"/>
        <v>0</v>
      </c>
      <c r="AA63" s="71"/>
      <c r="AB63" s="80"/>
      <c r="AC63" s="79">
        <f t="shared" si="17"/>
        <v>0</v>
      </c>
      <c r="AD63" s="71"/>
      <c r="AE63" s="80"/>
      <c r="AF63" s="79">
        <f t="shared" si="17"/>
        <v>0</v>
      </c>
      <c r="AG63" s="71"/>
      <c r="AH63" s="71"/>
    </row>
    <row r="64" spans="1:34">
      <c r="A64" s="55"/>
      <c r="B64" s="55"/>
      <c r="C64" s="125" t="str">
        <f>"MAX. "&amp;K5</f>
        <v>MAX. FASE DE GRUPOS</v>
      </c>
      <c r="D64" s="128">
        <f>D56</f>
        <v>0</v>
      </c>
      <c r="E64" s="117"/>
      <c r="F64" s="453">
        <f t="shared" si="7"/>
        <v>0</v>
      </c>
      <c r="G64" s="453">
        <f ca="1">VLOOKUP(H64,Equipos!$Q$1:$R$25,2,0)</f>
        <v>15</v>
      </c>
      <c r="H64" s="454">
        <f ca="1">TRUNC(INDEX(WORLDCUP!$X$4:$X$147,MATCH(ADMIN!K64,WORLDCUP!$DT$4:$DT$147,0))+INDEX(Horarios!$R$3:$R$86,MATCH(Horarios!$C$3,Horarios!$P$3:$P$86,0))/24)</f>
        <v>46198</v>
      </c>
      <c r="I64" s="54">
        <v>1</v>
      </c>
      <c r="J64" s="102" t="s">
        <v>129</v>
      </c>
      <c r="K64" s="62" t="str">
        <f ca="1">CONCATENATE(WORLDCUP!AA48,"-",WORLDCUP!AF48)</f>
        <v>Japón-Suecia</v>
      </c>
      <c r="L64" s="59"/>
      <c r="M64" s="61" t="str">
        <f>IF(OR(WORLDCUP!AC48="",WORLDCUP!AD48=""),"-",N64&amp;"|"&amp;O64&amp;"-"&amp;P64)</f>
        <v>1|2-0</v>
      </c>
      <c r="N64" s="25" t="str">
        <f>IF(OR(WORLDCUP!AC48="",WORLDCUP!AD48=""),"",IF(WORLDCUP!AC48&gt;WORLDCUP!AD48,"1",IF(WORLDCUP!AC48&lt;WORLDCUP!AD48,"2","X")))</f>
        <v>1</v>
      </c>
      <c r="O64" s="25">
        <f>WORLDCUP!AC48</f>
        <v>2</v>
      </c>
      <c r="P64" s="25">
        <f>WORLDCUP!AD48</f>
        <v>0</v>
      </c>
      <c r="Q64" s="25">
        <f t="shared" si="11"/>
        <v>2</v>
      </c>
      <c r="R64" s="55"/>
      <c r="S64" s="80"/>
      <c r="T64" s="79">
        <f t="shared" si="8"/>
        <v>0</v>
      </c>
      <c r="U64" s="71"/>
      <c r="V64" s="80"/>
      <c r="W64" s="79">
        <f t="shared" si="15"/>
        <v>0</v>
      </c>
      <c r="X64" s="71"/>
      <c r="Y64" s="80"/>
      <c r="Z64" s="79">
        <f t="shared" si="17"/>
        <v>0</v>
      </c>
      <c r="AA64" s="71"/>
      <c r="AB64" s="80"/>
      <c r="AC64" s="79">
        <f t="shared" si="17"/>
        <v>0</v>
      </c>
      <c r="AD64" s="71"/>
      <c r="AE64" s="80"/>
      <c r="AF64" s="79">
        <f t="shared" si="17"/>
        <v>0</v>
      </c>
      <c r="AG64" s="71"/>
      <c r="AH64" s="71"/>
    </row>
    <row r="65" spans="1:34">
      <c r="A65" s="55"/>
      <c r="B65" s="55"/>
      <c r="C65" s="52" t="s">
        <v>1646</v>
      </c>
      <c r="D65" s="131">
        <f>SUM($D$57:$D$62)</f>
        <v>0</v>
      </c>
      <c r="E65" s="117"/>
      <c r="F65" s="453">
        <f t="shared" si="7"/>
        <v>0</v>
      </c>
      <c r="G65" s="453">
        <f ca="1">VLOOKUP(H65,Equipos!$Q$1:$R$25,2,0)</f>
        <v>15</v>
      </c>
      <c r="H65" s="454">
        <f ca="1">TRUNC(INDEX(WORLDCUP!$X$4:$X$147,MATCH(ADMIN!K65,WORLDCUP!$DT$4:$DT$147,0))+INDEX(Horarios!$R$3:$R$86,MATCH(Horarios!$C$3,Horarios!$P$3:$P$86,0))/24)</f>
        <v>46198</v>
      </c>
      <c r="I65" s="54">
        <v>1</v>
      </c>
      <c r="J65" s="102" t="s">
        <v>129</v>
      </c>
      <c r="K65" s="62" t="str">
        <f ca="1">CONCATENATE(WORLDCUP!AA49,"-",WORLDCUP!AF49)</f>
        <v>Túnez-Países Bajos</v>
      </c>
      <c r="L65" s="59"/>
      <c r="M65" s="61" t="str">
        <f>IF(OR(WORLDCUP!AC49="",WORLDCUP!AD49=""),"-",N65&amp;"|"&amp;O65&amp;"-"&amp;P65)</f>
        <v>2|0-3</v>
      </c>
      <c r="N65" s="25" t="str">
        <f>IF(OR(WORLDCUP!AC49="",WORLDCUP!AD49=""),"",IF(WORLDCUP!AC49&gt;WORLDCUP!AD49,"1",IF(WORLDCUP!AC49&lt;WORLDCUP!AD49,"2","X")))</f>
        <v>2</v>
      </c>
      <c r="O65" s="25">
        <f>WORLDCUP!AC49</f>
        <v>0</v>
      </c>
      <c r="P65" s="25">
        <f>WORLDCUP!AD49</f>
        <v>3</v>
      </c>
      <c r="Q65" s="25">
        <f t="shared" si="11"/>
        <v>3</v>
      </c>
      <c r="R65" s="55"/>
      <c r="S65" s="80"/>
      <c r="T65" s="79">
        <f t="shared" si="8"/>
        <v>0</v>
      </c>
      <c r="U65" s="71"/>
      <c r="V65" s="80"/>
      <c r="W65" s="79">
        <f t="shared" si="15"/>
        <v>0</v>
      </c>
      <c r="X65" s="71"/>
      <c r="Y65" s="80"/>
      <c r="Z65" s="79">
        <f t="shared" si="17"/>
        <v>0</v>
      </c>
      <c r="AA65" s="71"/>
      <c r="AB65" s="80"/>
      <c r="AC65" s="79">
        <f t="shared" si="17"/>
        <v>0</v>
      </c>
      <c r="AD65" s="71"/>
      <c r="AE65" s="80"/>
      <c r="AF65" s="79">
        <f t="shared" si="17"/>
        <v>0</v>
      </c>
      <c r="AG65" s="71"/>
      <c r="AH65" s="71"/>
    </row>
    <row r="66" spans="1:34">
      <c r="A66" s="55"/>
      <c r="B66" s="55"/>
      <c r="C66" s="17"/>
      <c r="D66" s="17"/>
      <c r="E66" s="117"/>
      <c r="F66" s="453">
        <f t="shared" si="7"/>
        <v>0</v>
      </c>
      <c r="G66" s="453">
        <f ca="1">VLOOKUP(H66,Equipos!$Q$1:$R$25,2,0)</f>
        <v>16</v>
      </c>
      <c r="H66" s="454">
        <f ca="1">TRUNC(INDEX(WORLDCUP!$X$4:$X$147,MATCH(ADMIN!K66,WORLDCUP!$DT$4:$DT$147,0))+INDEX(Horarios!$R$3:$R$86,MATCH(Horarios!$C$3,Horarios!$P$3:$P$86,0))/24)</f>
        <v>46199</v>
      </c>
      <c r="I66" s="54">
        <v>1</v>
      </c>
      <c r="J66" s="101" t="s">
        <v>180</v>
      </c>
      <c r="K66" s="59" t="str">
        <f ca="1">CONCATENATE(WORLDCUP!AA56,"-",WORLDCUP!AF56)</f>
        <v>Egipto-Irán</v>
      </c>
      <c r="L66" s="59"/>
      <c r="M66" s="61" t="str">
        <f>IF(OR(WORLDCUP!AC56="",WORLDCUP!AD56=""),"-",N66&amp;"|"&amp;O66&amp;"-"&amp;P66)</f>
        <v>X|1-1</v>
      </c>
      <c r="N66" s="25" t="str">
        <f>IF(OR(WORLDCUP!AC56="",WORLDCUP!AD56=""),"",IF(WORLDCUP!AC56&gt;WORLDCUP!AD56,"1",IF(WORLDCUP!AC56&lt;WORLDCUP!AD56,"2","X")))</f>
        <v>X</v>
      </c>
      <c r="O66" s="25">
        <f>WORLDCUP!AC56</f>
        <v>1</v>
      </c>
      <c r="P66" s="25">
        <f>WORLDCUP!AD56</f>
        <v>1</v>
      </c>
      <c r="Q66" s="25">
        <f t="shared" si="11"/>
        <v>0</v>
      </c>
      <c r="R66" s="55"/>
      <c r="S66" s="80"/>
      <c r="T66" s="79">
        <f t="shared" si="8"/>
        <v>0</v>
      </c>
      <c r="U66" s="71"/>
      <c r="V66" s="80"/>
      <c r="W66" s="79">
        <f t="shared" si="15"/>
        <v>0</v>
      </c>
      <c r="X66" s="71"/>
      <c r="Y66" s="80"/>
      <c r="Z66" s="79">
        <f t="shared" si="17"/>
        <v>0</v>
      </c>
      <c r="AA66" s="71"/>
      <c r="AB66" s="80"/>
      <c r="AC66" s="79">
        <f t="shared" si="17"/>
        <v>0</v>
      </c>
      <c r="AD66" s="71"/>
      <c r="AE66" s="80"/>
      <c r="AF66" s="79">
        <f t="shared" si="17"/>
        <v>0</v>
      </c>
      <c r="AG66" s="71"/>
      <c r="AH66" s="71"/>
    </row>
    <row r="67" spans="1:34">
      <c r="A67" s="55"/>
      <c r="B67" s="55"/>
      <c r="C67" s="17"/>
      <c r="D67" s="17"/>
      <c r="E67" s="117"/>
      <c r="F67" s="453">
        <f t="shared" si="7"/>
        <v>0</v>
      </c>
      <c r="G67" s="453">
        <f ca="1">VLOOKUP(H67,Equipos!$Q$1:$R$25,2,0)</f>
        <v>16</v>
      </c>
      <c r="H67" s="454">
        <f ca="1">TRUNC(INDEX(WORLDCUP!$X$4:$X$147,MATCH(ADMIN!K67,WORLDCUP!$DT$4:$DT$147,0))+INDEX(Horarios!$R$3:$R$86,MATCH(Horarios!$C$3,Horarios!$P$3:$P$86,0))/24)</f>
        <v>46199</v>
      </c>
      <c r="I67" s="54">
        <v>1</v>
      </c>
      <c r="J67" s="101" t="s">
        <v>180</v>
      </c>
      <c r="K67" s="59" t="str">
        <f ca="1">CONCATENATE(WORLDCUP!AA57,"-",WORLDCUP!AF57)</f>
        <v>Nueva Zelanda-Bélgica</v>
      </c>
      <c r="L67" s="59"/>
      <c r="M67" s="61" t="str">
        <f>IF(OR(WORLDCUP!AC57="",WORLDCUP!AD57=""),"-",N67&amp;"|"&amp;O67&amp;"-"&amp;P67)</f>
        <v>2|1-4</v>
      </c>
      <c r="N67" s="25" t="str">
        <f>IF(OR(WORLDCUP!AC57="",WORLDCUP!AD57=""),"",IF(WORLDCUP!AC57&gt;WORLDCUP!AD57,"1",IF(WORLDCUP!AC57&lt;WORLDCUP!AD57,"2","X")))</f>
        <v>2</v>
      </c>
      <c r="O67" s="25">
        <f>WORLDCUP!AC57</f>
        <v>1</v>
      </c>
      <c r="P67" s="25">
        <f>WORLDCUP!AD57</f>
        <v>4</v>
      </c>
      <c r="Q67" s="25">
        <f t="shared" si="11"/>
        <v>3</v>
      </c>
      <c r="R67" s="55"/>
      <c r="S67" s="80"/>
      <c r="T67" s="79">
        <f t="shared" si="8"/>
        <v>0</v>
      </c>
      <c r="U67" s="71"/>
      <c r="V67" s="80"/>
      <c r="W67" s="79">
        <f t="shared" si="15"/>
        <v>0</v>
      </c>
      <c r="X67" s="71"/>
      <c r="Y67" s="80"/>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c r="AC67" s="79">
        <f t="shared" si="18"/>
        <v>0</v>
      </c>
      <c r="AD67" s="71"/>
      <c r="AE67" s="80"/>
      <c r="AF67" s="79">
        <f t="shared" si="18"/>
        <v>0</v>
      </c>
      <c r="AG67" s="71"/>
      <c r="AH67" s="71"/>
    </row>
    <row r="68" spans="1:34">
      <c r="A68" s="55"/>
      <c r="B68" s="55"/>
      <c r="C68" s="17"/>
      <c r="D68" s="17"/>
      <c r="E68" s="117"/>
      <c r="F68" s="453">
        <f t="shared" si="7"/>
        <v>0</v>
      </c>
      <c r="G68" s="453">
        <f ca="1">VLOOKUP(H68,Equipos!$Q$1:$R$25,2,0)</f>
        <v>16</v>
      </c>
      <c r="H68" s="454">
        <f ca="1">TRUNC(INDEX(WORLDCUP!$X$4:$X$147,MATCH(ADMIN!K68,WORLDCUP!$DT$4:$DT$147,0))+INDEX(Horarios!$R$3:$R$86,MATCH(Horarios!$C$3,Horarios!$P$3:$P$86,0))/24)</f>
        <v>46199</v>
      </c>
      <c r="I68" s="54">
        <v>1</v>
      </c>
      <c r="J68" s="102" t="s">
        <v>181</v>
      </c>
      <c r="K68" s="62" t="str">
        <f ca="1">CONCATENATE(WORLDCUP!AA64,"-",WORLDCUP!AF64)</f>
        <v>Cabo Verde-Arabia Saudita</v>
      </c>
      <c r="L68" s="59"/>
      <c r="M68" s="61" t="str">
        <f>IF(OR(WORLDCUP!AC64="",WORLDCUP!AD64=""),"-",N68&amp;"|"&amp;O68&amp;"-"&amp;P68)</f>
        <v>2|1-2</v>
      </c>
      <c r="N68" s="25" t="str">
        <f>IF(OR(WORLDCUP!AC64="",WORLDCUP!AD64=""),"",IF(WORLDCUP!AC64&gt;WORLDCUP!AD64,"1",IF(WORLDCUP!AC64&lt;WORLDCUP!AD64,"2","X")))</f>
        <v>2</v>
      </c>
      <c r="O68" s="25">
        <f>WORLDCUP!AC64</f>
        <v>1</v>
      </c>
      <c r="P68" s="25">
        <f>WORLDCUP!AD64</f>
        <v>2</v>
      </c>
      <c r="Q68" s="25">
        <f t="shared" si="11"/>
        <v>1</v>
      </c>
      <c r="R68" s="55"/>
      <c r="S68" s="80"/>
      <c r="T68" s="79">
        <f t="shared" si="8"/>
        <v>0</v>
      </c>
      <c r="U68" s="71"/>
      <c r="V68" s="80"/>
      <c r="W68" s="79">
        <f t="shared" si="15"/>
        <v>0</v>
      </c>
      <c r="X68" s="71"/>
      <c r="Y68" s="80"/>
      <c r="Z68" s="79">
        <f t="shared" si="18"/>
        <v>0</v>
      </c>
      <c r="AA68" s="71"/>
      <c r="AB68" s="80"/>
      <c r="AC68" s="79">
        <f t="shared" si="18"/>
        <v>0</v>
      </c>
      <c r="AD68" s="71"/>
      <c r="AE68" s="80"/>
      <c r="AF68" s="79">
        <f t="shared" si="18"/>
        <v>0</v>
      </c>
      <c r="AG68" s="71"/>
      <c r="AH68" s="71"/>
    </row>
    <row r="69" spans="1:34">
      <c r="A69" s="55"/>
      <c r="B69" s="55"/>
      <c r="C69" s="17"/>
      <c r="D69" s="17"/>
      <c r="E69" s="117"/>
      <c r="F69" s="453">
        <f t="shared" si="7"/>
        <v>0</v>
      </c>
      <c r="G69" s="453">
        <f ca="1">VLOOKUP(H69,Equipos!$Q$1:$R$25,2,0)</f>
        <v>16</v>
      </c>
      <c r="H69" s="454">
        <f ca="1">TRUNC(INDEX(WORLDCUP!$X$4:$X$147,MATCH(ADMIN!K69,WORLDCUP!$DT$4:$DT$147,0))+INDEX(Horarios!$R$3:$R$86,MATCH(Horarios!$C$3,Horarios!$P$3:$P$86,0))/24)</f>
        <v>46199</v>
      </c>
      <c r="I69" s="54">
        <v>1</v>
      </c>
      <c r="J69" s="102" t="s">
        <v>181</v>
      </c>
      <c r="K69" s="59" t="str">
        <f ca="1">CONCATENATE(WORLDCUP!AA65,"-",WORLDCUP!AF65)</f>
        <v>Uruguay-España</v>
      </c>
      <c r="L69" s="59"/>
      <c r="M69" s="59" t="str">
        <f>IF(OR(WORLDCUP!AC65="",WORLDCUP!AD65=""),"-",N69&amp;"|"&amp;O69&amp;"-"&amp;P69)</f>
        <v>X|1-1</v>
      </c>
      <c r="N69" s="25" t="str">
        <f>IF(OR(WORLDCUP!AC65="",WORLDCUP!AD65=""),"",IF(WORLDCUP!AC65&gt;WORLDCUP!AD65,"1",IF(WORLDCUP!AC65&lt;WORLDCUP!AD65,"2","X")))</f>
        <v>X</v>
      </c>
      <c r="O69" s="25">
        <f>WORLDCUP!AC65</f>
        <v>1</v>
      </c>
      <c r="P69" s="25">
        <f>WORLDCUP!AD65</f>
        <v>1</v>
      </c>
      <c r="Q69" s="25">
        <f t="shared" si="11"/>
        <v>0</v>
      </c>
      <c r="R69" s="55"/>
      <c r="S69" s="80"/>
      <c r="T69" s="79">
        <f t="shared" si="8"/>
        <v>0</v>
      </c>
      <c r="U69" s="71"/>
      <c r="V69" s="80"/>
      <c r="W69" s="79">
        <f t="shared" si="15"/>
        <v>0</v>
      </c>
      <c r="X69" s="71"/>
      <c r="Y69" s="80"/>
      <c r="Z69" s="79">
        <f t="shared" si="18"/>
        <v>0</v>
      </c>
      <c r="AA69" s="71"/>
      <c r="AB69" s="80"/>
      <c r="AC69" s="79">
        <f t="shared" si="18"/>
        <v>0</v>
      </c>
      <c r="AD69" s="71"/>
      <c r="AE69" s="80"/>
      <c r="AF69" s="79">
        <f t="shared" si="18"/>
        <v>0</v>
      </c>
      <c r="AG69" s="71"/>
      <c r="AH69" s="71"/>
    </row>
    <row r="70" spans="1:34">
      <c r="A70" s="55"/>
      <c r="B70" s="55"/>
      <c r="C70" s="17"/>
      <c r="D70" s="17"/>
      <c r="E70" s="117"/>
      <c r="F70" s="453">
        <f t="shared" si="7"/>
        <v>0</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2|1-2</v>
      </c>
      <c r="N70" s="25" t="str">
        <f>IF(OR(WORLDCUP!AC72="",WORLDCUP!AD72=""),"",IF(WORLDCUP!AC72&gt;WORLDCUP!AD72,"1",IF(WORLDCUP!AC72&lt;WORLDCUP!AD72,"2","X")))</f>
        <v>2</v>
      </c>
      <c r="O70" s="25">
        <f>WORLDCUP!AC72</f>
        <v>1</v>
      </c>
      <c r="P70" s="25">
        <f>WORLDCUP!AD72</f>
        <v>2</v>
      </c>
      <c r="Q70" s="25">
        <f t="shared" si="11"/>
        <v>1</v>
      </c>
      <c r="R70" s="55"/>
      <c r="S70" s="80"/>
      <c r="T70" s="79">
        <f t="shared" si="8"/>
        <v>0</v>
      </c>
      <c r="U70" s="71"/>
      <c r="V70" s="80"/>
      <c r="W70" s="79">
        <f t="shared" si="15"/>
        <v>0</v>
      </c>
      <c r="X70" s="71"/>
      <c r="Y70" s="80"/>
      <c r="Z70" s="79">
        <f t="shared" si="18"/>
        <v>0</v>
      </c>
      <c r="AA70" s="71"/>
      <c r="AB70" s="80"/>
      <c r="AC70" s="79">
        <f t="shared" si="18"/>
        <v>0</v>
      </c>
      <c r="AD70" s="71"/>
      <c r="AE70" s="80"/>
      <c r="AF70" s="79">
        <f t="shared" si="18"/>
        <v>0</v>
      </c>
      <c r="AG70" s="71"/>
      <c r="AH70" s="71"/>
    </row>
    <row r="71" spans="1:34">
      <c r="A71" s="55"/>
      <c r="B71" s="55"/>
      <c r="C71" s="17"/>
      <c r="D71" s="17"/>
      <c r="E71" s="117"/>
      <c r="F71" s="453">
        <f t="shared" ref="F71:F77" si="19">SUM($D$8:$D$10)*I71</f>
        <v>0</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1|2-0</v>
      </c>
      <c r="N71" s="25" t="str">
        <f>IF(OR(WORLDCUP!AC73="",WORLDCUP!AD73=""),"",IF(WORLDCUP!AC73&gt;WORLDCUP!AD73,"1",IF(WORLDCUP!AC73&lt;WORLDCUP!AD73,"2","X")))</f>
        <v>1</v>
      </c>
      <c r="O71" s="25">
        <f>WORLDCUP!AC73</f>
        <v>2</v>
      </c>
      <c r="P71" s="25">
        <f>WORLDCUP!AD73</f>
        <v>0</v>
      </c>
      <c r="Q71" s="25">
        <f t="shared" ref="Q71:Q77" si="20">ABS(O71-P71)</f>
        <v>2</v>
      </c>
      <c r="R71" s="55"/>
      <c r="S71" s="80"/>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c r="W71" s="79">
        <f t="shared" si="15"/>
        <v>0</v>
      </c>
      <c r="X71" s="71"/>
      <c r="Y71" s="80"/>
      <c r="Z71" s="79">
        <f t="shared" si="18"/>
        <v>0</v>
      </c>
      <c r="AA71" s="71"/>
      <c r="AB71" s="80"/>
      <c r="AC71" s="79">
        <f t="shared" si="18"/>
        <v>0</v>
      </c>
      <c r="AD71" s="71"/>
      <c r="AE71" s="80"/>
      <c r="AF71" s="79">
        <f t="shared" si="18"/>
        <v>0</v>
      </c>
      <c r="AG71" s="71"/>
      <c r="AH71" s="71"/>
    </row>
    <row r="72" spans="1:34">
      <c r="A72" s="55"/>
      <c r="B72" s="55"/>
      <c r="C72" s="17"/>
      <c r="D72" s="17"/>
      <c r="E72" s="117"/>
      <c r="F72" s="453">
        <f t="shared" si="19"/>
        <v>0</v>
      </c>
      <c r="G72" s="453">
        <f ca="1">VLOOKUP(H72,Equipos!$Q$1:$R$25,2,0)</f>
        <v>17</v>
      </c>
      <c r="H72" s="454">
        <f ca="1">TRUNC(INDEX(WORLDCUP!$X$4:$X$147,MATCH(ADMIN!K72,WORLDCUP!$DT$4:$DT$147,0))+INDEX(Horarios!$R$3:$R$86,MATCH(Horarios!$C$3,Horarios!$P$3:$P$86,0))/24)</f>
        <v>46200</v>
      </c>
      <c r="I72" s="54">
        <v>1</v>
      </c>
      <c r="J72" s="102" t="s">
        <v>28</v>
      </c>
      <c r="K72" s="59" t="str">
        <f ca="1">CONCATENATE(WORLDCUP!AA80,"-",WORLDCUP!AF80)</f>
        <v>Argelia-Austria</v>
      </c>
      <c r="L72" s="59"/>
      <c r="M72" s="61" t="str">
        <f>IF(OR(WORLDCUP!AC80="",WORLDCUP!AD80=""),"-",N72&amp;"|"&amp;O72&amp;"-"&amp;P72)</f>
        <v>X|0-0</v>
      </c>
      <c r="N72" s="25" t="str">
        <f>IF(OR(WORLDCUP!AC80="",WORLDCUP!AD80=""),"",IF(WORLDCUP!AC80&gt;WORLDCUP!AD80,"1",IF(WORLDCUP!AC80&lt;WORLDCUP!AD80,"2","X")))</f>
        <v>X</v>
      </c>
      <c r="O72" s="25">
        <f>WORLDCUP!AC80</f>
        <v>0</v>
      </c>
      <c r="P72" s="25">
        <f>WORLDCUP!AD80</f>
        <v>0</v>
      </c>
      <c r="Q72" s="25">
        <f t="shared" si="20"/>
        <v>0</v>
      </c>
      <c r="R72" s="55"/>
      <c r="S72" s="80"/>
      <c r="T72" s="79">
        <f t="shared" si="21"/>
        <v>0</v>
      </c>
      <c r="U72" s="71"/>
      <c r="V72" s="80"/>
      <c r="W72" s="79">
        <f t="shared" si="15"/>
        <v>0</v>
      </c>
      <c r="X72" s="71"/>
      <c r="Y72" s="80"/>
      <c r="Z72" s="79">
        <f t="shared" si="18"/>
        <v>0</v>
      </c>
      <c r="AA72" s="71"/>
      <c r="AB72" s="80"/>
      <c r="AC72" s="79">
        <f t="shared" si="18"/>
        <v>0</v>
      </c>
      <c r="AD72" s="71"/>
      <c r="AE72" s="80"/>
      <c r="AF72" s="79">
        <f t="shared" si="18"/>
        <v>0</v>
      </c>
      <c r="AG72" s="71"/>
      <c r="AH72" s="71"/>
    </row>
    <row r="73" spans="1:34">
      <c r="A73" s="55"/>
      <c r="B73" s="55"/>
      <c r="C73" s="55"/>
      <c r="D73" s="55"/>
      <c r="E73" s="117"/>
      <c r="F73" s="453">
        <f t="shared" si="19"/>
        <v>0</v>
      </c>
      <c r="G73" s="453">
        <f ca="1">VLOOKUP(H73,Equipos!$Q$1:$R$25,2,0)</f>
        <v>17</v>
      </c>
      <c r="H73" s="454">
        <f ca="1">TRUNC(INDEX(WORLDCUP!$X$4:$X$147,MATCH(ADMIN!K73,WORLDCUP!$DT$4:$DT$147,0))+INDEX(Horarios!$R$3:$R$86,MATCH(Horarios!$C$3,Horarios!$P$3:$P$86,0))/24)</f>
        <v>46200</v>
      </c>
      <c r="I73" s="54">
        <v>1</v>
      </c>
      <c r="J73" s="102" t="s">
        <v>28</v>
      </c>
      <c r="K73" s="62" t="str">
        <f ca="1">CONCATENATE(WORLDCUP!AA81,"-",WORLDCUP!AF81)</f>
        <v>Jordania-Argentina</v>
      </c>
      <c r="L73" s="59"/>
      <c r="M73" s="61" t="str">
        <f>IF(OR(WORLDCUP!AC81="",WORLDCUP!AD81=""),"-",N73&amp;"|"&amp;O73&amp;"-"&amp;P73)</f>
        <v>2|0-4</v>
      </c>
      <c r="N73" s="25" t="str">
        <f>IF(OR(WORLDCUP!AC81="",WORLDCUP!AD81=""),"",IF(WORLDCUP!AC81&gt;WORLDCUP!AD81,"1",IF(WORLDCUP!AC81&lt;WORLDCUP!AD81,"2","X")))</f>
        <v>2</v>
      </c>
      <c r="O73" s="25">
        <f>WORLDCUP!AC81</f>
        <v>0</v>
      </c>
      <c r="P73" s="25">
        <f>WORLDCUP!AD81</f>
        <v>4</v>
      </c>
      <c r="Q73" s="25">
        <f t="shared" si="20"/>
        <v>4</v>
      </c>
      <c r="R73" s="55"/>
      <c r="S73" s="80"/>
      <c r="T73" s="79">
        <f t="shared" si="21"/>
        <v>0</v>
      </c>
      <c r="U73" s="71"/>
      <c r="V73" s="80"/>
      <c r="W73" s="79">
        <f t="shared" si="15"/>
        <v>0</v>
      </c>
      <c r="X73" s="71"/>
      <c r="Y73" s="80"/>
      <c r="Z73" s="79">
        <f t="shared" si="18"/>
        <v>0</v>
      </c>
      <c r="AA73" s="71"/>
      <c r="AB73" s="80"/>
      <c r="AC73" s="79">
        <f t="shared" si="18"/>
        <v>0</v>
      </c>
      <c r="AD73" s="71"/>
      <c r="AE73" s="80"/>
      <c r="AF73" s="79">
        <f t="shared" si="18"/>
        <v>0</v>
      </c>
      <c r="AG73" s="71"/>
      <c r="AH73" s="71"/>
    </row>
    <row r="74" spans="1:34">
      <c r="A74" s="55"/>
      <c r="B74" s="55"/>
      <c r="C74" s="55"/>
      <c r="D74" s="55"/>
      <c r="E74" s="117"/>
      <c r="F74" s="453">
        <f t="shared" si="19"/>
        <v>0</v>
      </c>
      <c r="G74" s="453">
        <f ca="1">VLOOKUP(H74,Equipos!$Q$1:$R$25,2,0)</f>
        <v>17</v>
      </c>
      <c r="H74" s="454">
        <f ca="1">TRUNC(INDEX(WORLDCUP!$X$4:$X$147,MATCH(ADMIN!K74,WORLDCUP!$DT$4:$DT$147,0))+INDEX(Horarios!$R$3:$R$86,MATCH(Horarios!$C$3,Horarios!$P$3:$P$86,0))/24)</f>
        <v>46200</v>
      </c>
      <c r="I74" s="54">
        <v>1</v>
      </c>
      <c r="J74" s="101" t="s">
        <v>188</v>
      </c>
      <c r="K74" s="59" t="str">
        <f ca="1">CONCATENATE(WORLDCUP!AA88,"-",WORLDCUP!AF88)</f>
        <v>Colombia-Portugal</v>
      </c>
      <c r="L74" s="59"/>
      <c r="M74" s="61" t="str">
        <f>IF(OR(WORLDCUP!AC88="",WORLDCUP!AD88=""),"-",N74&amp;"|"&amp;O74&amp;"-"&amp;P74)</f>
        <v>2|1-2</v>
      </c>
      <c r="N74" s="25" t="str">
        <f>IF(OR(WORLDCUP!AC88="",WORLDCUP!AD88=""),"",IF(WORLDCUP!AC88&gt;WORLDCUP!AD88,"1",IF(WORLDCUP!AC88&lt;WORLDCUP!AD88,"2","X")))</f>
        <v>2</v>
      </c>
      <c r="O74" s="25">
        <f>WORLDCUP!AC88</f>
        <v>1</v>
      </c>
      <c r="P74" s="25">
        <f>WORLDCUP!AD88</f>
        <v>2</v>
      </c>
      <c r="Q74" s="25">
        <f t="shared" si="20"/>
        <v>1</v>
      </c>
      <c r="R74" s="55"/>
      <c r="S74" s="80"/>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c r="Z74" s="79">
        <f t="shared" si="18"/>
        <v>0</v>
      </c>
      <c r="AA74" s="71"/>
      <c r="AB74" s="80"/>
      <c r="AC74" s="79">
        <f t="shared" si="18"/>
        <v>0</v>
      </c>
      <c r="AD74" s="71"/>
      <c r="AE74" s="80"/>
      <c r="AF74" s="79">
        <f t="shared" si="18"/>
        <v>0</v>
      </c>
      <c r="AG74" s="71"/>
      <c r="AH74" s="71"/>
    </row>
    <row r="75" spans="1:34">
      <c r="A75" s="55"/>
      <c r="B75" s="55"/>
      <c r="C75" s="55"/>
      <c r="D75" s="55"/>
      <c r="E75" s="117"/>
      <c r="F75" s="453">
        <f t="shared" si="19"/>
        <v>0</v>
      </c>
      <c r="G75" s="453">
        <f ca="1">VLOOKUP(H75,Equipos!$Q$1:$R$25,2,0)</f>
        <v>17</v>
      </c>
      <c r="H75" s="454">
        <f ca="1">TRUNC(INDEX(WORLDCUP!$X$4:$X$147,MATCH(ADMIN!K75,WORLDCUP!$DT$4:$DT$147,0))+INDEX(Horarios!$R$3:$R$86,MATCH(Horarios!$C$3,Horarios!$P$3:$P$86,0))/24)</f>
        <v>46200</v>
      </c>
      <c r="I75" s="54">
        <v>1</v>
      </c>
      <c r="J75" s="101" t="s">
        <v>188</v>
      </c>
      <c r="K75" s="62" t="str">
        <f ca="1">CONCATENATE(WORLDCUP!AA89,"-",WORLDCUP!AF89)</f>
        <v>RD Congo-Uzbekistán</v>
      </c>
      <c r="L75" s="59"/>
      <c r="M75" s="61" t="str">
        <f>IF(OR(WORLDCUP!AC89="",WORLDCUP!AD89=""),"-",N75&amp;"|"&amp;O75&amp;"-"&amp;P75)</f>
        <v>1|3-0</v>
      </c>
      <c r="N75" s="25" t="str">
        <f>IF(OR(WORLDCUP!AC89="",WORLDCUP!AD89=""),"",IF(WORLDCUP!AC89&gt;WORLDCUP!AD89,"1",IF(WORLDCUP!AC89&lt;WORLDCUP!AD89,"2","X")))</f>
        <v>1</v>
      </c>
      <c r="O75" s="25">
        <f>WORLDCUP!AC89</f>
        <v>3</v>
      </c>
      <c r="P75" s="25">
        <f>WORLDCUP!AD89</f>
        <v>0</v>
      </c>
      <c r="Q75" s="25">
        <f t="shared" si="20"/>
        <v>3</v>
      </c>
      <c r="R75" s="55"/>
      <c r="S75" s="80"/>
      <c r="T75" s="79">
        <f t="shared" si="21"/>
        <v>0</v>
      </c>
      <c r="U75" s="71"/>
      <c r="V75" s="80"/>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c r="Z75" s="79">
        <f t="shared" si="18"/>
        <v>0</v>
      </c>
      <c r="AA75" s="71"/>
      <c r="AB75" s="80"/>
      <c r="AC75" s="79">
        <f t="shared" si="18"/>
        <v>0</v>
      </c>
      <c r="AD75" s="71"/>
      <c r="AE75" s="80"/>
      <c r="AF75" s="79">
        <f t="shared" si="18"/>
        <v>0</v>
      </c>
      <c r="AG75" s="71"/>
      <c r="AH75" s="71"/>
    </row>
    <row r="76" spans="1:34">
      <c r="A76" s="55"/>
      <c r="B76" s="55"/>
      <c r="C76" s="17"/>
      <c r="D76" s="17"/>
      <c r="E76" s="117"/>
      <c r="F76" s="453">
        <f t="shared" si="19"/>
        <v>0</v>
      </c>
      <c r="G76" s="453">
        <f ca="1">VLOOKUP(H76,Equipos!$Q$1:$R$25,2,0)</f>
        <v>17</v>
      </c>
      <c r="H76" s="454">
        <f ca="1">TRUNC(INDEX(WORLDCUP!$X$4:$X$147,MATCH(ADMIN!K76,WORLDCUP!$DT$4:$DT$147,0))+INDEX(Horarios!$R$3:$R$86,MATCH(Horarios!$C$3,Horarios!$P$3:$P$86,0))/24)</f>
        <v>46200</v>
      </c>
      <c r="I76" s="54">
        <v>1</v>
      </c>
      <c r="J76" s="102" t="s">
        <v>1198</v>
      </c>
      <c r="K76" s="59" t="str">
        <f ca="1">CONCATENATE(WORLDCUP!AA96,"-",WORLDCUP!AF96)</f>
        <v>Panamá-Inglaterra</v>
      </c>
      <c r="L76" s="59"/>
      <c r="M76" s="61" t="str">
        <f>IF(OR(WORLDCUP!AC96="",WORLDCUP!AD96=""),"-",N76&amp;"|"&amp;O76&amp;"-"&amp;P76)</f>
        <v>2|0-6</v>
      </c>
      <c r="N76" s="25" t="str">
        <f>IF(OR(WORLDCUP!AC96="",WORLDCUP!AD96=""),"",IF(WORLDCUP!AC96&gt;WORLDCUP!AD96,"1",IF(WORLDCUP!AC96&lt;WORLDCUP!AD96,"2","X")))</f>
        <v>2</v>
      </c>
      <c r="O76" s="25">
        <f>WORLDCUP!AC96</f>
        <v>0</v>
      </c>
      <c r="P76" s="25">
        <f>WORLDCUP!AD96</f>
        <v>6</v>
      </c>
      <c r="Q76" s="25">
        <f t="shared" si="20"/>
        <v>6</v>
      </c>
      <c r="R76" s="55"/>
      <c r="S76" s="80"/>
      <c r="T76" s="79">
        <f t="shared" si="21"/>
        <v>0</v>
      </c>
      <c r="U76" s="71"/>
      <c r="V76" s="80"/>
      <c r="W76" s="79">
        <f t="shared" si="22"/>
        <v>0</v>
      </c>
      <c r="X76" s="71"/>
      <c r="Y76" s="80"/>
      <c r="Z76" s="79">
        <f t="shared" si="18"/>
        <v>0</v>
      </c>
      <c r="AA76" s="71"/>
      <c r="AB76" s="80"/>
      <c r="AC76" s="79">
        <f t="shared" si="18"/>
        <v>0</v>
      </c>
      <c r="AD76" s="71"/>
      <c r="AE76" s="80"/>
      <c r="AF76" s="79">
        <f t="shared" si="18"/>
        <v>0</v>
      </c>
      <c r="AG76" s="71"/>
      <c r="AH76" s="71"/>
    </row>
    <row r="77" spans="1:34">
      <c r="A77" s="55"/>
      <c r="B77" s="55"/>
      <c r="C77" s="17"/>
      <c r="D77" s="17"/>
      <c r="E77" s="117"/>
      <c r="F77" s="453">
        <f t="shared" si="19"/>
        <v>0</v>
      </c>
      <c r="G77" s="453">
        <f ca="1">VLOOKUP(H77,Equipos!$Q$1:$R$25,2,0)</f>
        <v>17</v>
      </c>
      <c r="H77" s="454">
        <f ca="1">TRUNC(INDEX(WORLDCUP!$X$4:$X$147,MATCH(ADMIN!K77,WORLDCUP!$DT$4:$DT$147,0))+INDEX(Horarios!$R$3:$R$86,MATCH(Horarios!$C$3,Horarios!$P$3:$P$86,0))/24)</f>
        <v>46200</v>
      </c>
      <c r="I77" s="54">
        <v>1</v>
      </c>
      <c r="J77" s="102" t="s">
        <v>1198</v>
      </c>
      <c r="K77" s="121" t="str">
        <f ca="1">CONCATENATE(WORLDCUP!AA97,"-",WORLDCUP!AF97)</f>
        <v>Croacia-Ghana</v>
      </c>
      <c r="L77" s="121"/>
      <c r="M77" s="122" t="str">
        <f>IF(OR(WORLDCUP!AC97="",WORLDCUP!AD97=""),"-",N77&amp;"|"&amp;O77&amp;"-"&amp;P77)</f>
        <v>X|1-1</v>
      </c>
      <c r="N77" s="25" t="str">
        <f>IF(OR(WORLDCUP!AC97="",WORLDCUP!AD97=""),"",IF(WORLDCUP!AC97&gt;WORLDCUP!AD97,"1",IF(WORLDCUP!AC97&lt;WORLDCUP!AD97,"2","X")))</f>
        <v>X</v>
      </c>
      <c r="O77" s="25">
        <f>WORLDCUP!AC97</f>
        <v>1</v>
      </c>
      <c r="P77" s="25">
        <f>WORLDCUP!AD97</f>
        <v>1</v>
      </c>
      <c r="Q77" s="25">
        <f t="shared" si="20"/>
        <v>0</v>
      </c>
      <c r="R77" s="55"/>
      <c r="S77" s="86"/>
      <c r="T77" s="87">
        <f t="shared" si="21"/>
        <v>0</v>
      </c>
      <c r="U77" s="71"/>
      <c r="V77" s="86"/>
      <c r="W77" s="87">
        <f t="shared" si="22"/>
        <v>0</v>
      </c>
      <c r="X77" s="71"/>
      <c r="Y77" s="86"/>
      <c r="Z77" s="87">
        <f t="shared" si="18"/>
        <v>0</v>
      </c>
      <c r="AA77" s="71"/>
      <c r="AB77" s="86"/>
      <c r="AC77" s="87">
        <f t="shared" si="18"/>
        <v>0</v>
      </c>
      <c r="AD77" s="71"/>
      <c r="AE77" s="86"/>
      <c r="AF77" s="87">
        <f t="shared" si="18"/>
        <v>0</v>
      </c>
      <c r="AG77" s="71"/>
      <c r="AH77" s="71"/>
    </row>
    <row r="78" spans="1:34">
      <c r="A78" s="55"/>
      <c r="B78" s="55"/>
      <c r="C78" s="55"/>
      <c r="D78" s="55"/>
      <c r="E78" s="117"/>
      <c r="F78" s="133"/>
      <c r="G78" s="453"/>
      <c r="H78" s="71"/>
      <c r="I78" s="66"/>
      <c r="J78" s="103"/>
      <c r="K78" s="440" t="str">
        <f>Idiomas!D455</f>
        <v>F. Grupos</v>
      </c>
      <c r="L78" s="441"/>
      <c r="M78" s="440" t="str">
        <f>"Max: "&amp;SUM($D$8:$D$10)*SUM($I$6:$I$77)</f>
        <v>Max: 0</v>
      </c>
      <c r="N78" s="25"/>
      <c r="O78" s="25"/>
      <c r="P78" s="25"/>
      <c r="Q78" s="25"/>
      <c r="R78" s="116"/>
      <c r="S78" s="88"/>
      <c r="T78" s="89">
        <f>SUM(T6:T77)</f>
        <v>0</v>
      </c>
      <c r="U78" s="70"/>
      <c r="V78" s="88"/>
      <c r="W78" s="89">
        <f>SUM(W6:W77)</f>
        <v>0</v>
      </c>
      <c r="X78" s="70"/>
      <c r="Y78" s="88"/>
      <c r="Z78" s="89">
        <f t="shared" ref="Z78" si="23">SUM(Z6:Z77)</f>
        <v>0</v>
      </c>
      <c r="AA78" s="70"/>
      <c r="AB78" s="88"/>
      <c r="AC78" s="89">
        <f t="shared" ref="AC78" si="24">SUM(AC6:AC77)</f>
        <v>0</v>
      </c>
      <c r="AD78" s="70"/>
      <c r="AE78" s="88"/>
      <c r="AF78" s="89">
        <f t="shared" ref="AF78" si="25">SUM(AF6:AF77)</f>
        <v>0</v>
      </c>
      <c r="AG78" s="70"/>
      <c r="AH78" s="70"/>
    </row>
    <row r="79" spans="1:34">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c r="A80" s="55"/>
      <c r="B80" s="55"/>
      <c r="C80" s="55"/>
      <c r="D80" s="55"/>
      <c r="E80" s="117"/>
      <c r="F80" s="133">
        <f>$D$11</f>
        <v>0</v>
      </c>
      <c r="G80" s="453">
        <f ca="1">VLOOKUP(H80,Equipos!$Q$1:$R$25,2,0)</f>
        <v>14</v>
      </c>
      <c r="H80" s="454">
        <f ca="1">$H$54</f>
        <v>46197</v>
      </c>
      <c r="I80" s="56"/>
      <c r="J80" s="848" t="s">
        <v>0</v>
      </c>
      <c r="K80" s="59" t="str">
        <f>Idiomas!D150</f>
        <v>1º GRUPO A</v>
      </c>
      <c r="L80" s="59"/>
      <c r="M80" s="61" t="str">
        <f ca="1">IF(OR(SUM(WORLDCUP!$AN$6:$AN$9)=12,WORLDCUP!$AJ$99=144),WORLDCUP!AL6,LEFT(K80,1)&amp;RIGHT(K80,1))</f>
        <v>México</v>
      </c>
      <c r="N80" s="25"/>
      <c r="O80" s="25"/>
      <c r="P80" s="25"/>
      <c r="Q80" s="25"/>
      <c r="R80" s="116"/>
      <c r="S80" s="82"/>
      <c r="T80" s="83">
        <f ca="1">($M80=S80)*$D$11</f>
        <v>0</v>
      </c>
      <c r="U80" s="70"/>
      <c r="V80" s="82"/>
      <c r="W80" s="83">
        <f t="shared" ref="W80" ca="1" si="26">($M80=V80)*$D$11</f>
        <v>0</v>
      </c>
      <c r="X80" s="70"/>
      <c r="Y80" s="82"/>
      <c r="Z80" s="83">
        <f t="shared" ref="Z80" ca="1" si="27">($M80=Y80)*$D$11</f>
        <v>0</v>
      </c>
      <c r="AA80" s="70"/>
      <c r="AB80" s="82"/>
      <c r="AC80" s="83">
        <f t="shared" ref="AC80" ca="1" si="28">($M80=AB80)*$D$11</f>
        <v>0</v>
      </c>
      <c r="AD80" s="70"/>
      <c r="AE80" s="82"/>
      <c r="AF80" s="83">
        <f t="shared" ref="AF80" ca="1" si="29">($M80=AE80)*$D$11</f>
        <v>0</v>
      </c>
      <c r="AG80" s="70"/>
      <c r="AH80" s="70"/>
    </row>
    <row r="81" spans="1:34">
      <c r="A81" s="55"/>
      <c r="B81" s="55"/>
      <c r="C81" s="55"/>
      <c r="D81" s="55"/>
      <c r="E81" s="117"/>
      <c r="F81" s="133">
        <f>$D$12</f>
        <v>0</v>
      </c>
      <c r="G81" s="453">
        <f ca="1">VLOOKUP(H81,Equipos!$Q$1:$R$25,2,0)</f>
        <v>14</v>
      </c>
      <c r="H81" s="454">
        <f ca="1">$H$54</f>
        <v>46197</v>
      </c>
      <c r="I81" s="56"/>
      <c r="J81" s="848"/>
      <c r="K81" s="62" t="str">
        <f>Idiomas!D151</f>
        <v>2º GRUPO A</v>
      </c>
      <c r="L81" s="59"/>
      <c r="M81" s="61" t="str">
        <f ca="1">IF(OR(SUM(WORLDCUP!$AN$6:$AN$9)=12,WORLDCUP!$AJ$99=144),WORLDCUP!AL7,LEFT(K81,1)&amp;RIGHT(K81,1))</f>
        <v>Corea del Sur</v>
      </c>
      <c r="N81" s="25"/>
      <c r="O81" s="25"/>
      <c r="P81" s="25"/>
      <c r="Q81" s="25"/>
      <c r="R81" s="116"/>
      <c r="S81" s="80"/>
      <c r="T81" s="79">
        <f ca="1">($M81=S81)*$D$12</f>
        <v>0</v>
      </c>
      <c r="U81" s="70"/>
      <c r="V81" s="80"/>
      <c r="W81" s="79">
        <f t="shared" ref="W81" ca="1" si="30">($M81=V81)*$D$12</f>
        <v>0</v>
      </c>
      <c r="X81" s="70"/>
      <c r="Y81" s="80"/>
      <c r="Z81" s="79">
        <f t="shared" ref="Z81" ca="1" si="31">($M81=Y81)*$D$12</f>
        <v>0</v>
      </c>
      <c r="AA81" s="70"/>
      <c r="AB81" s="80"/>
      <c r="AC81" s="79">
        <f t="shared" ref="AC81" ca="1" si="32">($M81=AB81)*$D$12</f>
        <v>0</v>
      </c>
      <c r="AD81" s="70"/>
      <c r="AE81" s="80"/>
      <c r="AF81" s="79">
        <f t="shared" ref="AF81" ca="1" si="33">($M81=AE81)*$D$12</f>
        <v>0</v>
      </c>
      <c r="AG81" s="70"/>
      <c r="AH81" s="70"/>
    </row>
    <row r="82" spans="1:34">
      <c r="A82" s="55"/>
      <c r="B82" s="55"/>
      <c r="C82" s="55"/>
      <c r="D82" s="55"/>
      <c r="E82" s="117"/>
      <c r="F82" s="133">
        <f>$D$13</f>
        <v>0</v>
      </c>
      <c r="G82" s="453">
        <f ca="1">VLOOKUP(H82,Equipos!$Q$1:$R$25,2,0)</f>
        <v>14</v>
      </c>
      <c r="H82" s="454">
        <f ca="1">$H$54</f>
        <v>46197</v>
      </c>
      <c r="I82" s="56"/>
      <c r="J82" s="848"/>
      <c r="K82" s="62" t="str">
        <f>Idiomas!D152</f>
        <v>3º GRUPO A</v>
      </c>
      <c r="L82" s="59"/>
      <c r="M82" s="61" t="str">
        <f ca="1">IF(OR(SUM(WORLDCUP!$AN$6:$AN$9)=12,WORLDCUP!$AJ$99=144),WORLDCUP!AL8,LEFT(K82,1)&amp;RIGHT(K82,1))</f>
        <v>República Checa</v>
      </c>
      <c r="N82" s="25"/>
      <c r="O82" s="25"/>
      <c r="P82" s="25"/>
      <c r="Q82" s="25"/>
      <c r="R82" s="116"/>
      <c r="S82" s="80"/>
      <c r="T82" s="79">
        <f ca="1">($M82=S82)*$D$13</f>
        <v>0</v>
      </c>
      <c r="U82" s="70"/>
      <c r="V82" s="80"/>
      <c r="W82" s="79">
        <f t="shared" ref="W82" ca="1" si="34">($M82=V82)*$D$13</f>
        <v>0</v>
      </c>
      <c r="X82" s="70"/>
      <c r="Y82" s="80"/>
      <c r="Z82" s="79">
        <f t="shared" ref="Z82" ca="1" si="35">($M82=Y82)*$D$13</f>
        <v>0</v>
      </c>
      <c r="AA82" s="70"/>
      <c r="AB82" s="80"/>
      <c r="AC82" s="79">
        <f t="shared" ref="AC82" ca="1" si="36">($M82=AB82)*$D$13</f>
        <v>0</v>
      </c>
      <c r="AD82" s="70"/>
      <c r="AE82" s="80"/>
      <c r="AF82" s="79">
        <f t="shared" ref="AF82" ca="1" si="37">($M82=AE82)*$D$13</f>
        <v>0</v>
      </c>
      <c r="AG82" s="70"/>
      <c r="AH82" s="70"/>
    </row>
    <row r="83" spans="1:34">
      <c r="A83" s="55"/>
      <c r="B83" s="55"/>
      <c r="C83" s="55"/>
      <c r="D83" s="55"/>
      <c r="E83" s="117"/>
      <c r="F83" s="133">
        <f>$D$14</f>
        <v>0</v>
      </c>
      <c r="G83" s="453">
        <f ca="1">VLOOKUP(H83,Equipos!$Q$1:$R$25,2,0)</f>
        <v>14</v>
      </c>
      <c r="H83" s="454">
        <f ca="1">$H$54</f>
        <v>46197</v>
      </c>
      <c r="I83" s="56"/>
      <c r="J83" s="848"/>
      <c r="K83" s="62" t="str">
        <f>Idiomas!D153</f>
        <v>4º GRUPO A</v>
      </c>
      <c r="L83" s="59"/>
      <c r="M83" s="61" t="str">
        <f ca="1">IF(OR(SUM(WORLDCUP!$AN$6:$AN$9)=12,WORLDCUP!$AJ$99=144),WORLDCUP!AL9,LEFT(K83,1)&amp;RIGHT(K83,1))</f>
        <v>Sudáfrica</v>
      </c>
      <c r="N83" s="25"/>
      <c r="O83" s="25"/>
      <c r="P83" s="25"/>
      <c r="Q83" s="25"/>
      <c r="R83" s="116"/>
      <c r="S83" s="80"/>
      <c r="T83" s="79">
        <f ca="1">($M83=S83)*$D$14</f>
        <v>0</v>
      </c>
      <c r="U83" s="70"/>
      <c r="V83" s="80"/>
      <c r="W83" s="79">
        <f t="shared" ref="W83" ca="1" si="38">($M83=V83)*$D$14</f>
        <v>0</v>
      </c>
      <c r="X83" s="70"/>
      <c r="Y83" s="80"/>
      <c r="Z83" s="79">
        <f t="shared" ref="Z83" ca="1" si="39">($M83=Y83)*$D$14</f>
        <v>0</v>
      </c>
      <c r="AA83" s="70"/>
      <c r="AB83" s="80"/>
      <c r="AC83" s="79">
        <f t="shared" ref="AC83" ca="1" si="40">($M83=AB83)*$D$14</f>
        <v>0</v>
      </c>
      <c r="AD83" s="70"/>
      <c r="AE83" s="80"/>
      <c r="AF83" s="79">
        <f t="shared" ref="AF83" ca="1" si="41">($M83=AE83)*$D$14</f>
        <v>0</v>
      </c>
      <c r="AG83" s="70"/>
      <c r="AH83" s="70"/>
    </row>
    <row r="84" spans="1:34">
      <c r="A84" s="55"/>
      <c r="B84" s="55"/>
      <c r="C84" s="55"/>
      <c r="D84" s="55"/>
      <c r="E84" s="117"/>
      <c r="F84" s="133">
        <f t="shared" ref="F84" si="42">$D$11</f>
        <v>0</v>
      </c>
      <c r="G84" s="453">
        <f ca="1">VLOOKUP(H84,Equipos!$Q$1:$R$25,2,0)</f>
        <v>14</v>
      </c>
      <c r="H84" s="454">
        <f ca="1">$H$56</f>
        <v>46197</v>
      </c>
      <c r="I84" s="56"/>
      <c r="J84" s="847" t="s">
        <v>1</v>
      </c>
      <c r="K84" s="62" t="str">
        <f>Idiomas!D154</f>
        <v>1º GRUPO B</v>
      </c>
      <c r="L84" s="59"/>
      <c r="M84" s="61" t="str">
        <f ca="1">IF(OR(SUM(WORLDCUP!$AN$14:$AN$17)=12,WORLDCUP!$AJ$99=144),WORLDCUP!AL14,LEFT(K84,1)&amp;RIGHT(K84,1))</f>
        <v>Suiza</v>
      </c>
      <c r="N84" s="25"/>
      <c r="O84" s="25"/>
      <c r="P84" s="25"/>
      <c r="Q84" s="25"/>
      <c r="R84" s="116"/>
      <c r="S84" s="80"/>
      <c r="T84" s="79">
        <f t="shared" ref="T84" ca="1" si="43">($M84=S84)*$D$11</f>
        <v>0</v>
      </c>
      <c r="U84" s="70"/>
      <c r="V84" s="80"/>
      <c r="W84" s="79">
        <f t="shared" ref="W84:AF84" ca="1" si="44">($M84=V84)*$D$11</f>
        <v>0</v>
      </c>
      <c r="X84" s="70"/>
      <c r="Y84" s="80"/>
      <c r="Z84" s="79">
        <f t="shared" ca="1" si="44"/>
        <v>0</v>
      </c>
      <c r="AA84" s="70"/>
      <c r="AB84" s="80"/>
      <c r="AC84" s="79">
        <f t="shared" ca="1" si="44"/>
        <v>0</v>
      </c>
      <c r="AD84" s="70"/>
      <c r="AE84" s="80"/>
      <c r="AF84" s="79">
        <f t="shared" ca="1" si="44"/>
        <v>0</v>
      </c>
      <c r="AG84" s="70"/>
      <c r="AH84" s="70"/>
    </row>
    <row r="85" spans="1:34">
      <c r="A85" s="55"/>
      <c r="B85" s="55"/>
      <c r="C85" s="55"/>
      <c r="D85" s="55"/>
      <c r="E85" s="117"/>
      <c r="F85" s="133">
        <f t="shared" ref="F85" si="45">$D$12</f>
        <v>0</v>
      </c>
      <c r="G85" s="453">
        <f ca="1">VLOOKUP(H85,Equipos!$Q$1:$R$25,2,0)</f>
        <v>14</v>
      </c>
      <c r="H85" s="454">
        <f ca="1">$H$56</f>
        <v>46197</v>
      </c>
      <c r="I85" s="56"/>
      <c r="J85" s="847"/>
      <c r="K85" s="62" t="str">
        <f>Idiomas!D155</f>
        <v>2º GRUPO B</v>
      </c>
      <c r="L85" s="59"/>
      <c r="M85" s="61" t="str">
        <f ca="1">IF(OR(SUM(WORLDCUP!$AN$14:$AN$17)=12,WORLDCUP!$AJ$99=144),WORLDCUP!AL15,LEFT(K85,1)&amp;RIGHT(K85,1))</f>
        <v>Bosnia y Herzegovina</v>
      </c>
      <c r="N85" s="25"/>
      <c r="O85" s="25"/>
      <c r="P85" s="25"/>
      <c r="Q85" s="25"/>
      <c r="R85" s="116"/>
      <c r="S85" s="80"/>
      <c r="T85" s="79">
        <f t="shared" ref="T85" ca="1" si="46">($M85=S85)*$D$12</f>
        <v>0</v>
      </c>
      <c r="U85" s="70"/>
      <c r="V85" s="80"/>
      <c r="W85" s="79">
        <f t="shared" ref="W85:AF85" ca="1" si="47">($M85=V85)*$D$12</f>
        <v>0</v>
      </c>
      <c r="X85" s="70"/>
      <c r="Y85" s="80"/>
      <c r="Z85" s="79">
        <f t="shared" ca="1" si="47"/>
        <v>0</v>
      </c>
      <c r="AA85" s="70"/>
      <c r="AB85" s="80"/>
      <c r="AC85" s="79">
        <f t="shared" ca="1" si="47"/>
        <v>0</v>
      </c>
      <c r="AD85" s="70"/>
      <c r="AE85" s="80"/>
      <c r="AF85" s="79">
        <f t="shared" ca="1" si="47"/>
        <v>0</v>
      </c>
      <c r="AG85" s="70"/>
      <c r="AH85" s="70"/>
    </row>
    <row r="86" spans="1:34">
      <c r="A86" s="55"/>
      <c r="B86" s="55"/>
      <c r="C86" s="55"/>
      <c r="D86" s="55"/>
      <c r="E86" s="117"/>
      <c r="F86" s="133">
        <f t="shared" ref="F86" si="48">$D$13</f>
        <v>0</v>
      </c>
      <c r="G86" s="453">
        <f ca="1">VLOOKUP(H86,Equipos!$Q$1:$R$25,2,0)</f>
        <v>14</v>
      </c>
      <c r="H86" s="454">
        <f ca="1">$H$56</f>
        <v>46197</v>
      </c>
      <c r="I86" s="56"/>
      <c r="J86" s="847"/>
      <c r="K86" s="62" t="str">
        <f>Idiomas!D156</f>
        <v>3º GRUPO B</v>
      </c>
      <c r="L86" s="59"/>
      <c r="M86" s="61" t="str">
        <f ca="1">IF(OR(SUM(WORLDCUP!$AN$14:$AN$17)=12,WORLDCUP!$AJ$99=144),WORLDCUP!AL16,LEFT(K86,1)&amp;RIGHT(K86,1))</f>
        <v>Canadá</v>
      </c>
      <c r="N86" s="25"/>
      <c r="O86" s="25"/>
      <c r="P86" s="25"/>
      <c r="Q86" s="25"/>
      <c r="R86" s="116"/>
      <c r="S86" s="80"/>
      <c r="T86" s="79">
        <f t="shared" ref="T86" ca="1" si="49">($M86=S86)*$D$13</f>
        <v>0</v>
      </c>
      <c r="U86" s="70"/>
      <c r="V86" s="80"/>
      <c r="W86" s="79">
        <f t="shared" ref="W86:AF86" ca="1" si="50">($M86=V86)*$D$13</f>
        <v>0</v>
      </c>
      <c r="X86" s="70"/>
      <c r="Y86" s="80"/>
      <c r="Z86" s="79">
        <f t="shared" ca="1" si="50"/>
        <v>0</v>
      </c>
      <c r="AA86" s="70"/>
      <c r="AB86" s="80"/>
      <c r="AC86" s="79">
        <f t="shared" ca="1" si="50"/>
        <v>0</v>
      </c>
      <c r="AD86" s="70"/>
      <c r="AE86" s="80"/>
      <c r="AF86" s="79">
        <f t="shared" ca="1" si="50"/>
        <v>0</v>
      </c>
      <c r="AG86" s="70"/>
      <c r="AH86" s="70"/>
    </row>
    <row r="87" spans="1:34">
      <c r="A87" s="55"/>
      <c r="B87" s="55"/>
      <c r="C87" s="55"/>
      <c r="D87" s="55"/>
      <c r="E87" s="117"/>
      <c r="F87" s="133">
        <f t="shared" ref="F87" si="51">$D$14</f>
        <v>0</v>
      </c>
      <c r="G87" s="453">
        <f ca="1">VLOOKUP(H87,Equipos!$Q$1:$R$25,2,0)</f>
        <v>14</v>
      </c>
      <c r="H87" s="454">
        <f ca="1">$H$56</f>
        <v>46197</v>
      </c>
      <c r="I87" s="56"/>
      <c r="J87" s="847"/>
      <c r="K87" s="62" t="str">
        <f>Idiomas!D157</f>
        <v>4º GRUPO B</v>
      </c>
      <c r="L87" s="59"/>
      <c r="M87" s="61" t="str">
        <f ca="1">IF(OR(SUM(WORLDCUP!$AN$14:$AN$17)=12,WORLDCUP!$AJ$99=144),WORLDCUP!AL17,LEFT(K87,1)&amp;RIGHT(K87,1))</f>
        <v>Catar</v>
      </c>
      <c r="N87" s="25"/>
      <c r="O87" s="25"/>
      <c r="P87" s="25"/>
      <c r="Q87" s="25"/>
      <c r="R87" s="116"/>
      <c r="S87" s="80"/>
      <c r="T87" s="79">
        <f t="shared" ref="T87" ca="1" si="52">($M87=S87)*$D$14</f>
        <v>0</v>
      </c>
      <c r="U87" s="70"/>
      <c r="V87" s="80"/>
      <c r="W87" s="79">
        <f t="shared" ref="W87:AF87" ca="1" si="53">($M87=V87)*$D$14</f>
        <v>0</v>
      </c>
      <c r="X87" s="70"/>
      <c r="Y87" s="80"/>
      <c r="Z87" s="79">
        <f t="shared" ca="1" si="53"/>
        <v>0</v>
      </c>
      <c r="AA87" s="70"/>
      <c r="AB87" s="80"/>
      <c r="AC87" s="79">
        <f t="shared" ca="1" si="53"/>
        <v>0</v>
      </c>
      <c r="AD87" s="70"/>
      <c r="AE87" s="80"/>
      <c r="AF87" s="79">
        <f t="shared" ca="1" si="53"/>
        <v>0</v>
      </c>
      <c r="AG87" s="70"/>
      <c r="AH87" s="70"/>
    </row>
    <row r="88" spans="1:34">
      <c r="A88" s="55"/>
      <c r="B88" s="55"/>
      <c r="C88" s="55"/>
      <c r="D88" s="55"/>
      <c r="E88" s="117"/>
      <c r="F88" s="133">
        <f t="shared" ref="F88" si="54">$D$11</f>
        <v>0</v>
      </c>
      <c r="G88" s="453">
        <f ca="1">VLOOKUP(H88,Equipos!$Q$1:$R$25,2,0)</f>
        <v>14</v>
      </c>
      <c r="H88" s="454">
        <f ca="1">$H$58</f>
        <v>46197</v>
      </c>
      <c r="I88" s="56"/>
      <c r="J88" s="848" t="s">
        <v>2</v>
      </c>
      <c r="K88" s="62" t="str">
        <f>Idiomas!D158</f>
        <v>1º GRUPO C</v>
      </c>
      <c r="L88" s="59"/>
      <c r="M88" s="61" t="str">
        <f ca="1">IF(OR(SUM(WORLDCUP!$AN$22:$AN$25)=12,WORLDCUP!$AJ$99=144),WORLDCUP!AL22,LEFT(K88,1)&amp;RIGHT(K88,1))</f>
        <v>Brasil</v>
      </c>
      <c r="N88" s="25"/>
      <c r="O88" s="25"/>
      <c r="P88" s="25"/>
      <c r="Q88" s="25"/>
      <c r="R88" s="116"/>
      <c r="S88" s="80"/>
      <c r="T88" s="79">
        <f t="shared" ref="T88" ca="1" si="55">($M88=S88)*$D$11</f>
        <v>0</v>
      </c>
      <c r="U88" s="70"/>
      <c r="V88" s="80"/>
      <c r="W88" s="79">
        <f t="shared" ref="W88:AF88" ca="1" si="56">($M88=V88)*$D$11</f>
        <v>0</v>
      </c>
      <c r="X88" s="70"/>
      <c r="Y88" s="80"/>
      <c r="Z88" s="79">
        <f t="shared" ca="1" si="56"/>
        <v>0</v>
      </c>
      <c r="AA88" s="70"/>
      <c r="AB88" s="80"/>
      <c r="AC88" s="79">
        <f t="shared" ca="1" si="56"/>
        <v>0</v>
      </c>
      <c r="AD88" s="70"/>
      <c r="AE88" s="80"/>
      <c r="AF88" s="79">
        <f t="shared" ca="1" si="56"/>
        <v>0</v>
      </c>
      <c r="AG88" s="70"/>
      <c r="AH88" s="70"/>
    </row>
    <row r="89" spans="1:34">
      <c r="A89" s="55"/>
      <c r="B89" s="55"/>
      <c r="C89" s="55"/>
      <c r="D89" s="55"/>
      <c r="E89" s="117"/>
      <c r="F89" s="133">
        <f t="shared" ref="F89" si="57">$D$12</f>
        <v>0</v>
      </c>
      <c r="G89" s="453">
        <f ca="1">VLOOKUP(H89,Equipos!$Q$1:$R$25,2,0)</f>
        <v>14</v>
      </c>
      <c r="H89" s="454">
        <f ca="1">$H$58</f>
        <v>46197</v>
      </c>
      <c r="I89" s="56"/>
      <c r="J89" s="848"/>
      <c r="K89" s="62" t="str">
        <f>Idiomas!D159</f>
        <v>2º GRUPO C</v>
      </c>
      <c r="L89" s="59"/>
      <c r="M89" s="61" t="str">
        <f ca="1">IF(OR(SUM(WORLDCUP!$AN$22:$AN$25)=12,WORLDCUP!$AJ$99=144),WORLDCUP!AL23,LEFT(K89,1)&amp;RIGHT(K89,1))</f>
        <v>Escocia</v>
      </c>
      <c r="N89" s="25"/>
      <c r="O89" s="25"/>
      <c r="P89" s="25"/>
      <c r="Q89" s="25"/>
      <c r="R89" s="116"/>
      <c r="S89" s="80"/>
      <c r="T89" s="79">
        <f t="shared" ref="T89" ca="1" si="58">($M89=S89)*$D$12</f>
        <v>0</v>
      </c>
      <c r="U89" s="70"/>
      <c r="V89" s="80"/>
      <c r="W89" s="79">
        <f t="shared" ref="W89:AF89" ca="1" si="59">($M89=V89)*$D$12</f>
        <v>0</v>
      </c>
      <c r="X89" s="70"/>
      <c r="Y89" s="80"/>
      <c r="Z89" s="79">
        <f t="shared" ca="1" si="59"/>
        <v>0</v>
      </c>
      <c r="AA89" s="70"/>
      <c r="AB89" s="80"/>
      <c r="AC89" s="79">
        <f t="shared" ca="1" si="59"/>
        <v>0</v>
      </c>
      <c r="AD89" s="70"/>
      <c r="AE89" s="80"/>
      <c r="AF89" s="79">
        <f t="shared" ca="1" si="59"/>
        <v>0</v>
      </c>
      <c r="AG89" s="70"/>
      <c r="AH89" s="70"/>
    </row>
    <row r="90" spans="1:34">
      <c r="A90" s="55"/>
      <c r="B90" s="55"/>
      <c r="C90" s="55"/>
      <c r="D90" s="55"/>
      <c r="E90" s="117"/>
      <c r="F90" s="133">
        <f t="shared" ref="F90" si="60">$D$13</f>
        <v>0</v>
      </c>
      <c r="G90" s="453">
        <f ca="1">VLOOKUP(H90,Equipos!$Q$1:$R$25,2,0)</f>
        <v>14</v>
      </c>
      <c r="H90" s="454">
        <f ca="1">$H$58</f>
        <v>46197</v>
      </c>
      <c r="I90" s="56"/>
      <c r="J90" s="848"/>
      <c r="K90" s="62" t="str">
        <f>Idiomas!D160</f>
        <v>3º GRUPO C</v>
      </c>
      <c r="L90" s="59"/>
      <c r="M90" s="61" t="str">
        <f ca="1">IF(OR(SUM(WORLDCUP!$AN$22:$AN$25)=12,WORLDCUP!$AJ$99=144),WORLDCUP!AL24,LEFT(K90,1)&amp;RIGHT(K90,1))</f>
        <v>Marruecos</v>
      </c>
      <c r="N90" s="25"/>
      <c r="O90" s="25"/>
      <c r="P90" s="25"/>
      <c r="Q90" s="25"/>
      <c r="R90" s="116"/>
      <c r="S90" s="80"/>
      <c r="T90" s="79">
        <f t="shared" ref="T90" ca="1" si="61">($M90=S90)*$D$13</f>
        <v>0</v>
      </c>
      <c r="U90" s="70"/>
      <c r="V90" s="80"/>
      <c r="W90" s="79">
        <f t="shared" ref="W90:AF90" ca="1" si="62">($M90=V90)*$D$13</f>
        <v>0</v>
      </c>
      <c r="X90" s="70"/>
      <c r="Y90" s="80"/>
      <c r="Z90" s="79">
        <f t="shared" ca="1" si="62"/>
        <v>0</v>
      </c>
      <c r="AA90" s="70"/>
      <c r="AB90" s="80"/>
      <c r="AC90" s="79">
        <f t="shared" ca="1" si="62"/>
        <v>0</v>
      </c>
      <c r="AD90" s="70"/>
      <c r="AE90" s="80"/>
      <c r="AF90" s="79">
        <f t="shared" ca="1" si="62"/>
        <v>0</v>
      </c>
      <c r="AG90" s="70"/>
      <c r="AH90" s="70"/>
    </row>
    <row r="91" spans="1:34">
      <c r="A91" s="55"/>
      <c r="B91" s="55"/>
      <c r="C91" s="55"/>
      <c r="D91" s="55"/>
      <c r="E91" s="117"/>
      <c r="F91" s="133">
        <f t="shared" ref="F91" si="63">$D$14</f>
        <v>0</v>
      </c>
      <c r="G91" s="453">
        <f ca="1">VLOOKUP(H91,Equipos!$Q$1:$R$25,2,0)</f>
        <v>14</v>
      </c>
      <c r="H91" s="454">
        <f ca="1">$H$58</f>
        <v>46197</v>
      </c>
      <c r="I91" s="56"/>
      <c r="J91" s="848"/>
      <c r="K91" s="62" t="str">
        <f>Idiomas!D161</f>
        <v>4º GRUPO C</v>
      </c>
      <c r="L91" s="59"/>
      <c r="M91" s="61" t="str">
        <f ca="1">IF(OR(SUM(WORLDCUP!$AN$22:$AN$25)=12,WORLDCUP!$AJ$99=144),WORLDCUP!AL25,LEFT(K91,1)&amp;RIGHT(K91,1))</f>
        <v>Haití</v>
      </c>
      <c r="N91" s="25"/>
      <c r="O91" s="25"/>
      <c r="P91" s="25"/>
      <c r="Q91" s="25"/>
      <c r="R91" s="116"/>
      <c r="S91" s="80"/>
      <c r="T91" s="79">
        <f t="shared" ref="T91" ca="1" si="64">($M91=S91)*$D$14</f>
        <v>0</v>
      </c>
      <c r="U91" s="70"/>
      <c r="V91" s="80"/>
      <c r="W91" s="79">
        <f t="shared" ref="W91:AF91" ca="1" si="65">($M91=V91)*$D$14</f>
        <v>0</v>
      </c>
      <c r="X91" s="70"/>
      <c r="Y91" s="80"/>
      <c r="Z91" s="79">
        <f t="shared" ca="1" si="65"/>
        <v>0</v>
      </c>
      <c r="AA91" s="70"/>
      <c r="AB91" s="80"/>
      <c r="AC91" s="79">
        <f t="shared" ca="1" si="65"/>
        <v>0</v>
      </c>
      <c r="AD91" s="70"/>
      <c r="AE91" s="80"/>
      <c r="AF91" s="79">
        <f t="shared" ca="1" si="65"/>
        <v>0</v>
      </c>
      <c r="AG91" s="70"/>
      <c r="AH91" s="70"/>
    </row>
    <row r="92" spans="1:34">
      <c r="A92" s="55"/>
      <c r="B92" s="55"/>
      <c r="C92" s="55"/>
      <c r="D92" s="55"/>
      <c r="E92" s="117"/>
      <c r="F92" s="133">
        <f t="shared" ref="F92" si="66">$D$11</f>
        <v>0</v>
      </c>
      <c r="G92" s="453">
        <f ca="1">VLOOKUP(H92,Equipos!$Q$1:$R$25,2,0)</f>
        <v>15</v>
      </c>
      <c r="H92" s="454">
        <f ca="1">$H$60</f>
        <v>46198</v>
      </c>
      <c r="I92" s="56"/>
      <c r="J92" s="847" t="s">
        <v>73</v>
      </c>
      <c r="K92" s="62" t="str">
        <f>Idiomas!D162</f>
        <v>1º GRUPO D</v>
      </c>
      <c r="L92" s="59"/>
      <c r="M92" s="61" t="str">
        <f ca="1">IF(OR(SUM(WORLDCUP!$AN$30:$AN$33)=12,WORLDCUP!$AJ$99=144),WORLDCUP!AL30,LEFT(K92,1)&amp;RIGHT(K92,1))</f>
        <v>Turquía</v>
      </c>
      <c r="N92" s="25"/>
      <c r="O92" s="25"/>
      <c r="P92" s="25"/>
      <c r="Q92" s="25"/>
      <c r="R92" s="116"/>
      <c r="S92" s="80"/>
      <c r="T92" s="79">
        <f t="shared" ref="T92" ca="1" si="67">($M92=S92)*$D$11</f>
        <v>0</v>
      </c>
      <c r="U92" s="70"/>
      <c r="V92" s="80"/>
      <c r="W92" s="79">
        <f t="shared" ref="W92:AF92" ca="1" si="68">($M92=V92)*$D$11</f>
        <v>0</v>
      </c>
      <c r="X92" s="70"/>
      <c r="Y92" s="80"/>
      <c r="Z92" s="79">
        <f t="shared" ca="1" si="68"/>
        <v>0</v>
      </c>
      <c r="AA92" s="70"/>
      <c r="AB92" s="80"/>
      <c r="AC92" s="79">
        <f t="shared" ca="1" si="68"/>
        <v>0</v>
      </c>
      <c r="AD92" s="70"/>
      <c r="AE92" s="80"/>
      <c r="AF92" s="79">
        <f t="shared" ca="1" si="68"/>
        <v>0</v>
      </c>
      <c r="AG92" s="70"/>
      <c r="AH92" s="70"/>
    </row>
    <row r="93" spans="1:34">
      <c r="A93" s="55"/>
      <c r="B93" s="55"/>
      <c r="C93" s="55"/>
      <c r="D93" s="55"/>
      <c r="E93" s="117"/>
      <c r="F93" s="133">
        <f t="shared" ref="F93" si="69">$D$12</f>
        <v>0</v>
      </c>
      <c r="G93" s="453">
        <f ca="1">VLOOKUP(H93,Equipos!$Q$1:$R$25,2,0)</f>
        <v>15</v>
      </c>
      <c r="H93" s="454">
        <f ca="1">$H$60</f>
        <v>46198</v>
      </c>
      <c r="I93" s="56"/>
      <c r="J93" s="847"/>
      <c r="K93" s="62" t="str">
        <f>Idiomas!D163</f>
        <v>2º GRUPO D</v>
      </c>
      <c r="L93" s="59"/>
      <c r="M93" s="61" t="str">
        <f ca="1">IF(OR(SUM(WORLDCUP!$AN$30:$AN$33)=12,WORLDCUP!$AJ$99=144),WORLDCUP!AL31,LEFT(K93,1)&amp;RIGHT(K93,1))</f>
        <v>Estados Unidos</v>
      </c>
      <c r="N93" s="25"/>
      <c r="O93" s="25"/>
      <c r="P93" s="25"/>
      <c r="Q93" s="25"/>
      <c r="R93" s="116"/>
      <c r="S93" s="80"/>
      <c r="T93" s="79">
        <f t="shared" ref="T93" ca="1" si="70">($M93=S93)*$D$12</f>
        <v>0</v>
      </c>
      <c r="U93" s="70"/>
      <c r="V93" s="80"/>
      <c r="W93" s="79">
        <f t="shared" ref="W93:AF93" ca="1" si="71">($M93=V93)*$D$12</f>
        <v>0</v>
      </c>
      <c r="X93" s="70"/>
      <c r="Y93" s="80"/>
      <c r="Z93" s="79">
        <f t="shared" ca="1" si="71"/>
        <v>0</v>
      </c>
      <c r="AA93" s="70"/>
      <c r="AB93" s="80"/>
      <c r="AC93" s="79">
        <f t="shared" ca="1" si="71"/>
        <v>0</v>
      </c>
      <c r="AD93" s="70"/>
      <c r="AE93" s="80"/>
      <c r="AF93" s="79">
        <f t="shared" ca="1" si="71"/>
        <v>0</v>
      </c>
      <c r="AG93" s="70"/>
      <c r="AH93" s="70"/>
    </row>
    <row r="94" spans="1:34">
      <c r="A94" s="55"/>
      <c r="B94" s="55"/>
      <c r="C94" s="55"/>
      <c r="D94" s="55"/>
      <c r="E94" s="117"/>
      <c r="F94" s="133">
        <f t="shared" ref="F94" si="72">$D$13</f>
        <v>0</v>
      </c>
      <c r="G94" s="453">
        <f ca="1">VLOOKUP(H94,Equipos!$Q$1:$R$25,2,0)</f>
        <v>15</v>
      </c>
      <c r="H94" s="454">
        <f ca="1">$H$60</f>
        <v>46198</v>
      </c>
      <c r="I94" s="56"/>
      <c r="J94" s="847"/>
      <c r="K94" s="62" t="str">
        <f>Idiomas!D164</f>
        <v>3º GRUPO D</v>
      </c>
      <c r="L94" s="59"/>
      <c r="M94" s="61" t="str">
        <f ca="1">IF(OR(SUM(WORLDCUP!$AN$30:$AN$33)=12,WORLDCUP!$AJ$99=144),WORLDCUP!AL32,LEFT(K94,1)&amp;RIGHT(K94,1))</f>
        <v>Paraguay</v>
      </c>
      <c r="N94" s="25"/>
      <c r="O94" s="25"/>
      <c r="P94" s="25"/>
      <c r="Q94" s="25"/>
      <c r="R94" s="116"/>
      <c r="S94" s="80"/>
      <c r="T94" s="79">
        <f t="shared" ref="T94" ca="1" si="73">($M94=S94)*$D$13</f>
        <v>0</v>
      </c>
      <c r="U94" s="70"/>
      <c r="V94" s="80"/>
      <c r="W94" s="79">
        <f t="shared" ref="W94:AF94" ca="1" si="74">($M94=V94)*$D$13</f>
        <v>0</v>
      </c>
      <c r="X94" s="70"/>
      <c r="Y94" s="80"/>
      <c r="Z94" s="79">
        <f t="shared" ca="1" si="74"/>
        <v>0</v>
      </c>
      <c r="AA94" s="70"/>
      <c r="AB94" s="80"/>
      <c r="AC94" s="79">
        <f t="shared" ca="1" si="74"/>
        <v>0</v>
      </c>
      <c r="AD94" s="70"/>
      <c r="AE94" s="80"/>
      <c r="AF94" s="79">
        <f t="shared" ca="1" si="74"/>
        <v>0</v>
      </c>
      <c r="AG94" s="70"/>
      <c r="AH94" s="70"/>
    </row>
    <row r="95" spans="1:34">
      <c r="A95" s="55"/>
      <c r="B95" s="55"/>
      <c r="C95" s="55"/>
      <c r="D95" s="55"/>
      <c r="E95" s="117"/>
      <c r="F95" s="133">
        <f t="shared" ref="F95" si="75">$D$14</f>
        <v>0</v>
      </c>
      <c r="G95" s="453">
        <f ca="1">VLOOKUP(H95,Equipos!$Q$1:$R$25,2,0)</f>
        <v>15</v>
      </c>
      <c r="H95" s="454">
        <f ca="1">$H$60</f>
        <v>46198</v>
      </c>
      <c r="I95" s="56"/>
      <c r="J95" s="847"/>
      <c r="K95" s="62" t="str">
        <f>Idiomas!D165</f>
        <v>4º GRUPO D</v>
      </c>
      <c r="L95" s="59"/>
      <c r="M95" s="61" t="str">
        <f ca="1">IF(OR(SUM(WORLDCUP!$AN$30:$AN$33)=12,WORLDCUP!$AJ$99=144),WORLDCUP!AL33,LEFT(K95,1)&amp;RIGHT(K95,1))</f>
        <v>Australia</v>
      </c>
      <c r="N95" s="25"/>
      <c r="O95" s="25"/>
      <c r="P95" s="25"/>
      <c r="Q95" s="25"/>
      <c r="R95" s="116"/>
      <c r="S95" s="80"/>
      <c r="T95" s="79">
        <f t="shared" ref="T95" ca="1" si="76">($M95=S95)*$D$14</f>
        <v>0</v>
      </c>
      <c r="U95" s="70"/>
      <c r="V95" s="80"/>
      <c r="W95" s="79">
        <f t="shared" ref="W95:AF95" ca="1" si="77">($M95=V95)*$D$14</f>
        <v>0</v>
      </c>
      <c r="X95" s="70"/>
      <c r="Y95" s="80"/>
      <c r="Z95" s="79">
        <f t="shared" ca="1" si="77"/>
        <v>0</v>
      </c>
      <c r="AA95" s="70"/>
      <c r="AB95" s="80"/>
      <c r="AC95" s="79">
        <f t="shared" ca="1" si="77"/>
        <v>0</v>
      </c>
      <c r="AD95" s="70"/>
      <c r="AE95" s="80"/>
      <c r="AF95" s="79">
        <f t="shared" ca="1" si="77"/>
        <v>0</v>
      </c>
      <c r="AG95" s="70"/>
      <c r="AH95" s="70"/>
    </row>
    <row r="96" spans="1:34">
      <c r="A96" s="55"/>
      <c r="B96" s="55"/>
      <c r="C96" s="55"/>
      <c r="D96" s="55"/>
      <c r="E96" s="117"/>
      <c r="F96" s="133">
        <f t="shared" ref="F96" si="78">$D$11</f>
        <v>0</v>
      </c>
      <c r="G96" s="453">
        <f ca="1">VLOOKUP(H96,Equipos!$Q$1:$R$25,2,0)</f>
        <v>15</v>
      </c>
      <c r="H96" s="454">
        <f ca="1">$H$62</f>
        <v>46198</v>
      </c>
      <c r="I96" s="56"/>
      <c r="J96" s="848" t="s">
        <v>3</v>
      </c>
      <c r="K96" s="62" t="str">
        <f>Idiomas!D166</f>
        <v>1º GRUPO E</v>
      </c>
      <c r="L96" s="59"/>
      <c r="M96" s="61" t="str">
        <f ca="1">IF(OR(SUM(WORLDCUP!$AN$38:$AN$41)=12,WORLDCUP!$AJ$99=144),WORLDCUP!AL38,LEFT(K96,1)&amp;RIGHT(K96,1))</f>
        <v>Alemania</v>
      </c>
      <c r="N96" s="25"/>
      <c r="O96" s="25"/>
      <c r="P96" s="25"/>
      <c r="Q96" s="25"/>
      <c r="R96" s="116"/>
      <c r="S96" s="80"/>
      <c r="T96" s="79">
        <f t="shared" ref="T96" ca="1" si="79">($M96=S96)*$D$11</f>
        <v>0</v>
      </c>
      <c r="U96" s="70"/>
      <c r="V96" s="80"/>
      <c r="W96" s="79">
        <f t="shared" ref="W96:AF96" ca="1" si="80">($M96=V96)*$D$11</f>
        <v>0</v>
      </c>
      <c r="X96" s="70"/>
      <c r="Y96" s="80"/>
      <c r="Z96" s="79">
        <f t="shared" ca="1" si="80"/>
        <v>0</v>
      </c>
      <c r="AA96" s="70"/>
      <c r="AB96" s="80"/>
      <c r="AC96" s="79">
        <f t="shared" ca="1" si="80"/>
        <v>0</v>
      </c>
      <c r="AD96" s="70"/>
      <c r="AE96" s="80"/>
      <c r="AF96" s="79">
        <f t="shared" ca="1" si="80"/>
        <v>0</v>
      </c>
      <c r="AG96" s="70"/>
      <c r="AH96" s="70"/>
    </row>
    <row r="97" spans="1:34">
      <c r="A97" s="55"/>
      <c r="B97" s="55"/>
      <c r="C97" s="55"/>
      <c r="D97" s="55"/>
      <c r="E97" s="117"/>
      <c r="F97" s="133">
        <f t="shared" ref="F97" si="81">$D$12</f>
        <v>0</v>
      </c>
      <c r="G97" s="453">
        <f ca="1">VLOOKUP(H97,Equipos!$Q$1:$R$25,2,0)</f>
        <v>15</v>
      </c>
      <c r="H97" s="454">
        <f ca="1">$H$62</f>
        <v>46198</v>
      </c>
      <c r="I97" s="56"/>
      <c r="J97" s="848"/>
      <c r="K97" s="62" t="str">
        <f>Idiomas!D167</f>
        <v>2º GRUPO E</v>
      </c>
      <c r="L97" s="59"/>
      <c r="M97" s="61" t="str">
        <f ca="1">IF(OR(SUM(WORLDCUP!$AN$38:$AN$41)=12,WORLDCUP!$AJ$99=144),WORLDCUP!AL39,LEFT(K97,1)&amp;RIGHT(K97,1))</f>
        <v>Costa de Marfil</v>
      </c>
      <c r="N97" s="25"/>
      <c r="O97" s="25"/>
      <c r="P97" s="25"/>
      <c r="Q97" s="25"/>
      <c r="R97" s="116"/>
      <c r="S97" s="80"/>
      <c r="T97" s="79">
        <f t="shared" ref="T97" ca="1" si="82">($M97=S97)*$D$12</f>
        <v>0</v>
      </c>
      <c r="U97" s="70"/>
      <c r="V97" s="80"/>
      <c r="W97" s="79">
        <f t="shared" ref="W97:AF97" ca="1" si="83">($M97=V97)*$D$12</f>
        <v>0</v>
      </c>
      <c r="X97" s="70"/>
      <c r="Y97" s="80"/>
      <c r="Z97" s="79">
        <f t="shared" ca="1" si="83"/>
        <v>0</v>
      </c>
      <c r="AA97" s="70"/>
      <c r="AB97" s="80"/>
      <c r="AC97" s="79">
        <f t="shared" ca="1" si="83"/>
        <v>0</v>
      </c>
      <c r="AD97" s="70"/>
      <c r="AE97" s="80"/>
      <c r="AF97" s="79">
        <f t="shared" ca="1" si="83"/>
        <v>0</v>
      </c>
      <c r="AG97" s="70"/>
      <c r="AH97" s="70"/>
    </row>
    <row r="98" spans="1:34">
      <c r="A98" s="55"/>
      <c r="B98" s="55"/>
      <c r="C98" s="55"/>
      <c r="D98" s="55"/>
      <c r="E98" s="117"/>
      <c r="F98" s="133">
        <f t="shared" ref="F98" si="84">$D$13</f>
        <v>0</v>
      </c>
      <c r="G98" s="453">
        <f ca="1">VLOOKUP(H98,Equipos!$Q$1:$R$25,2,0)</f>
        <v>15</v>
      </c>
      <c r="H98" s="454">
        <f ca="1">$H$62</f>
        <v>46198</v>
      </c>
      <c r="I98" s="56"/>
      <c r="J98" s="848"/>
      <c r="K98" s="62" t="str">
        <f>Idiomas!D168</f>
        <v>3º GRUPO E</v>
      </c>
      <c r="L98" s="59"/>
      <c r="M98" s="61" t="str">
        <f ca="1">IF(OR(SUM(WORLDCUP!$AN$38:$AN$41)=12,WORLDCUP!$AJ$99=144),WORLDCUP!AL40,LEFT(K98,1)&amp;RIGHT(K98,1))</f>
        <v>Ecuador</v>
      </c>
      <c r="N98" s="25"/>
      <c r="O98" s="25"/>
      <c r="P98" s="25"/>
      <c r="Q98" s="25"/>
      <c r="R98" s="116"/>
      <c r="S98" s="80"/>
      <c r="T98" s="79">
        <f t="shared" ref="T98" ca="1" si="85">($M98=S98)*$D$13</f>
        <v>0</v>
      </c>
      <c r="U98" s="70"/>
      <c r="V98" s="80"/>
      <c r="W98" s="79">
        <f t="shared" ref="W98:AF98" ca="1" si="86">($M98=V98)*$D$13</f>
        <v>0</v>
      </c>
      <c r="X98" s="70"/>
      <c r="Y98" s="80"/>
      <c r="Z98" s="79">
        <f t="shared" ca="1" si="86"/>
        <v>0</v>
      </c>
      <c r="AA98" s="70"/>
      <c r="AB98" s="80"/>
      <c r="AC98" s="79">
        <f t="shared" ca="1" si="86"/>
        <v>0</v>
      </c>
      <c r="AD98" s="70"/>
      <c r="AE98" s="80"/>
      <c r="AF98" s="79">
        <f t="shared" ca="1" si="86"/>
        <v>0</v>
      </c>
      <c r="AG98" s="70"/>
      <c r="AH98" s="70"/>
    </row>
    <row r="99" spans="1:34">
      <c r="A99" s="55"/>
      <c r="B99" s="55"/>
      <c r="C99" s="55"/>
      <c r="D99" s="55"/>
      <c r="E99" s="117"/>
      <c r="F99" s="133">
        <f t="shared" ref="F99" si="87">$D$14</f>
        <v>0</v>
      </c>
      <c r="G99" s="453">
        <f ca="1">VLOOKUP(H99,Equipos!$Q$1:$R$25,2,0)</f>
        <v>15</v>
      </c>
      <c r="H99" s="454">
        <f ca="1">$H$62</f>
        <v>46198</v>
      </c>
      <c r="I99" s="56"/>
      <c r="J99" s="848"/>
      <c r="K99" s="62" t="str">
        <f>Idiomas!D169</f>
        <v>4º GRUPO E</v>
      </c>
      <c r="L99" s="59"/>
      <c r="M99" s="61" t="str">
        <f ca="1">IF(OR(SUM(WORLDCUP!$AN$38:$AN$41)=12,WORLDCUP!$AJ$99=144),WORLDCUP!AL41,LEFT(K99,1)&amp;RIGHT(K99,1))</f>
        <v>Curazao</v>
      </c>
      <c r="N99" s="25"/>
      <c r="O99" s="25"/>
      <c r="P99" s="25"/>
      <c r="Q99" s="25"/>
      <c r="R99" s="116"/>
      <c r="S99" s="80"/>
      <c r="T99" s="79">
        <f t="shared" ref="T99" ca="1" si="88">($M99=S99)*$D$14</f>
        <v>0</v>
      </c>
      <c r="U99" s="70"/>
      <c r="V99" s="80"/>
      <c r="W99" s="79">
        <f t="shared" ref="W99:AF99" ca="1" si="89">($M99=V99)*$D$14</f>
        <v>0</v>
      </c>
      <c r="X99" s="70"/>
      <c r="Y99" s="80"/>
      <c r="Z99" s="79">
        <f t="shared" ca="1" si="89"/>
        <v>0</v>
      </c>
      <c r="AA99" s="70"/>
      <c r="AB99" s="80"/>
      <c r="AC99" s="79">
        <f t="shared" ca="1" si="89"/>
        <v>0</v>
      </c>
      <c r="AD99" s="70"/>
      <c r="AE99" s="80"/>
      <c r="AF99" s="79">
        <f t="shared" ca="1" si="89"/>
        <v>0</v>
      </c>
      <c r="AG99" s="70"/>
      <c r="AH99" s="70"/>
    </row>
    <row r="100" spans="1:34">
      <c r="A100" s="55"/>
      <c r="B100" s="55"/>
      <c r="C100" s="55"/>
      <c r="D100" s="55"/>
      <c r="E100" s="117"/>
      <c r="F100" s="133">
        <f t="shared" ref="F100" si="90">$D$11</f>
        <v>0</v>
      </c>
      <c r="G100" s="453">
        <f ca="1">VLOOKUP(H100,Equipos!$Q$1:$R$25,2,0)</f>
        <v>15</v>
      </c>
      <c r="H100" s="454">
        <f ca="1">$H$64</f>
        <v>46198</v>
      </c>
      <c r="I100" s="56"/>
      <c r="J100" s="847" t="s">
        <v>4</v>
      </c>
      <c r="K100" s="62" t="str">
        <f>Idiomas!D170</f>
        <v>1º GRUPO F</v>
      </c>
      <c r="L100" s="59"/>
      <c r="M100" s="61" t="str">
        <f ca="1">IF(OR(SUM(WORLDCUP!$AN$46:$AN$49)=12,WORLDCUP!$AJ$99=144),WORLDCUP!AL46,LEFT(K100,1)&amp;RIGHT(K100,1))</f>
        <v>Japón</v>
      </c>
      <c r="N100" s="25"/>
      <c r="O100" s="25"/>
      <c r="P100" s="25"/>
      <c r="Q100" s="25"/>
      <c r="R100" s="116"/>
      <c r="S100" s="80"/>
      <c r="T100" s="79">
        <f t="shared" ref="T100" ca="1" si="91">($M100=S100)*$D$11</f>
        <v>0</v>
      </c>
      <c r="U100" s="70"/>
      <c r="V100" s="80"/>
      <c r="W100" s="79">
        <f t="shared" ref="W100:AF100" ca="1" si="92">($M100=V100)*$D$11</f>
        <v>0</v>
      </c>
      <c r="X100" s="70"/>
      <c r="Y100" s="80"/>
      <c r="Z100" s="79">
        <f t="shared" ca="1" si="92"/>
        <v>0</v>
      </c>
      <c r="AA100" s="70"/>
      <c r="AB100" s="80"/>
      <c r="AC100" s="79">
        <f t="shared" ca="1" si="92"/>
        <v>0</v>
      </c>
      <c r="AD100" s="70"/>
      <c r="AE100" s="80"/>
      <c r="AF100" s="79">
        <f t="shared" ca="1" si="92"/>
        <v>0</v>
      </c>
      <c r="AG100" s="70"/>
      <c r="AH100" s="70"/>
    </row>
    <row r="101" spans="1:34">
      <c r="A101" s="55"/>
      <c r="B101" s="55"/>
      <c r="C101" s="55"/>
      <c r="D101" s="55"/>
      <c r="E101" s="117"/>
      <c r="F101" s="133">
        <f t="shared" ref="F101" si="93">$D$12</f>
        <v>0</v>
      </c>
      <c r="G101" s="453">
        <f ca="1">VLOOKUP(H101,Equipos!$Q$1:$R$25,2,0)</f>
        <v>15</v>
      </c>
      <c r="H101" s="454">
        <f ca="1">$H$64</f>
        <v>46198</v>
      </c>
      <c r="I101" s="56"/>
      <c r="J101" s="847"/>
      <c r="K101" s="62" t="str">
        <f>Idiomas!D171</f>
        <v>2º GRUPO F</v>
      </c>
      <c r="L101" s="59"/>
      <c r="M101" s="61" t="str">
        <f ca="1">IF(OR(SUM(WORLDCUP!$AN$46:$AN$49)=12,WORLDCUP!$AJ$99=144),WORLDCUP!AL47,LEFT(K101,1)&amp;RIGHT(K101,1))</f>
        <v>Países Bajos</v>
      </c>
      <c r="N101" s="25"/>
      <c r="O101" s="25"/>
      <c r="P101" s="25"/>
      <c r="Q101" s="25"/>
      <c r="R101" s="116"/>
      <c r="S101" s="80"/>
      <c r="T101" s="79">
        <f t="shared" ref="T101" ca="1" si="94">($M101=S101)*$D$12</f>
        <v>0</v>
      </c>
      <c r="U101" s="70"/>
      <c r="V101" s="80"/>
      <c r="W101" s="79">
        <f t="shared" ref="W101:AF101" ca="1" si="95">($M101=V101)*$D$12</f>
        <v>0</v>
      </c>
      <c r="X101" s="70"/>
      <c r="Y101" s="80"/>
      <c r="Z101" s="79">
        <f t="shared" ca="1" si="95"/>
        <v>0</v>
      </c>
      <c r="AA101" s="70"/>
      <c r="AB101" s="80"/>
      <c r="AC101" s="79">
        <f t="shared" ca="1" si="95"/>
        <v>0</v>
      </c>
      <c r="AD101" s="70"/>
      <c r="AE101" s="80"/>
      <c r="AF101" s="79">
        <f t="shared" ca="1" si="95"/>
        <v>0</v>
      </c>
      <c r="AG101" s="70"/>
      <c r="AH101" s="70"/>
    </row>
    <row r="102" spans="1:34">
      <c r="A102" s="55"/>
      <c r="B102" s="55"/>
      <c r="C102" s="55"/>
      <c r="D102" s="55"/>
      <c r="E102" s="117"/>
      <c r="F102" s="133">
        <f t="shared" ref="F102" si="96">$D$13</f>
        <v>0</v>
      </c>
      <c r="G102" s="453">
        <f ca="1">VLOOKUP(H102,Equipos!$Q$1:$R$25,2,0)</f>
        <v>15</v>
      </c>
      <c r="H102" s="454">
        <f ca="1">$H$64</f>
        <v>46198</v>
      </c>
      <c r="I102" s="56"/>
      <c r="J102" s="847"/>
      <c r="K102" s="62" t="str">
        <f>Idiomas!D172</f>
        <v>3º GRUPO F</v>
      </c>
      <c r="L102" s="59"/>
      <c r="M102" s="61" t="str">
        <f ca="1">IF(OR(SUM(WORLDCUP!$AN$46:$AN$49)=12,WORLDCUP!$AJ$99=144),WORLDCUP!AL48,LEFT(K102,1)&amp;RIGHT(K102,1))</f>
        <v>Suecia</v>
      </c>
      <c r="N102" s="25"/>
      <c r="O102" s="25"/>
      <c r="P102" s="25"/>
      <c r="Q102" s="25"/>
      <c r="R102" s="116"/>
      <c r="S102" s="80"/>
      <c r="T102" s="79">
        <f t="shared" ref="T102" ca="1" si="97">($M102=S102)*$D$13</f>
        <v>0</v>
      </c>
      <c r="U102" s="70"/>
      <c r="V102" s="80"/>
      <c r="W102" s="79">
        <f t="shared" ref="W102:AF102" ca="1" si="98">($M102=V102)*$D$13</f>
        <v>0</v>
      </c>
      <c r="X102" s="70"/>
      <c r="Y102" s="80"/>
      <c r="Z102" s="79">
        <f t="shared" ca="1" si="98"/>
        <v>0</v>
      </c>
      <c r="AA102" s="70"/>
      <c r="AB102" s="80"/>
      <c r="AC102" s="79">
        <f t="shared" ca="1" si="98"/>
        <v>0</v>
      </c>
      <c r="AD102" s="70"/>
      <c r="AE102" s="80"/>
      <c r="AF102" s="79">
        <f t="shared" ca="1" si="98"/>
        <v>0</v>
      </c>
      <c r="AG102" s="70"/>
      <c r="AH102" s="70"/>
    </row>
    <row r="103" spans="1:34">
      <c r="A103" s="55"/>
      <c r="B103" s="55"/>
      <c r="C103" s="55"/>
      <c r="D103" s="55"/>
      <c r="E103" s="117"/>
      <c r="F103" s="133">
        <f t="shared" ref="F103" si="99">$D$14</f>
        <v>0</v>
      </c>
      <c r="G103" s="453">
        <f ca="1">VLOOKUP(H103,Equipos!$Q$1:$R$25,2,0)</f>
        <v>15</v>
      </c>
      <c r="H103" s="454">
        <f ca="1">$H$64</f>
        <v>46198</v>
      </c>
      <c r="I103" s="56"/>
      <c r="J103" s="847"/>
      <c r="K103" s="62" t="str">
        <f>Idiomas!D173</f>
        <v>4º GRUPO F</v>
      </c>
      <c r="L103" s="59"/>
      <c r="M103" s="61" t="str">
        <f ca="1">IF(OR(SUM(WORLDCUP!$AN$46:$AN$49)=12,WORLDCUP!$AJ$99=144),WORLDCUP!AL49,LEFT(K103,1)&amp;RIGHT(K103,1))</f>
        <v>Túnez</v>
      </c>
      <c r="N103" s="25"/>
      <c r="O103" s="25"/>
      <c r="P103" s="25"/>
      <c r="Q103" s="25"/>
      <c r="R103" s="116"/>
      <c r="S103" s="80"/>
      <c r="T103" s="79">
        <f t="shared" ref="T103" ca="1" si="100">($M103=S103)*$D$14</f>
        <v>0</v>
      </c>
      <c r="U103" s="70"/>
      <c r="V103" s="80"/>
      <c r="W103" s="79">
        <f t="shared" ref="W103:AF103" ca="1" si="101">($M103=V103)*$D$14</f>
        <v>0</v>
      </c>
      <c r="X103" s="70"/>
      <c r="Y103" s="80"/>
      <c r="Z103" s="79">
        <f t="shared" ca="1" si="101"/>
        <v>0</v>
      </c>
      <c r="AA103" s="70"/>
      <c r="AB103" s="80"/>
      <c r="AC103" s="79">
        <f t="shared" ca="1" si="101"/>
        <v>0</v>
      </c>
      <c r="AD103" s="70"/>
      <c r="AE103" s="80"/>
      <c r="AF103" s="79">
        <f t="shared" ca="1" si="101"/>
        <v>0</v>
      </c>
      <c r="AG103" s="70"/>
      <c r="AH103" s="70"/>
    </row>
    <row r="104" spans="1:34">
      <c r="A104" s="55"/>
      <c r="B104" s="55"/>
      <c r="C104" s="55"/>
      <c r="D104" s="55"/>
      <c r="E104" s="117"/>
      <c r="F104" s="133">
        <f t="shared" ref="F104" si="102">$D$11</f>
        <v>0</v>
      </c>
      <c r="G104" s="453">
        <f ca="1">VLOOKUP(H104,Equipos!$Q$1:$R$25,2,0)</f>
        <v>16</v>
      </c>
      <c r="H104" s="454">
        <f ca="1">$H$66</f>
        <v>46199</v>
      </c>
      <c r="I104" s="56"/>
      <c r="J104" s="848" t="s">
        <v>6</v>
      </c>
      <c r="K104" s="62" t="str">
        <f>Idiomas!D174</f>
        <v>1º GRUPO G</v>
      </c>
      <c r="L104" s="59"/>
      <c r="M104" s="61" t="str">
        <f ca="1">IF(OR(SUM(WORLDCUP!$AN$54:$AN$57)=12,WORLDCUP!$AJ$99=144),WORLDCUP!AL54,LEFT(K104,1)&amp;RIGHT(K104,1))</f>
        <v>Bélgica</v>
      </c>
      <c r="N104" s="25"/>
      <c r="O104" s="25"/>
      <c r="P104" s="25"/>
      <c r="Q104" s="25"/>
      <c r="R104" s="116"/>
      <c r="S104" s="80"/>
      <c r="T104" s="79">
        <f t="shared" ref="T104" ca="1" si="103">($M104=S104)*$D$11</f>
        <v>0</v>
      </c>
      <c r="U104" s="70"/>
      <c r="V104" s="80"/>
      <c r="W104" s="79">
        <f t="shared" ref="W104:AF104" ca="1" si="104">($M104=V104)*$D$11</f>
        <v>0</v>
      </c>
      <c r="X104" s="70"/>
      <c r="Y104" s="80"/>
      <c r="Z104" s="79">
        <f t="shared" ca="1" si="104"/>
        <v>0</v>
      </c>
      <c r="AA104" s="70"/>
      <c r="AB104" s="80"/>
      <c r="AC104" s="79">
        <f t="shared" ca="1" si="104"/>
        <v>0</v>
      </c>
      <c r="AD104" s="70"/>
      <c r="AE104" s="80"/>
      <c r="AF104" s="79">
        <f t="shared" ca="1" si="104"/>
        <v>0</v>
      </c>
      <c r="AG104" s="70"/>
      <c r="AH104" s="70"/>
    </row>
    <row r="105" spans="1:34">
      <c r="A105" s="55"/>
      <c r="B105" s="55"/>
      <c r="C105" s="55"/>
      <c r="D105" s="55"/>
      <c r="E105" s="117"/>
      <c r="F105" s="133">
        <f t="shared" ref="F105" si="105">$D$12</f>
        <v>0</v>
      </c>
      <c r="G105" s="453">
        <f ca="1">VLOOKUP(H105,Equipos!$Q$1:$R$25,2,0)</f>
        <v>16</v>
      </c>
      <c r="H105" s="454">
        <f ca="1">$H$66</f>
        <v>46199</v>
      </c>
      <c r="I105" s="56"/>
      <c r="J105" s="848"/>
      <c r="K105" s="62" t="str">
        <f>Idiomas!D175</f>
        <v>2º GRUPO G</v>
      </c>
      <c r="L105" s="59"/>
      <c r="M105" s="61" t="str">
        <f ca="1">IF(OR(SUM(WORLDCUP!$AN$54:$AN$57)=12,WORLDCUP!$AJ$99=144),WORLDCUP!AL55,LEFT(K105,1)&amp;RIGHT(K105,1))</f>
        <v>Irán</v>
      </c>
      <c r="N105" s="25"/>
      <c r="O105" s="25"/>
      <c r="P105" s="25"/>
      <c r="Q105" s="25"/>
      <c r="R105" s="116"/>
      <c r="S105" s="80"/>
      <c r="T105" s="79">
        <f t="shared" ref="T105" ca="1" si="106">($M105=S105)*$D$12</f>
        <v>0</v>
      </c>
      <c r="U105" s="70"/>
      <c r="V105" s="80"/>
      <c r="W105" s="79">
        <f t="shared" ref="W105:AF105" ca="1" si="107">($M105=V105)*$D$12</f>
        <v>0</v>
      </c>
      <c r="X105" s="70"/>
      <c r="Y105" s="80"/>
      <c r="Z105" s="79">
        <f t="shared" ca="1" si="107"/>
        <v>0</v>
      </c>
      <c r="AA105" s="70"/>
      <c r="AB105" s="80"/>
      <c r="AC105" s="79">
        <f t="shared" ca="1" si="107"/>
        <v>0</v>
      </c>
      <c r="AD105" s="70"/>
      <c r="AE105" s="80"/>
      <c r="AF105" s="79">
        <f t="shared" ca="1" si="107"/>
        <v>0</v>
      </c>
      <c r="AG105" s="70"/>
      <c r="AH105" s="70"/>
    </row>
    <row r="106" spans="1:34">
      <c r="A106" s="55"/>
      <c r="B106" s="55"/>
      <c r="C106" s="55"/>
      <c r="D106" s="55"/>
      <c r="E106" s="117"/>
      <c r="F106" s="133">
        <f t="shared" ref="F106" si="108">$D$13</f>
        <v>0</v>
      </c>
      <c r="G106" s="453">
        <f ca="1">VLOOKUP(H106,Equipos!$Q$1:$R$25,2,0)</f>
        <v>16</v>
      </c>
      <c r="H106" s="454">
        <f ca="1">$H$66</f>
        <v>46199</v>
      </c>
      <c r="I106" s="56"/>
      <c r="J106" s="848"/>
      <c r="K106" s="62" t="str">
        <f>Idiomas!D176</f>
        <v>3º GRUPO G</v>
      </c>
      <c r="L106" s="59"/>
      <c r="M106" s="61" t="str">
        <f ca="1">IF(OR(SUM(WORLDCUP!$AN$54:$AN$57)=12,WORLDCUP!$AJ$99=144),WORLDCUP!AL56,LEFT(K106,1)&amp;RIGHT(K106,1))</f>
        <v>Egipto</v>
      </c>
      <c r="N106" s="25"/>
      <c r="O106" s="25"/>
      <c r="P106" s="25"/>
      <c r="Q106" s="25"/>
      <c r="R106" s="116"/>
      <c r="S106" s="80"/>
      <c r="T106" s="79">
        <f t="shared" ref="T106" ca="1" si="109">($M106=S106)*$D$13</f>
        <v>0</v>
      </c>
      <c r="U106" s="70"/>
      <c r="V106" s="80"/>
      <c r="W106" s="79">
        <f t="shared" ref="W106:AF106" ca="1" si="110">($M106=V106)*$D$13</f>
        <v>0</v>
      </c>
      <c r="X106" s="70"/>
      <c r="Y106" s="80"/>
      <c r="Z106" s="79">
        <f t="shared" ca="1" si="110"/>
        <v>0</v>
      </c>
      <c r="AA106" s="70"/>
      <c r="AB106" s="80"/>
      <c r="AC106" s="79">
        <f t="shared" ca="1" si="110"/>
        <v>0</v>
      </c>
      <c r="AD106" s="70"/>
      <c r="AE106" s="80"/>
      <c r="AF106" s="79">
        <f t="shared" ca="1" si="110"/>
        <v>0</v>
      </c>
      <c r="AG106" s="70"/>
      <c r="AH106" s="70"/>
    </row>
    <row r="107" spans="1:34">
      <c r="A107" s="55"/>
      <c r="B107" s="55"/>
      <c r="C107" s="55"/>
      <c r="D107" s="55"/>
      <c r="E107" s="117"/>
      <c r="F107" s="133">
        <f t="shared" ref="F107" si="111">$D$14</f>
        <v>0</v>
      </c>
      <c r="G107" s="453">
        <f ca="1">VLOOKUP(H107,Equipos!$Q$1:$R$25,2,0)</f>
        <v>16</v>
      </c>
      <c r="H107" s="454">
        <f ca="1">$H$66</f>
        <v>46199</v>
      </c>
      <c r="I107" s="56"/>
      <c r="J107" s="848"/>
      <c r="K107" s="62" t="str">
        <f>Idiomas!D177</f>
        <v>4º GRUPO G</v>
      </c>
      <c r="L107" s="59"/>
      <c r="M107" s="61" t="str">
        <f ca="1">IF(OR(SUM(WORLDCUP!$AN$54:$AN$57)=12,WORLDCUP!$AJ$99=144),WORLDCUP!AL57,LEFT(K107,1)&amp;RIGHT(K107,1))</f>
        <v>Nueva Zelanda</v>
      </c>
      <c r="N107" s="25"/>
      <c r="O107" s="25"/>
      <c r="P107" s="25"/>
      <c r="Q107" s="25"/>
      <c r="R107" s="116"/>
      <c r="S107" s="80"/>
      <c r="T107" s="79">
        <f t="shared" ref="T107" ca="1" si="112">($M107=S107)*$D$14</f>
        <v>0</v>
      </c>
      <c r="U107" s="70"/>
      <c r="V107" s="80"/>
      <c r="W107" s="79">
        <f t="shared" ref="W107:AF107" ca="1" si="113">($M107=V107)*$D$14</f>
        <v>0</v>
      </c>
      <c r="X107" s="70"/>
      <c r="Y107" s="80"/>
      <c r="Z107" s="79">
        <f t="shared" ca="1" si="113"/>
        <v>0</v>
      </c>
      <c r="AA107" s="70"/>
      <c r="AB107" s="80"/>
      <c r="AC107" s="79">
        <f t="shared" ca="1" si="113"/>
        <v>0</v>
      </c>
      <c r="AD107" s="70"/>
      <c r="AE107" s="80"/>
      <c r="AF107" s="79">
        <f t="shared" ca="1" si="113"/>
        <v>0</v>
      </c>
      <c r="AG107" s="70"/>
      <c r="AH107" s="70"/>
    </row>
    <row r="108" spans="1:34">
      <c r="A108" s="55"/>
      <c r="B108" s="55"/>
      <c r="C108" s="55"/>
      <c r="D108" s="55"/>
      <c r="E108" s="117"/>
      <c r="F108" s="133">
        <f t="shared" ref="F108" si="114">$D$11</f>
        <v>0</v>
      </c>
      <c r="G108" s="453">
        <f ca="1">VLOOKUP(H108,Equipos!$Q$1:$R$25,2,0)</f>
        <v>16</v>
      </c>
      <c r="H108" s="454">
        <f ca="1">$H$68</f>
        <v>46199</v>
      </c>
      <c r="I108" s="56"/>
      <c r="J108" s="847" t="s">
        <v>437</v>
      </c>
      <c r="K108" s="62" t="str">
        <f>Idiomas!D178</f>
        <v>1º GRUPO H</v>
      </c>
      <c r="L108" s="59"/>
      <c r="M108" s="61" t="str">
        <f ca="1">IF(OR(SUM(WORLDCUP!$AN$62:$AN$65)=12,WORLDCUP!$AJ$99=144),WORLDCUP!AL62,LEFT(K108,1)&amp;RIGHT(K108,1))</f>
        <v>España</v>
      </c>
      <c r="N108" s="25"/>
      <c r="O108" s="25"/>
      <c r="P108" s="25"/>
      <c r="Q108" s="25"/>
      <c r="R108" s="116"/>
      <c r="S108" s="80"/>
      <c r="T108" s="79">
        <f t="shared" ref="T108" ca="1" si="115">($M108=S108)*$D$11</f>
        <v>0</v>
      </c>
      <c r="U108" s="70"/>
      <c r="V108" s="80"/>
      <c r="W108" s="79">
        <f t="shared" ref="W108:AF108" ca="1" si="116">($M108=V108)*$D$11</f>
        <v>0</v>
      </c>
      <c r="X108" s="70"/>
      <c r="Y108" s="80"/>
      <c r="Z108" s="79">
        <f t="shared" ca="1" si="116"/>
        <v>0</v>
      </c>
      <c r="AA108" s="70"/>
      <c r="AB108" s="80"/>
      <c r="AC108" s="79">
        <f t="shared" ca="1" si="116"/>
        <v>0</v>
      </c>
      <c r="AD108" s="70"/>
      <c r="AE108" s="80"/>
      <c r="AF108" s="79">
        <f t="shared" ca="1" si="116"/>
        <v>0</v>
      </c>
      <c r="AG108" s="70"/>
      <c r="AH108" s="70"/>
    </row>
    <row r="109" spans="1:34">
      <c r="A109" s="55"/>
      <c r="B109" s="55"/>
      <c r="C109" s="55"/>
      <c r="D109" s="55"/>
      <c r="E109" s="117"/>
      <c r="F109" s="133">
        <f t="shared" ref="F109" si="117">$D$12</f>
        <v>0</v>
      </c>
      <c r="G109" s="453">
        <f ca="1">VLOOKUP(H109,Equipos!$Q$1:$R$25,2,0)</f>
        <v>16</v>
      </c>
      <c r="H109" s="454">
        <f ca="1">$H$68</f>
        <v>46199</v>
      </c>
      <c r="I109" s="56"/>
      <c r="J109" s="847"/>
      <c r="K109" s="62" t="str">
        <f>Idiomas!D179</f>
        <v>2º GRUPO H</v>
      </c>
      <c r="L109" s="59"/>
      <c r="M109" s="61" t="str">
        <f ca="1">IF(OR(SUM(WORLDCUP!$AN$62:$AN$65)=12,WORLDCUP!$AJ$99=144),WORLDCUP!AL63,LEFT(K109,1)&amp;RIGHT(K109,1))</f>
        <v>Uruguay</v>
      </c>
      <c r="N109" s="25"/>
      <c r="O109" s="25"/>
      <c r="P109" s="25"/>
      <c r="Q109" s="25"/>
      <c r="R109" s="116"/>
      <c r="S109" s="80"/>
      <c r="T109" s="79">
        <f t="shared" ref="T109" ca="1" si="118">($M109=S109)*$D$12</f>
        <v>0</v>
      </c>
      <c r="U109" s="70"/>
      <c r="V109" s="80"/>
      <c r="W109" s="79">
        <f t="shared" ref="W109:AF109" ca="1" si="119">($M109=V109)*$D$12</f>
        <v>0</v>
      </c>
      <c r="X109" s="70"/>
      <c r="Y109" s="80"/>
      <c r="Z109" s="79">
        <f t="shared" ca="1" si="119"/>
        <v>0</v>
      </c>
      <c r="AA109" s="70"/>
      <c r="AB109" s="80"/>
      <c r="AC109" s="79">
        <f t="shared" ca="1" si="119"/>
        <v>0</v>
      </c>
      <c r="AD109" s="70"/>
      <c r="AE109" s="80"/>
      <c r="AF109" s="79">
        <f t="shared" ca="1" si="119"/>
        <v>0</v>
      </c>
      <c r="AG109" s="70"/>
      <c r="AH109" s="70"/>
    </row>
    <row r="110" spans="1:34">
      <c r="A110" s="55"/>
      <c r="B110" s="55"/>
      <c r="C110" s="55"/>
      <c r="D110" s="55"/>
      <c r="E110" s="117"/>
      <c r="F110" s="133">
        <f t="shared" ref="F110" si="120">$D$13</f>
        <v>0</v>
      </c>
      <c r="G110" s="453">
        <f ca="1">VLOOKUP(H110,Equipos!$Q$1:$R$25,2,0)</f>
        <v>16</v>
      </c>
      <c r="H110" s="454">
        <f ca="1">$H$68</f>
        <v>46199</v>
      </c>
      <c r="I110" s="56"/>
      <c r="J110" s="847"/>
      <c r="K110" s="62" t="str">
        <f>Idiomas!D180</f>
        <v>3º GRUPO H</v>
      </c>
      <c r="L110" s="59"/>
      <c r="M110" s="61" t="str">
        <f ca="1">IF(OR(SUM(WORLDCUP!$AN$62:$AN$65)=12,WORLDCUP!$AJ$99=144),WORLDCUP!AL64,LEFT(K110,1)&amp;RIGHT(K110,1))</f>
        <v>Arabia Saudita</v>
      </c>
      <c r="N110" s="25"/>
      <c r="O110" s="25"/>
      <c r="P110" s="25"/>
      <c r="Q110" s="25"/>
      <c r="R110" s="116"/>
      <c r="S110" s="80"/>
      <c r="T110" s="79">
        <f t="shared" ref="T110" ca="1" si="121">($M110=S110)*$D$13</f>
        <v>0</v>
      </c>
      <c r="U110" s="70"/>
      <c r="V110" s="80"/>
      <c r="W110" s="79">
        <f t="shared" ref="W110:AF110" ca="1" si="122">($M110=V110)*$D$13</f>
        <v>0</v>
      </c>
      <c r="X110" s="70"/>
      <c r="Y110" s="80"/>
      <c r="Z110" s="79">
        <f t="shared" ca="1" si="122"/>
        <v>0</v>
      </c>
      <c r="AA110" s="70"/>
      <c r="AB110" s="80"/>
      <c r="AC110" s="79">
        <f t="shared" ca="1" si="122"/>
        <v>0</v>
      </c>
      <c r="AD110" s="70"/>
      <c r="AE110" s="80"/>
      <c r="AF110" s="79">
        <f t="shared" ca="1" si="122"/>
        <v>0</v>
      </c>
      <c r="AG110" s="70"/>
      <c r="AH110" s="70"/>
    </row>
    <row r="111" spans="1:34">
      <c r="A111" s="55"/>
      <c r="B111" s="55"/>
      <c r="C111" s="55"/>
      <c r="D111" s="55"/>
      <c r="E111" s="71"/>
      <c r="F111" s="133">
        <f t="shared" ref="F111" si="123">$D$14</f>
        <v>0</v>
      </c>
      <c r="G111" s="453">
        <f ca="1">VLOOKUP(H111,Equipos!$Q$1:$R$25,2,0)</f>
        <v>16</v>
      </c>
      <c r="H111" s="454">
        <f ca="1">$H$68</f>
        <v>46199</v>
      </c>
      <c r="I111" s="56"/>
      <c r="J111" s="847"/>
      <c r="K111" s="62" t="str">
        <f>Idiomas!D181</f>
        <v>4º GRUPO H</v>
      </c>
      <c r="L111" s="59"/>
      <c r="M111" s="61" t="str">
        <f ca="1">IF(OR(SUM(WORLDCUP!$AN$62:$AN$65)=12,WORLDCUP!$AJ$99=144),WORLDCUP!AL65,LEFT(K111,1)&amp;RIGHT(K111,1))</f>
        <v>Cabo Verde</v>
      </c>
      <c r="N111" s="25"/>
      <c r="O111" s="25"/>
      <c r="P111" s="25"/>
      <c r="Q111" s="25"/>
      <c r="R111" s="116"/>
      <c r="S111" s="80"/>
      <c r="T111" s="79">
        <f t="shared" ref="T111" ca="1" si="124">($M111=S111)*$D$14</f>
        <v>0</v>
      </c>
      <c r="U111" s="70"/>
      <c r="V111" s="80"/>
      <c r="W111" s="79">
        <f t="shared" ref="W111:AF111" ca="1" si="125">($M111=V111)*$D$14</f>
        <v>0</v>
      </c>
      <c r="X111" s="70"/>
      <c r="Y111" s="80"/>
      <c r="Z111" s="79">
        <f t="shared" ca="1" si="125"/>
        <v>0</v>
      </c>
      <c r="AA111" s="70"/>
      <c r="AB111" s="80"/>
      <c r="AC111" s="79">
        <f t="shared" ca="1" si="125"/>
        <v>0</v>
      </c>
      <c r="AD111" s="70"/>
      <c r="AE111" s="80"/>
      <c r="AF111" s="79">
        <f t="shared" ca="1" si="125"/>
        <v>0</v>
      </c>
      <c r="AG111" s="70"/>
      <c r="AH111" s="70"/>
    </row>
    <row r="112" spans="1:34">
      <c r="A112" s="55"/>
      <c r="B112" s="55"/>
      <c r="C112" s="55"/>
      <c r="D112" s="55"/>
      <c r="E112" s="71"/>
      <c r="F112" s="133">
        <f t="shared" ref="F112" si="126">$D$11</f>
        <v>0</v>
      </c>
      <c r="G112" s="453">
        <f ca="1">VLOOKUP(H112,Equipos!$Q$1:$R$25,2,0)</f>
        <v>16</v>
      </c>
      <c r="H112" s="454">
        <f ca="1">$H$70</f>
        <v>46199</v>
      </c>
      <c r="I112" s="56"/>
      <c r="J112" s="848" t="s">
        <v>438</v>
      </c>
      <c r="K112" s="62" t="str">
        <f>Idiomas!D182</f>
        <v>1º GRUPO I</v>
      </c>
      <c r="L112" s="59"/>
      <c r="M112" s="61" t="str">
        <f ca="1">IF(OR(SUM(WORLDCUP!$AN$70:$AN$73)=12,WORLDCUP!$AJ$99=144),WORLDCUP!AL70,LEFT(K112,1)&amp;RIGHT(K112,1))</f>
        <v>Francia</v>
      </c>
      <c r="N112" s="25"/>
      <c r="O112" s="25"/>
      <c r="P112" s="25"/>
      <c r="Q112" s="25"/>
      <c r="R112" s="116"/>
      <c r="S112" s="80"/>
      <c r="T112" s="79">
        <f t="shared" ref="T112" ca="1" si="127">($M112=S112)*$D$11</f>
        <v>0</v>
      </c>
      <c r="U112" s="70"/>
      <c r="V112" s="80"/>
      <c r="W112" s="79">
        <f t="shared" ref="W112:AF112" ca="1" si="128">($M112=V112)*$D$11</f>
        <v>0</v>
      </c>
      <c r="X112" s="70"/>
      <c r="Y112" s="80"/>
      <c r="Z112" s="79">
        <f t="shared" ca="1" si="128"/>
        <v>0</v>
      </c>
      <c r="AA112" s="70"/>
      <c r="AB112" s="80"/>
      <c r="AC112" s="79">
        <f t="shared" ca="1" si="128"/>
        <v>0</v>
      </c>
      <c r="AD112" s="70"/>
      <c r="AE112" s="80"/>
      <c r="AF112" s="79">
        <f t="shared" ca="1" si="128"/>
        <v>0</v>
      </c>
      <c r="AG112" s="70"/>
      <c r="AH112" s="70"/>
    </row>
    <row r="113" spans="1:34">
      <c r="A113" s="55"/>
      <c r="B113" s="55"/>
      <c r="C113" s="55"/>
      <c r="D113" s="55"/>
      <c r="E113" s="71"/>
      <c r="F113" s="133">
        <f t="shared" ref="F113" si="129">$D$12</f>
        <v>0</v>
      </c>
      <c r="G113" s="453">
        <f ca="1">VLOOKUP(H113,Equipos!$Q$1:$R$25,2,0)</f>
        <v>16</v>
      </c>
      <c r="H113" s="454">
        <f ca="1">$H$70</f>
        <v>46199</v>
      </c>
      <c r="I113" s="56"/>
      <c r="J113" s="848"/>
      <c r="K113" s="62" t="str">
        <f>Idiomas!D183</f>
        <v>2º GRUPO I</v>
      </c>
      <c r="L113" s="59"/>
      <c r="M113" s="61" t="str">
        <f ca="1">IF(OR(SUM(WORLDCUP!$AN$70:$AN$73)=12,WORLDCUP!$AJ$99=144),WORLDCUP!AL71,LEFT(K113,1)&amp;RIGHT(K113,1))</f>
        <v>Noruega</v>
      </c>
      <c r="N113" s="25"/>
      <c r="O113" s="25"/>
      <c r="P113" s="25"/>
      <c r="Q113" s="25"/>
      <c r="R113" s="116"/>
      <c r="S113" s="80"/>
      <c r="T113" s="79">
        <f t="shared" ref="T113" ca="1" si="130">($M113=S113)*$D$12</f>
        <v>0</v>
      </c>
      <c r="U113" s="70"/>
      <c r="V113" s="80"/>
      <c r="W113" s="79">
        <f t="shared" ref="W113:AF113" ca="1" si="131">($M113=V113)*$D$12</f>
        <v>0</v>
      </c>
      <c r="X113" s="70"/>
      <c r="Y113" s="80"/>
      <c r="Z113" s="79">
        <f t="shared" ca="1" si="131"/>
        <v>0</v>
      </c>
      <c r="AA113" s="70"/>
      <c r="AB113" s="80"/>
      <c r="AC113" s="79">
        <f t="shared" ca="1" si="131"/>
        <v>0</v>
      </c>
      <c r="AD113" s="70"/>
      <c r="AE113" s="80"/>
      <c r="AF113" s="79">
        <f t="shared" ca="1" si="131"/>
        <v>0</v>
      </c>
      <c r="AG113" s="70"/>
      <c r="AH113" s="70"/>
    </row>
    <row r="114" spans="1:34">
      <c r="A114" s="55"/>
      <c r="B114" s="55"/>
      <c r="C114" s="55"/>
      <c r="D114" s="55"/>
      <c r="E114" s="71"/>
      <c r="F114" s="133">
        <f t="shared" ref="F114" si="132">$D$13</f>
        <v>0</v>
      </c>
      <c r="G114" s="453">
        <f ca="1">VLOOKUP(H114,Equipos!$Q$1:$R$25,2,0)</f>
        <v>16</v>
      </c>
      <c r="H114" s="454">
        <f ca="1">$H$70</f>
        <v>46199</v>
      </c>
      <c r="I114" s="56"/>
      <c r="J114" s="848"/>
      <c r="K114" s="62" t="str">
        <f>Idiomas!D184</f>
        <v>3º GRUPO I</v>
      </c>
      <c r="L114" s="59"/>
      <c r="M114" s="61" t="str">
        <f ca="1">IF(OR(SUM(WORLDCUP!$AN$70:$AN$73)=12,WORLDCUP!$AJ$99=144),WORLDCUP!AL72,LEFT(K114,1)&amp;RIGHT(K114,1))</f>
        <v>Senegal</v>
      </c>
      <c r="N114" s="25"/>
      <c r="O114" s="25"/>
      <c r="P114" s="25"/>
      <c r="Q114" s="25"/>
      <c r="R114" s="116"/>
      <c r="S114" s="80"/>
      <c r="T114" s="79">
        <f t="shared" ref="T114" ca="1" si="133">($M114=S114)*$D$13</f>
        <v>0</v>
      </c>
      <c r="U114" s="70"/>
      <c r="V114" s="80"/>
      <c r="W114" s="79">
        <f t="shared" ref="W114:AF114" ca="1" si="134">($M114=V114)*$D$13</f>
        <v>0</v>
      </c>
      <c r="X114" s="70"/>
      <c r="Y114" s="80"/>
      <c r="Z114" s="79">
        <f t="shared" ca="1" si="134"/>
        <v>0</v>
      </c>
      <c r="AA114" s="70"/>
      <c r="AB114" s="80"/>
      <c r="AC114" s="79">
        <f t="shared" ca="1" si="134"/>
        <v>0</v>
      </c>
      <c r="AD114" s="70"/>
      <c r="AE114" s="80"/>
      <c r="AF114" s="79">
        <f t="shared" ca="1" si="134"/>
        <v>0</v>
      </c>
      <c r="AG114" s="70"/>
      <c r="AH114" s="70"/>
    </row>
    <row r="115" spans="1:34">
      <c r="A115" s="55"/>
      <c r="B115" s="55"/>
      <c r="C115" s="55"/>
      <c r="D115" s="55"/>
      <c r="E115" s="71"/>
      <c r="F115" s="133">
        <f t="shared" ref="F115" si="135">$D$14</f>
        <v>0</v>
      </c>
      <c r="G115" s="453">
        <f ca="1">VLOOKUP(H115,Equipos!$Q$1:$R$25,2,0)</f>
        <v>16</v>
      </c>
      <c r="H115" s="454">
        <f ca="1">$H$70</f>
        <v>46199</v>
      </c>
      <c r="I115" s="56"/>
      <c r="J115" s="848"/>
      <c r="K115" s="62" t="str">
        <f>Idiomas!D185</f>
        <v>4º GRUPO I</v>
      </c>
      <c r="L115" s="59"/>
      <c r="M115" s="61" t="str">
        <f ca="1">IF(OR(SUM(WORLDCUP!$AN$70:$AN$73)=12,WORLDCUP!$AJ$99=144),WORLDCUP!AL73,LEFT(K115,1)&amp;RIGHT(K115,1))</f>
        <v>Irak</v>
      </c>
      <c r="N115" s="25"/>
      <c r="O115" s="25"/>
      <c r="P115" s="25"/>
      <c r="Q115" s="25"/>
      <c r="R115" s="116"/>
      <c r="S115" s="80"/>
      <c r="T115" s="79">
        <f t="shared" ref="T115" ca="1" si="136">($M115=S115)*$D$14</f>
        <v>0</v>
      </c>
      <c r="U115" s="70"/>
      <c r="V115" s="80"/>
      <c r="W115" s="79">
        <f t="shared" ref="W115:AF115" ca="1" si="137">($M115=V115)*$D$14</f>
        <v>0</v>
      </c>
      <c r="X115" s="70"/>
      <c r="Y115" s="80"/>
      <c r="Z115" s="79">
        <f t="shared" ca="1" si="137"/>
        <v>0</v>
      </c>
      <c r="AA115" s="70"/>
      <c r="AB115" s="80"/>
      <c r="AC115" s="79">
        <f t="shared" ca="1" si="137"/>
        <v>0</v>
      </c>
      <c r="AD115" s="70"/>
      <c r="AE115" s="80"/>
      <c r="AF115" s="79">
        <f t="shared" ca="1" si="137"/>
        <v>0</v>
      </c>
      <c r="AG115" s="70"/>
      <c r="AH115" s="70"/>
    </row>
    <row r="116" spans="1:34">
      <c r="A116" s="55"/>
      <c r="B116" s="55"/>
      <c r="C116" s="55"/>
      <c r="D116" s="55"/>
      <c r="E116" s="71"/>
      <c r="F116" s="133">
        <f t="shared" ref="F116" si="138">$D$11</f>
        <v>0</v>
      </c>
      <c r="G116" s="453">
        <f ca="1">VLOOKUP(H116,Equipos!$Q$1:$R$25,2,0)</f>
        <v>17</v>
      </c>
      <c r="H116" s="454">
        <f ca="1">$H$72</f>
        <v>46200</v>
      </c>
      <c r="I116" s="56"/>
      <c r="J116" s="847" t="s">
        <v>5</v>
      </c>
      <c r="K116" s="62" t="str">
        <f>Idiomas!D186</f>
        <v>1º GRUPO J</v>
      </c>
      <c r="L116" s="59"/>
      <c r="M116" s="61" t="str">
        <f ca="1">IF(OR(SUM(WORLDCUP!$AN$78:$AN$81)=12,WORLDCUP!$AJ$99=144),WORLDCUP!AL78,LEFT(K116,1)&amp;RIGHT(K116,1))</f>
        <v>Argentina</v>
      </c>
      <c r="N116" s="25"/>
      <c r="O116" s="25"/>
      <c r="P116" s="25"/>
      <c r="Q116" s="25"/>
      <c r="R116" s="116"/>
      <c r="S116" s="80"/>
      <c r="T116" s="79">
        <f t="shared" ref="T116" ca="1" si="139">($M116=S116)*$D$11</f>
        <v>0</v>
      </c>
      <c r="U116" s="70"/>
      <c r="V116" s="80"/>
      <c r="W116" s="79">
        <f t="shared" ref="W116:AF116" ca="1" si="140">($M116=V116)*$D$11</f>
        <v>0</v>
      </c>
      <c r="X116" s="70"/>
      <c r="Y116" s="80"/>
      <c r="Z116" s="79">
        <f t="shared" ca="1" si="140"/>
        <v>0</v>
      </c>
      <c r="AA116" s="70"/>
      <c r="AB116" s="80"/>
      <c r="AC116" s="79">
        <f t="shared" ca="1" si="140"/>
        <v>0</v>
      </c>
      <c r="AD116" s="70"/>
      <c r="AE116" s="80"/>
      <c r="AF116" s="79">
        <f t="shared" ca="1" si="140"/>
        <v>0</v>
      </c>
      <c r="AG116" s="70"/>
      <c r="AH116" s="70"/>
    </row>
    <row r="117" spans="1:34">
      <c r="A117" s="55"/>
      <c r="B117" s="55"/>
      <c r="C117" s="55"/>
      <c r="D117" s="55"/>
      <c r="E117" s="71"/>
      <c r="F117" s="133">
        <f t="shared" ref="F117" si="141">$D$12</f>
        <v>0</v>
      </c>
      <c r="G117" s="453">
        <f ca="1">VLOOKUP(H117,Equipos!$Q$1:$R$25,2,0)</f>
        <v>17</v>
      </c>
      <c r="H117" s="454">
        <f ca="1">$H$72</f>
        <v>46200</v>
      </c>
      <c r="I117" s="56"/>
      <c r="J117" s="847"/>
      <c r="K117" s="62" t="str">
        <f>Idiomas!D187</f>
        <v>2º GRUPO J</v>
      </c>
      <c r="L117" s="59"/>
      <c r="M117" s="61" t="str">
        <f ca="1">IF(OR(SUM(WORLDCUP!$AN$78:$AN$81)=12,WORLDCUP!$AJ$99=144),WORLDCUP!AL79,LEFT(K117,1)&amp;RIGHT(K117,1))</f>
        <v>Austria</v>
      </c>
      <c r="N117" s="25"/>
      <c r="O117" s="25"/>
      <c r="P117" s="25"/>
      <c r="Q117" s="25"/>
      <c r="R117" s="116"/>
      <c r="S117" s="80"/>
      <c r="T117" s="79">
        <f t="shared" ref="T117" ca="1" si="142">($M117=S117)*$D$12</f>
        <v>0</v>
      </c>
      <c r="U117" s="70"/>
      <c r="V117" s="80"/>
      <c r="W117" s="79">
        <f t="shared" ref="W117:AF117" ca="1" si="143">($M117=V117)*$D$12</f>
        <v>0</v>
      </c>
      <c r="X117" s="70"/>
      <c r="Y117" s="80"/>
      <c r="Z117" s="79">
        <f t="shared" ca="1" si="143"/>
        <v>0</v>
      </c>
      <c r="AA117" s="70"/>
      <c r="AB117" s="80"/>
      <c r="AC117" s="79">
        <f t="shared" ca="1" si="143"/>
        <v>0</v>
      </c>
      <c r="AD117" s="70"/>
      <c r="AE117" s="80"/>
      <c r="AF117" s="79">
        <f t="shared" ca="1" si="143"/>
        <v>0</v>
      </c>
      <c r="AG117" s="70"/>
      <c r="AH117" s="70"/>
    </row>
    <row r="118" spans="1:34">
      <c r="A118" s="55"/>
      <c r="B118" s="55"/>
      <c r="C118" s="55"/>
      <c r="D118" s="55"/>
      <c r="E118" s="71"/>
      <c r="F118" s="133">
        <f t="shared" ref="F118" si="144">$D$13</f>
        <v>0</v>
      </c>
      <c r="G118" s="453">
        <f ca="1">VLOOKUP(H118,Equipos!$Q$1:$R$25,2,0)</f>
        <v>17</v>
      </c>
      <c r="H118" s="454">
        <f ca="1">$H$72</f>
        <v>46200</v>
      </c>
      <c r="I118" s="56"/>
      <c r="J118" s="847"/>
      <c r="K118" s="62" t="str">
        <f>Idiomas!D188</f>
        <v>3º GRUPO J</v>
      </c>
      <c r="L118" s="59"/>
      <c r="M118" s="61" t="str">
        <f ca="1">IF(OR(SUM(WORLDCUP!$AN$78:$AN$81)=12,WORLDCUP!$AJ$99=144),WORLDCUP!AL80,LEFT(K118,1)&amp;RIGHT(K118,1))</f>
        <v>Argelia</v>
      </c>
      <c r="N118" s="25"/>
      <c r="O118" s="25"/>
      <c r="P118" s="25"/>
      <c r="Q118" s="25"/>
      <c r="R118" s="116"/>
      <c r="S118" s="80"/>
      <c r="T118" s="79">
        <f t="shared" ref="T118" ca="1" si="145">($M118=S118)*$D$13</f>
        <v>0</v>
      </c>
      <c r="U118" s="70"/>
      <c r="V118" s="80"/>
      <c r="W118" s="79">
        <f t="shared" ref="W118:AF118" ca="1" si="146">($M118=V118)*$D$13</f>
        <v>0</v>
      </c>
      <c r="X118" s="70"/>
      <c r="Y118" s="80"/>
      <c r="Z118" s="79">
        <f t="shared" ca="1" si="146"/>
        <v>0</v>
      </c>
      <c r="AA118" s="70"/>
      <c r="AB118" s="80"/>
      <c r="AC118" s="79">
        <f t="shared" ca="1" si="146"/>
        <v>0</v>
      </c>
      <c r="AD118" s="70"/>
      <c r="AE118" s="80"/>
      <c r="AF118" s="79">
        <f t="shared" ca="1" si="146"/>
        <v>0</v>
      </c>
      <c r="AG118" s="70"/>
      <c r="AH118" s="70"/>
    </row>
    <row r="119" spans="1:34">
      <c r="A119" s="55"/>
      <c r="B119" s="55"/>
      <c r="C119" s="55"/>
      <c r="D119" s="55"/>
      <c r="E119" s="71"/>
      <c r="F119" s="133">
        <f t="shared" ref="F119" si="147">$D$14</f>
        <v>0</v>
      </c>
      <c r="G119" s="453">
        <f ca="1">VLOOKUP(H119,Equipos!$Q$1:$R$25,2,0)</f>
        <v>17</v>
      </c>
      <c r="H119" s="454">
        <f ca="1">$H$72</f>
        <v>46200</v>
      </c>
      <c r="I119" s="56"/>
      <c r="J119" s="847"/>
      <c r="K119" s="62" t="str">
        <f>Idiomas!D189</f>
        <v>4º GRUPO J</v>
      </c>
      <c r="L119" s="59"/>
      <c r="M119" s="61" t="str">
        <f ca="1">IF(OR(SUM(WORLDCUP!$AN$78:$AN$81)=12,WORLDCUP!$AJ$99=144),WORLDCUP!AL81,LEFT(K119,1)&amp;RIGHT(K119,1))</f>
        <v>Jordania</v>
      </c>
      <c r="N119" s="25"/>
      <c r="O119" s="25"/>
      <c r="P119" s="25"/>
      <c r="Q119" s="25"/>
      <c r="R119" s="116"/>
      <c r="S119" s="80"/>
      <c r="T119" s="79">
        <f t="shared" ref="T119" ca="1" si="148">($M119=S119)*$D$14</f>
        <v>0</v>
      </c>
      <c r="U119" s="70"/>
      <c r="V119" s="80"/>
      <c r="W119" s="79">
        <f t="shared" ref="W119:AF119" ca="1" si="149">($M119=V119)*$D$14</f>
        <v>0</v>
      </c>
      <c r="X119" s="70"/>
      <c r="Y119" s="80"/>
      <c r="Z119" s="79">
        <f t="shared" ca="1" si="149"/>
        <v>0</v>
      </c>
      <c r="AA119" s="70"/>
      <c r="AB119" s="80"/>
      <c r="AC119" s="79">
        <f t="shared" ca="1" si="149"/>
        <v>0</v>
      </c>
      <c r="AD119" s="70"/>
      <c r="AE119" s="80"/>
      <c r="AF119" s="79">
        <f t="shared" ca="1" si="149"/>
        <v>0</v>
      </c>
      <c r="AG119" s="70"/>
      <c r="AH119" s="70"/>
    </row>
    <row r="120" spans="1:34">
      <c r="A120" s="55"/>
      <c r="B120" s="55"/>
      <c r="C120" s="55"/>
      <c r="D120" s="55"/>
      <c r="E120" s="71"/>
      <c r="F120" s="133">
        <f t="shared" ref="F120" si="150">$D$11</f>
        <v>0</v>
      </c>
      <c r="G120" s="453">
        <f ca="1">VLOOKUP(H120,Equipos!$Q$1:$R$25,2,0)</f>
        <v>17</v>
      </c>
      <c r="H120" s="454">
        <f ca="1">$H$74</f>
        <v>46200</v>
      </c>
      <c r="I120" s="56"/>
      <c r="J120" s="848" t="s">
        <v>439</v>
      </c>
      <c r="K120" s="62" t="str">
        <f>Idiomas!D190</f>
        <v>1º GRUPO K</v>
      </c>
      <c r="L120" s="59"/>
      <c r="M120" s="61" t="str">
        <f ca="1">IF(OR(SUM(WORLDCUP!$AN$86:$AN$89)=12,WORLDCUP!$AJ$99=144),WORLDCUP!AL86,LEFT(K120,1)&amp;RIGHT(K120,1))</f>
        <v>Portugal</v>
      </c>
      <c r="N120" s="25"/>
      <c r="O120" s="25"/>
      <c r="P120" s="25"/>
      <c r="Q120" s="25"/>
      <c r="R120" s="116"/>
      <c r="S120" s="80"/>
      <c r="T120" s="79">
        <f t="shared" ref="T120" ca="1" si="151">($M120=S120)*$D$11</f>
        <v>0</v>
      </c>
      <c r="U120" s="70"/>
      <c r="V120" s="80"/>
      <c r="W120" s="79">
        <f t="shared" ref="W120:AF120" ca="1" si="152">($M120=V120)*$D$11</f>
        <v>0</v>
      </c>
      <c r="X120" s="70"/>
      <c r="Y120" s="80"/>
      <c r="Z120" s="79">
        <f t="shared" ca="1" si="152"/>
        <v>0</v>
      </c>
      <c r="AA120" s="70"/>
      <c r="AB120" s="80"/>
      <c r="AC120" s="79">
        <f t="shared" ca="1" si="152"/>
        <v>0</v>
      </c>
      <c r="AD120" s="70"/>
      <c r="AE120" s="80"/>
      <c r="AF120" s="79">
        <f t="shared" ca="1" si="152"/>
        <v>0</v>
      </c>
      <c r="AG120" s="70"/>
      <c r="AH120" s="70"/>
    </row>
    <row r="121" spans="1:34">
      <c r="A121" s="55"/>
      <c r="B121" s="55"/>
      <c r="C121" s="55"/>
      <c r="D121" s="55"/>
      <c r="E121" s="71"/>
      <c r="F121" s="133">
        <f t="shared" ref="F121" si="153">$D$12</f>
        <v>0</v>
      </c>
      <c r="G121" s="453">
        <f ca="1">VLOOKUP(H121,Equipos!$Q$1:$R$25,2,0)</f>
        <v>17</v>
      </c>
      <c r="H121" s="454">
        <f ca="1">$H$74</f>
        <v>46200</v>
      </c>
      <c r="I121" s="56"/>
      <c r="J121" s="848"/>
      <c r="K121" s="62" t="str">
        <f>Idiomas!D191</f>
        <v>2º GRUPO K</v>
      </c>
      <c r="L121" s="59"/>
      <c r="M121" s="61" t="str">
        <f ca="1">IF(OR(SUM(WORLDCUP!$AN$86:$AN$89)=12,WORLDCUP!$AJ$99=144),WORLDCUP!AL87,LEFT(K121,1)&amp;RIGHT(K121,1))</f>
        <v>Colombia</v>
      </c>
      <c r="N121" s="25"/>
      <c r="O121" s="25"/>
      <c r="P121" s="25"/>
      <c r="Q121" s="25"/>
      <c r="R121" s="116"/>
      <c r="S121" s="80"/>
      <c r="T121" s="79">
        <f t="shared" ref="T121" ca="1" si="154">($M121=S121)*$D$12</f>
        <v>0</v>
      </c>
      <c r="U121" s="70"/>
      <c r="V121" s="80"/>
      <c r="W121" s="79">
        <f t="shared" ref="W121:AF121" ca="1" si="155">($M121=V121)*$D$12</f>
        <v>0</v>
      </c>
      <c r="X121" s="70"/>
      <c r="Y121" s="80"/>
      <c r="Z121" s="79">
        <f t="shared" ca="1" si="155"/>
        <v>0</v>
      </c>
      <c r="AA121" s="70"/>
      <c r="AB121" s="80"/>
      <c r="AC121" s="79">
        <f t="shared" ca="1" si="155"/>
        <v>0</v>
      </c>
      <c r="AD121" s="70"/>
      <c r="AE121" s="80"/>
      <c r="AF121" s="79">
        <f t="shared" ca="1" si="155"/>
        <v>0</v>
      </c>
      <c r="AG121" s="70"/>
      <c r="AH121" s="70"/>
    </row>
    <row r="122" spans="1:34">
      <c r="A122" s="55"/>
      <c r="B122" s="55"/>
      <c r="C122" s="55"/>
      <c r="D122" s="55"/>
      <c r="E122" s="71"/>
      <c r="F122" s="133">
        <f t="shared" ref="F122" si="156">$D$13</f>
        <v>0</v>
      </c>
      <c r="G122" s="453">
        <f ca="1">VLOOKUP(H122,Equipos!$Q$1:$R$25,2,0)</f>
        <v>17</v>
      </c>
      <c r="H122" s="454">
        <f ca="1">$H$74</f>
        <v>46200</v>
      </c>
      <c r="I122" s="56"/>
      <c r="J122" s="848"/>
      <c r="K122" s="62" t="str">
        <f>Idiomas!D192</f>
        <v>3º GRUPO K</v>
      </c>
      <c r="L122" s="59"/>
      <c r="M122" s="61" t="str">
        <f ca="1">IF(OR(SUM(WORLDCUP!$AN$86:$AN$89)=12,WORLDCUP!$AJ$99=144),WORLDCUP!AL88,LEFT(K122,1)&amp;RIGHT(K122,1))</f>
        <v>RD Congo</v>
      </c>
      <c r="N122" s="25"/>
      <c r="O122" s="25"/>
      <c r="P122" s="25"/>
      <c r="Q122" s="25"/>
      <c r="R122" s="116"/>
      <c r="S122" s="80"/>
      <c r="T122" s="79">
        <f t="shared" ref="T122" ca="1" si="157">($M122=S122)*$D$13</f>
        <v>0</v>
      </c>
      <c r="U122" s="70"/>
      <c r="V122" s="80"/>
      <c r="W122" s="79">
        <f t="shared" ref="W122:AF122" ca="1" si="158">($M122=V122)*$D$13</f>
        <v>0</v>
      </c>
      <c r="X122" s="70"/>
      <c r="Y122" s="80"/>
      <c r="Z122" s="79">
        <f t="shared" ca="1" si="158"/>
        <v>0</v>
      </c>
      <c r="AA122" s="70"/>
      <c r="AB122" s="80"/>
      <c r="AC122" s="79">
        <f t="shared" ca="1" si="158"/>
        <v>0</v>
      </c>
      <c r="AD122" s="70"/>
      <c r="AE122" s="80"/>
      <c r="AF122" s="79">
        <f t="shared" ca="1" si="158"/>
        <v>0</v>
      </c>
      <c r="AG122" s="70"/>
      <c r="AH122" s="70"/>
    </row>
    <row r="123" spans="1:34">
      <c r="A123" s="55"/>
      <c r="B123" s="55"/>
      <c r="C123" s="55"/>
      <c r="D123" s="55"/>
      <c r="E123" s="71"/>
      <c r="F123" s="133">
        <f t="shared" ref="F123" si="159">$D$14</f>
        <v>0</v>
      </c>
      <c r="G123" s="453">
        <f ca="1">VLOOKUP(H123,Equipos!$Q$1:$R$25,2,0)</f>
        <v>17</v>
      </c>
      <c r="H123" s="454">
        <f ca="1">$H$74</f>
        <v>46200</v>
      </c>
      <c r="I123" s="56"/>
      <c r="J123" s="848"/>
      <c r="K123" s="62" t="str">
        <f>Idiomas!D193</f>
        <v>4º GRUPO K</v>
      </c>
      <c r="L123" s="59"/>
      <c r="M123" s="61" t="str">
        <f ca="1">IF(OR(SUM(WORLDCUP!$AN$86:$AN$89)=12,WORLDCUP!$AJ$99=144),WORLDCUP!AL89,LEFT(K123,1)&amp;RIGHT(K123,1))</f>
        <v>Uzbekistán</v>
      </c>
      <c r="N123" s="25"/>
      <c r="O123" s="25"/>
      <c r="P123" s="25"/>
      <c r="Q123" s="25"/>
      <c r="R123" s="116"/>
      <c r="S123" s="80"/>
      <c r="T123" s="79">
        <f t="shared" ref="T123" ca="1" si="160">($M123=S123)*$D$14</f>
        <v>0</v>
      </c>
      <c r="U123" s="70"/>
      <c r="V123" s="80"/>
      <c r="W123" s="79">
        <f t="shared" ref="W123:AF123" ca="1" si="161">($M123=V123)*$D$14</f>
        <v>0</v>
      </c>
      <c r="X123" s="70"/>
      <c r="Y123" s="80"/>
      <c r="Z123" s="79">
        <f t="shared" ca="1" si="161"/>
        <v>0</v>
      </c>
      <c r="AA123" s="70"/>
      <c r="AB123" s="80"/>
      <c r="AC123" s="79">
        <f t="shared" ca="1" si="161"/>
        <v>0</v>
      </c>
      <c r="AD123" s="70"/>
      <c r="AE123" s="80"/>
      <c r="AF123" s="79">
        <f t="shared" ca="1" si="161"/>
        <v>0</v>
      </c>
      <c r="AG123" s="70"/>
      <c r="AH123" s="70"/>
    </row>
    <row r="124" spans="1:34">
      <c r="A124" s="55"/>
      <c r="B124" s="55"/>
      <c r="C124" s="55"/>
      <c r="D124" s="55"/>
      <c r="E124" s="71"/>
      <c r="F124" s="133">
        <f t="shared" ref="F124" si="162">$D$11</f>
        <v>0</v>
      </c>
      <c r="G124" s="453">
        <f ca="1">VLOOKUP(H124,Equipos!$Q$1:$R$25,2,0)</f>
        <v>17</v>
      </c>
      <c r="H124" s="454">
        <f ca="1">$H$76</f>
        <v>46200</v>
      </c>
      <c r="I124" s="56"/>
      <c r="J124" s="847" t="s">
        <v>238</v>
      </c>
      <c r="K124" s="62" t="str">
        <f>Idiomas!D194</f>
        <v>1º GRUPO L</v>
      </c>
      <c r="L124" s="59"/>
      <c r="M124" s="61" t="str">
        <f ca="1">IF(OR(SUM(WORLDCUP!$AN$94:$AN$97)=12,WORLDCUP!$AJ$99=144),WORLDCUP!AL94,LEFT(K124,1)&amp;RIGHT(K124,1))</f>
        <v>Inglaterra</v>
      </c>
      <c r="N124" s="25"/>
      <c r="O124" s="25"/>
      <c r="P124" s="25"/>
      <c r="Q124" s="25"/>
      <c r="R124" s="116"/>
      <c r="S124" s="80"/>
      <c r="T124" s="79">
        <f t="shared" ref="T124" ca="1" si="163">($M124=S124)*$D$11</f>
        <v>0</v>
      </c>
      <c r="U124" s="70"/>
      <c r="V124" s="80"/>
      <c r="W124" s="79">
        <f t="shared" ref="W124:AF124" ca="1" si="164">($M124=V124)*$D$11</f>
        <v>0</v>
      </c>
      <c r="X124" s="70"/>
      <c r="Y124" s="80"/>
      <c r="Z124" s="79">
        <f t="shared" ca="1" si="164"/>
        <v>0</v>
      </c>
      <c r="AA124" s="70"/>
      <c r="AB124" s="80"/>
      <c r="AC124" s="79">
        <f t="shared" ca="1" si="164"/>
        <v>0</v>
      </c>
      <c r="AD124" s="70"/>
      <c r="AE124" s="80"/>
      <c r="AF124" s="79">
        <f t="shared" ca="1" si="164"/>
        <v>0</v>
      </c>
      <c r="AG124" s="70"/>
      <c r="AH124" s="70"/>
    </row>
    <row r="125" spans="1:34">
      <c r="A125" s="55"/>
      <c r="B125" s="55"/>
      <c r="C125" s="55"/>
      <c r="D125" s="55"/>
      <c r="E125" s="71"/>
      <c r="F125" s="133">
        <f t="shared" ref="F125" si="165">$D$12</f>
        <v>0</v>
      </c>
      <c r="G125" s="453">
        <f ca="1">VLOOKUP(H125,Equipos!$Q$1:$R$25,2,0)</f>
        <v>17</v>
      </c>
      <c r="H125" s="454">
        <f ca="1">$H$76</f>
        <v>46200</v>
      </c>
      <c r="I125" s="56"/>
      <c r="J125" s="847"/>
      <c r="K125" s="62" t="str">
        <f>Idiomas!D195</f>
        <v>2º GRUPO L</v>
      </c>
      <c r="L125" s="59"/>
      <c r="M125" s="61" t="str">
        <f ca="1">IF(OR(SUM(WORLDCUP!$AN$94:$AN$97)=12,WORLDCUP!$AJ$99=144),WORLDCUP!AL95,LEFT(K125,1)&amp;RIGHT(K125,1))</f>
        <v>Croacia</v>
      </c>
      <c r="N125" s="25"/>
      <c r="O125" s="25"/>
      <c r="P125" s="25"/>
      <c r="Q125" s="25"/>
      <c r="R125" s="116"/>
      <c r="S125" s="80"/>
      <c r="T125" s="79">
        <f t="shared" ref="T125" ca="1" si="166">($M125=S125)*$D$12</f>
        <v>0</v>
      </c>
      <c r="U125" s="70"/>
      <c r="V125" s="80"/>
      <c r="W125" s="79">
        <f t="shared" ref="W125:AF125" ca="1" si="167">($M125=V125)*$D$12</f>
        <v>0</v>
      </c>
      <c r="X125" s="70"/>
      <c r="Y125" s="80"/>
      <c r="Z125" s="79">
        <f t="shared" ca="1" si="167"/>
        <v>0</v>
      </c>
      <c r="AA125" s="70"/>
      <c r="AB125" s="80"/>
      <c r="AC125" s="79">
        <f t="shared" ca="1" si="167"/>
        <v>0</v>
      </c>
      <c r="AD125" s="70"/>
      <c r="AE125" s="80"/>
      <c r="AF125" s="79">
        <f t="shared" ca="1" si="167"/>
        <v>0</v>
      </c>
      <c r="AG125" s="70"/>
      <c r="AH125" s="70"/>
    </row>
    <row r="126" spans="1:34">
      <c r="A126" s="55"/>
      <c r="B126" s="55"/>
      <c r="C126" s="55"/>
      <c r="D126" s="55"/>
      <c r="E126" s="71"/>
      <c r="F126" s="133">
        <f t="shared" ref="F126" si="168">$D$13</f>
        <v>0</v>
      </c>
      <c r="G126" s="453">
        <f ca="1">VLOOKUP(H126,Equipos!$Q$1:$R$25,2,0)</f>
        <v>17</v>
      </c>
      <c r="H126" s="454">
        <f ca="1">$H$76</f>
        <v>46200</v>
      </c>
      <c r="I126" s="56"/>
      <c r="J126" s="847"/>
      <c r="K126" s="62" t="str">
        <f>Idiomas!D196</f>
        <v>3º GRUPO L</v>
      </c>
      <c r="L126" s="59"/>
      <c r="M126" s="61" t="str">
        <f ca="1">IF(OR(SUM(WORLDCUP!$AN$94:$AN$97)=12,WORLDCUP!$AJ$99=144),WORLDCUP!AL96,LEFT(K126,1)&amp;RIGHT(K126,1))</f>
        <v>Ghana</v>
      </c>
      <c r="N126" s="25"/>
      <c r="O126" s="25"/>
      <c r="P126" s="25"/>
      <c r="Q126" s="25"/>
      <c r="R126" s="116"/>
      <c r="S126" s="80"/>
      <c r="T126" s="79">
        <f t="shared" ref="T126" ca="1" si="169">($M126=S126)*$D$13</f>
        <v>0</v>
      </c>
      <c r="U126" s="70"/>
      <c r="V126" s="80"/>
      <c r="W126" s="79">
        <f t="shared" ref="W126:AF126" ca="1" si="170">($M126=V126)*$D$13</f>
        <v>0</v>
      </c>
      <c r="X126" s="70"/>
      <c r="Y126" s="80"/>
      <c r="Z126" s="79">
        <f t="shared" ca="1" si="170"/>
        <v>0</v>
      </c>
      <c r="AA126" s="70"/>
      <c r="AB126" s="80"/>
      <c r="AC126" s="79">
        <f t="shared" ca="1" si="170"/>
        <v>0</v>
      </c>
      <c r="AD126" s="70"/>
      <c r="AE126" s="80"/>
      <c r="AF126" s="79">
        <f t="shared" ca="1" si="170"/>
        <v>0</v>
      </c>
      <c r="AG126" s="70"/>
      <c r="AH126" s="70"/>
    </row>
    <row r="127" spans="1:34">
      <c r="A127" s="55"/>
      <c r="B127" s="55"/>
      <c r="C127" s="55"/>
      <c r="D127" s="55"/>
      <c r="E127" s="71"/>
      <c r="F127" s="133">
        <f t="shared" ref="F127" si="171">$D$14</f>
        <v>0</v>
      </c>
      <c r="G127" s="453">
        <f ca="1">VLOOKUP(H127,Equipos!$Q$1:$R$25,2,0)</f>
        <v>17</v>
      </c>
      <c r="H127" s="454">
        <f ca="1">$H$76</f>
        <v>46200</v>
      </c>
      <c r="I127" s="56"/>
      <c r="J127" s="847"/>
      <c r="K127" s="121" t="str">
        <f>Idiomas!D197</f>
        <v>4º GRUPO L</v>
      </c>
      <c r="L127" s="121"/>
      <c r="M127" s="122" t="str">
        <f ca="1">IF(OR(SUM(WORLDCUP!$AN$94:$AN$97)=12,WORLDCUP!$AJ$99=144),WORLDCUP!AL97,LEFT(K127,1)&amp;RIGHT(K127,1))</f>
        <v>Panamá</v>
      </c>
      <c r="N127" s="25"/>
      <c r="O127" s="25"/>
      <c r="P127" s="25"/>
      <c r="Q127" s="25"/>
      <c r="R127" s="116"/>
      <c r="S127" s="86"/>
      <c r="T127" s="87">
        <f t="shared" ref="T127" ca="1" si="172">($M127=S127)*$D$14</f>
        <v>0</v>
      </c>
      <c r="U127" s="70"/>
      <c r="V127" s="86"/>
      <c r="W127" s="87">
        <f t="shared" ref="W127:AF127" ca="1" si="173">($M127=V127)*$D$14</f>
        <v>0</v>
      </c>
      <c r="X127" s="70"/>
      <c r="Y127" s="86"/>
      <c r="Z127" s="87">
        <f t="shared" ca="1" si="173"/>
        <v>0</v>
      </c>
      <c r="AA127" s="70"/>
      <c r="AB127" s="86"/>
      <c r="AC127" s="87">
        <f t="shared" ca="1" si="173"/>
        <v>0</v>
      </c>
      <c r="AD127" s="70"/>
      <c r="AE127" s="86"/>
      <c r="AF127" s="87">
        <f t="shared" ca="1" si="173"/>
        <v>0</v>
      </c>
      <c r="AG127" s="70"/>
      <c r="AH127" s="70"/>
    </row>
    <row r="128" spans="1:34">
      <c r="A128" s="55"/>
      <c r="B128" s="55"/>
      <c r="C128" s="55"/>
      <c r="D128" s="55"/>
      <c r="E128" s="71"/>
      <c r="F128" s="133"/>
      <c r="G128" s="453"/>
      <c r="H128" s="71"/>
      <c r="I128" s="56"/>
      <c r="J128" s="100"/>
      <c r="K128" s="442" t="str">
        <f>Idiomas!D456</f>
        <v>Pos. Grupos</v>
      </c>
      <c r="L128" s="443"/>
      <c r="M128" s="442" t="str">
        <f>"Max: "&amp;SUM($D$11:$D$14)*12</f>
        <v>Max: 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c r="A130" s="55"/>
      <c r="B130" s="55"/>
      <c r="C130" s="55"/>
      <c r="D130" s="55"/>
      <c r="E130" s="71"/>
      <c r="F130" s="133">
        <f>$D$15</f>
        <v>0</v>
      </c>
      <c r="G130" s="453">
        <f ca="1">VLOOKUP(H130,Equipos!$Q$1:$R$25,2,0)</f>
        <v>19</v>
      </c>
      <c r="H130" s="455" t="str">
        <f>Idiomas!$D$137</f>
        <v>CLASIFICADOS PARA DIECISEISAVOS</v>
      </c>
      <c r="I130" s="56"/>
      <c r="J130" s="849" t="s">
        <v>483</v>
      </c>
      <c r="K130" s="59" t="str">
        <f>Idiomas!$D$198&amp;"-"&amp;ROWS($L$130:L130)</f>
        <v>Dieciseisavofinalista-1</v>
      </c>
      <c r="L130" s="59"/>
      <c r="M130" s="61" t="str">
        <f ca="1">WORLDCUP!AA101</f>
        <v>Corea del Sur</v>
      </c>
      <c r="N130" s="25"/>
      <c r="O130" s="25"/>
      <c r="P130" s="25"/>
      <c r="Q130" s="25"/>
      <c r="R130" s="116"/>
      <c r="S130" s="82"/>
      <c r="T130" s="83">
        <f t="shared" ref="T130:T161" ca="1" si="178">COUNTIF($M$130:$M$161,S130)*$D$15</f>
        <v>0</v>
      </c>
      <c r="U130" s="70"/>
      <c r="V130" s="82"/>
      <c r="W130" s="83">
        <f t="shared" ref="W130:W161" ca="1" si="179">COUNTIF($M$130:$M$161,V130)*$D$15</f>
        <v>0</v>
      </c>
      <c r="X130" s="70"/>
      <c r="Y130" s="82"/>
      <c r="Z130" s="83">
        <f t="shared" ref="Z130:Z161" ca="1" si="180">COUNTIF($M$130:$M$161,Y130)*$D$15</f>
        <v>0</v>
      </c>
      <c r="AA130" s="70"/>
      <c r="AB130" s="82"/>
      <c r="AC130" s="83">
        <f t="shared" ref="AC130:AC161" ca="1" si="181">COUNTIF($M$130:$M$161,AB130)*$D$15</f>
        <v>0</v>
      </c>
      <c r="AD130" s="70"/>
      <c r="AE130" s="82"/>
      <c r="AF130" s="83">
        <f t="shared" ref="AF130:AF161" ca="1" si="182">COUNTIF($M$130:$M$161,AE130)*$D$15</f>
        <v>0</v>
      </c>
      <c r="AG130" s="70"/>
      <c r="AH130" s="70"/>
    </row>
    <row r="131" spans="1:34">
      <c r="A131" s="55"/>
      <c r="B131" s="55"/>
      <c r="C131" s="55"/>
      <c r="D131" s="55"/>
      <c r="E131" s="71"/>
      <c r="F131" s="133">
        <f t="shared" ref="F131:F161" si="183">$D$15</f>
        <v>0</v>
      </c>
      <c r="G131" s="453">
        <f ca="1">VLOOKUP(H131,Equipos!$Q$1:$R$25,2,0)</f>
        <v>19</v>
      </c>
      <c r="H131" s="455" t="str">
        <f>Idiomas!$D$137</f>
        <v>CLASIFICADOS PARA DIECISEISAVOS</v>
      </c>
      <c r="I131" s="56"/>
      <c r="J131" s="849"/>
      <c r="K131" s="62" t="str">
        <f>Idiomas!$D$198&amp;"-"&amp;ROWS($L$130:L131)</f>
        <v>Dieciseisavofinalista-2</v>
      </c>
      <c r="L131" s="59"/>
      <c r="M131" s="61" t="str">
        <f ca="1">WORLDCUP!AA102</f>
        <v>Brasil</v>
      </c>
      <c r="N131" s="25"/>
      <c r="O131" s="25"/>
      <c r="P131" s="25"/>
      <c r="Q131" s="25"/>
      <c r="R131" s="116"/>
      <c r="S131" s="80"/>
      <c r="T131" s="79">
        <f t="shared" ca="1" si="178"/>
        <v>0</v>
      </c>
      <c r="U131" s="70"/>
      <c r="V131" s="80"/>
      <c r="W131" s="79">
        <f t="shared" ca="1" si="179"/>
        <v>0</v>
      </c>
      <c r="X131" s="70"/>
      <c r="Y131" s="80"/>
      <c r="Z131" s="79">
        <f t="shared" ca="1" si="180"/>
        <v>0</v>
      </c>
      <c r="AA131" s="70"/>
      <c r="AB131" s="80"/>
      <c r="AC131" s="79">
        <f t="shared" ca="1" si="181"/>
        <v>0</v>
      </c>
      <c r="AD131" s="70"/>
      <c r="AE131" s="80"/>
      <c r="AF131" s="79">
        <f t="shared" ca="1" si="182"/>
        <v>0</v>
      </c>
      <c r="AG131" s="70"/>
      <c r="AH131" s="70"/>
    </row>
    <row r="132" spans="1:34">
      <c r="A132" s="55"/>
      <c r="B132" s="55"/>
      <c r="C132" s="55"/>
      <c r="D132" s="55"/>
      <c r="E132" s="71"/>
      <c r="F132" s="133">
        <f t="shared" si="183"/>
        <v>0</v>
      </c>
      <c r="G132" s="453">
        <f ca="1">VLOOKUP(H132,Equipos!$Q$1:$R$25,2,0)</f>
        <v>19</v>
      </c>
      <c r="H132" s="455" t="str">
        <f>Idiomas!$D$137</f>
        <v>CLASIFICADOS PARA DIECISEISAVOS</v>
      </c>
      <c r="I132" s="56"/>
      <c r="J132" s="849"/>
      <c r="K132" s="62" t="str">
        <f>Idiomas!$D$198&amp;"-"&amp;ROWS($L$130:L132)</f>
        <v>Dieciseisavofinalista-3</v>
      </c>
      <c r="L132" s="59"/>
      <c r="M132" s="61" t="str">
        <f ca="1">WORLDCUP!AA103</f>
        <v>Alemania</v>
      </c>
      <c r="N132" s="25"/>
      <c r="O132" s="25"/>
      <c r="P132" s="25"/>
      <c r="Q132" s="25"/>
      <c r="R132" s="116"/>
      <c r="S132" s="80"/>
      <c r="T132" s="79">
        <f t="shared" ca="1" si="178"/>
        <v>0</v>
      </c>
      <c r="U132" s="70"/>
      <c r="V132" s="80"/>
      <c r="W132" s="79">
        <f t="shared" ca="1" si="179"/>
        <v>0</v>
      </c>
      <c r="X132" s="70"/>
      <c r="Y132" s="80"/>
      <c r="Z132" s="79">
        <f t="shared" ca="1" si="180"/>
        <v>0</v>
      </c>
      <c r="AA132" s="70"/>
      <c r="AB132" s="80"/>
      <c r="AC132" s="79">
        <f t="shared" ca="1" si="181"/>
        <v>0</v>
      </c>
      <c r="AD132" s="70"/>
      <c r="AE132" s="80"/>
      <c r="AF132" s="79">
        <f t="shared" ca="1" si="182"/>
        <v>0</v>
      </c>
      <c r="AG132" s="70"/>
      <c r="AH132" s="70"/>
    </row>
    <row r="133" spans="1:34">
      <c r="A133" s="55"/>
      <c r="B133" s="55"/>
      <c r="C133" s="55"/>
      <c r="D133" s="55"/>
      <c r="E133" s="71"/>
      <c r="F133" s="133">
        <f t="shared" si="183"/>
        <v>0</v>
      </c>
      <c r="G133" s="453">
        <f ca="1">VLOOKUP(H133,Equipos!$Q$1:$R$25,2,0)</f>
        <v>19</v>
      </c>
      <c r="H133" s="455" t="str">
        <f>Idiomas!$D$137</f>
        <v>CLASIFICADOS PARA DIECISEISAVOS</v>
      </c>
      <c r="I133" s="56"/>
      <c r="J133" s="849"/>
      <c r="K133" s="62" t="str">
        <f>Idiomas!$D$198&amp;"-"&amp;ROWS($L$130:L133)</f>
        <v>Dieciseisavofinalista-4</v>
      </c>
      <c r="L133" s="59"/>
      <c r="M133" s="61" t="str">
        <f ca="1">WORLDCUP!AA104</f>
        <v>Japón</v>
      </c>
      <c r="N133" s="25"/>
      <c r="O133" s="25"/>
      <c r="P133" s="25"/>
      <c r="Q133" s="25"/>
      <c r="R133" s="116"/>
      <c r="S133" s="80"/>
      <c r="T133" s="79">
        <f t="shared" ca="1" si="178"/>
        <v>0</v>
      </c>
      <c r="U133" s="70"/>
      <c r="V133" s="80"/>
      <c r="W133" s="79">
        <f t="shared" ca="1" si="179"/>
        <v>0</v>
      </c>
      <c r="X133" s="70"/>
      <c r="Y133" s="80"/>
      <c r="Z133" s="79">
        <f t="shared" ca="1" si="180"/>
        <v>0</v>
      </c>
      <c r="AA133" s="70"/>
      <c r="AB133" s="80"/>
      <c r="AC133" s="79">
        <f t="shared" ca="1" si="181"/>
        <v>0</v>
      </c>
      <c r="AD133" s="70"/>
      <c r="AE133" s="80"/>
      <c r="AF133" s="79">
        <f t="shared" ca="1" si="182"/>
        <v>0</v>
      </c>
      <c r="AG133" s="70"/>
      <c r="AH133" s="70"/>
    </row>
    <row r="134" spans="1:34">
      <c r="A134" s="55"/>
      <c r="B134" s="55"/>
      <c r="C134" s="55"/>
      <c r="D134" s="55"/>
      <c r="E134" s="71"/>
      <c r="F134" s="133">
        <f t="shared" si="183"/>
        <v>0</v>
      </c>
      <c r="G134" s="453">
        <f ca="1">VLOOKUP(H134,Equipos!$Q$1:$R$25,2,0)</f>
        <v>19</v>
      </c>
      <c r="H134" s="455" t="str">
        <f>Idiomas!$D$137</f>
        <v>CLASIFICADOS PARA DIECISEISAVOS</v>
      </c>
      <c r="I134" s="56"/>
      <c r="J134" s="849"/>
      <c r="K134" s="62" t="str">
        <f>Idiomas!$D$198&amp;"-"&amp;ROWS($L$130:L134)</f>
        <v>Dieciseisavofinalista-5</v>
      </c>
      <c r="L134" s="59"/>
      <c r="M134" s="61" t="str">
        <f ca="1">WORLDCUP!AA105</f>
        <v>Costa de Marfil</v>
      </c>
      <c r="N134" s="25"/>
      <c r="O134" s="25"/>
      <c r="P134" s="25"/>
      <c r="Q134" s="25"/>
      <c r="R134" s="116"/>
      <c r="S134" s="80"/>
      <c r="T134" s="79">
        <f t="shared" ca="1" si="178"/>
        <v>0</v>
      </c>
      <c r="U134" s="70"/>
      <c r="V134" s="80"/>
      <c r="W134" s="79">
        <f t="shared" ca="1" si="179"/>
        <v>0</v>
      </c>
      <c r="X134" s="70"/>
      <c r="Y134" s="80"/>
      <c r="Z134" s="79">
        <f t="shared" ca="1" si="180"/>
        <v>0</v>
      </c>
      <c r="AA134" s="70"/>
      <c r="AB134" s="80"/>
      <c r="AC134" s="79">
        <f t="shared" ca="1" si="181"/>
        <v>0</v>
      </c>
      <c r="AD134" s="70"/>
      <c r="AE134" s="80"/>
      <c r="AF134" s="79">
        <f t="shared" ca="1" si="182"/>
        <v>0</v>
      </c>
      <c r="AG134" s="70"/>
      <c r="AH134" s="70"/>
    </row>
    <row r="135" spans="1:34">
      <c r="A135" s="55"/>
      <c r="B135" s="55"/>
      <c r="C135" s="55"/>
      <c r="D135" s="55"/>
      <c r="E135" s="71"/>
      <c r="F135" s="133">
        <f t="shared" si="183"/>
        <v>0</v>
      </c>
      <c r="G135" s="453">
        <f ca="1">VLOOKUP(H135,Equipos!$Q$1:$R$25,2,0)</f>
        <v>19</v>
      </c>
      <c r="H135" s="455" t="str">
        <f>Idiomas!$D$137</f>
        <v>CLASIFICADOS PARA DIECISEISAVOS</v>
      </c>
      <c r="I135" s="56"/>
      <c r="J135" s="849"/>
      <c r="K135" s="62" t="str">
        <f>Idiomas!$D$198&amp;"-"&amp;ROWS($L$130:L135)</f>
        <v>Dieciseisavofinalista-6</v>
      </c>
      <c r="L135" s="59"/>
      <c r="M135" s="61" t="str">
        <f ca="1">WORLDCUP!AA106</f>
        <v>Francia</v>
      </c>
      <c r="N135" s="25"/>
      <c r="O135" s="25"/>
      <c r="P135" s="25"/>
      <c r="Q135" s="25"/>
      <c r="R135" s="116"/>
      <c r="S135" s="80"/>
      <c r="T135" s="79">
        <f t="shared" ca="1" si="178"/>
        <v>0</v>
      </c>
      <c r="U135" s="70"/>
      <c r="V135" s="80"/>
      <c r="W135" s="79">
        <f t="shared" ca="1" si="179"/>
        <v>0</v>
      </c>
      <c r="X135" s="70"/>
      <c r="Y135" s="80"/>
      <c r="Z135" s="79">
        <f t="shared" ca="1" si="180"/>
        <v>0</v>
      </c>
      <c r="AA135" s="70"/>
      <c r="AB135" s="80"/>
      <c r="AC135" s="79">
        <f t="shared" ca="1" si="181"/>
        <v>0</v>
      </c>
      <c r="AD135" s="70"/>
      <c r="AE135" s="80"/>
      <c r="AF135" s="79">
        <f t="shared" ca="1" si="182"/>
        <v>0</v>
      </c>
      <c r="AG135" s="70"/>
      <c r="AH135" s="70"/>
    </row>
    <row r="136" spans="1:34">
      <c r="A136" s="55"/>
      <c r="B136" s="55"/>
      <c r="C136" s="55"/>
      <c r="D136" s="55"/>
      <c r="E136" s="71"/>
      <c r="F136" s="133">
        <f t="shared" si="183"/>
        <v>0</v>
      </c>
      <c r="G136" s="453">
        <f ca="1">VLOOKUP(H136,Equipos!$Q$1:$R$25,2,0)</f>
        <v>19</v>
      </c>
      <c r="H136" s="455" t="str">
        <f>Idiomas!$D$137</f>
        <v>CLASIFICADOS PARA DIECISEISAVOS</v>
      </c>
      <c r="I136" s="56"/>
      <c r="J136" s="849"/>
      <c r="K136" s="62" t="str">
        <f>Idiomas!$D$198&amp;"-"&amp;ROWS($L$130:L136)</f>
        <v>Dieciseisavofinalista-7</v>
      </c>
      <c r="L136" s="59"/>
      <c r="M136" s="61" t="str">
        <f ca="1">WORLDCUP!AA107</f>
        <v>México</v>
      </c>
      <c r="N136" s="25"/>
      <c r="O136" s="25"/>
      <c r="P136" s="25"/>
      <c r="Q136" s="25"/>
      <c r="R136" s="116"/>
      <c r="S136" s="80"/>
      <c r="T136" s="79">
        <f t="shared" ca="1" si="178"/>
        <v>0</v>
      </c>
      <c r="U136" s="70"/>
      <c r="V136" s="80"/>
      <c r="W136" s="79">
        <f t="shared" ca="1" si="179"/>
        <v>0</v>
      </c>
      <c r="X136" s="70"/>
      <c r="Y136" s="80"/>
      <c r="Z136" s="79">
        <f t="shared" ca="1" si="180"/>
        <v>0</v>
      </c>
      <c r="AA136" s="70"/>
      <c r="AB136" s="80"/>
      <c r="AC136" s="79">
        <f t="shared" ca="1" si="181"/>
        <v>0</v>
      </c>
      <c r="AD136" s="70"/>
      <c r="AE136" s="80"/>
      <c r="AF136" s="79">
        <f t="shared" ca="1" si="182"/>
        <v>0</v>
      </c>
      <c r="AG136" s="70"/>
      <c r="AH136" s="70"/>
    </row>
    <row r="137" spans="1:34">
      <c r="A137" s="55"/>
      <c r="B137" s="55"/>
      <c r="C137" s="55"/>
      <c r="D137" s="55"/>
      <c r="E137" s="71"/>
      <c r="F137" s="133">
        <f t="shared" si="183"/>
        <v>0</v>
      </c>
      <c r="G137" s="453">
        <f ca="1">VLOOKUP(H137,Equipos!$Q$1:$R$25,2,0)</f>
        <v>19</v>
      </c>
      <c r="H137" s="455" t="str">
        <f>Idiomas!$D$137</f>
        <v>CLASIFICADOS PARA DIECISEISAVOS</v>
      </c>
      <c r="I137" s="56"/>
      <c r="J137" s="849"/>
      <c r="K137" s="62" t="str">
        <f>Idiomas!$D$198&amp;"-"&amp;ROWS($L$130:L137)</f>
        <v>Dieciseisavofinalista-8</v>
      </c>
      <c r="L137" s="59"/>
      <c r="M137" s="61" t="str">
        <f ca="1">WORLDCUP!AA108</f>
        <v>Inglaterra</v>
      </c>
      <c r="N137" s="25"/>
      <c r="O137" s="25"/>
      <c r="P137" s="25"/>
      <c r="Q137" s="25"/>
      <c r="R137" s="116"/>
      <c r="S137" s="80"/>
      <c r="T137" s="79">
        <f t="shared" ca="1" si="178"/>
        <v>0</v>
      </c>
      <c r="U137" s="70"/>
      <c r="V137" s="80"/>
      <c r="W137" s="79">
        <f t="shared" ca="1" si="179"/>
        <v>0</v>
      </c>
      <c r="X137" s="70"/>
      <c r="Y137" s="80"/>
      <c r="Z137" s="79">
        <f t="shared" ca="1" si="180"/>
        <v>0</v>
      </c>
      <c r="AA137" s="70"/>
      <c r="AB137" s="80"/>
      <c r="AC137" s="79">
        <f t="shared" ca="1" si="181"/>
        <v>0</v>
      </c>
      <c r="AD137" s="70"/>
      <c r="AE137" s="80"/>
      <c r="AF137" s="79">
        <f t="shared" ca="1" si="182"/>
        <v>0</v>
      </c>
      <c r="AG137" s="70"/>
      <c r="AH137" s="70"/>
    </row>
    <row r="138" spans="1:34">
      <c r="A138" s="55"/>
      <c r="B138" s="55"/>
      <c r="C138" s="55"/>
      <c r="D138" s="55"/>
      <c r="E138" s="71"/>
      <c r="F138" s="133">
        <f t="shared" si="183"/>
        <v>0</v>
      </c>
      <c r="G138" s="453">
        <f ca="1">VLOOKUP(H138,Equipos!$Q$1:$R$25,2,0)</f>
        <v>19</v>
      </c>
      <c r="H138" s="455" t="str">
        <f>Idiomas!$D$137</f>
        <v>CLASIFICADOS PARA DIECISEISAVOS</v>
      </c>
      <c r="I138" s="56"/>
      <c r="J138" s="849"/>
      <c r="K138" s="62" t="str">
        <f>Idiomas!$D$198&amp;"-"&amp;ROWS($L$130:L138)</f>
        <v>Dieciseisavofinalista-9</v>
      </c>
      <c r="L138" s="59"/>
      <c r="M138" s="61" t="str">
        <f ca="1">WORLDCUP!AA109</f>
        <v>Bélgica</v>
      </c>
      <c r="N138" s="25"/>
      <c r="O138" s="25"/>
      <c r="P138" s="25"/>
      <c r="Q138" s="25"/>
      <c r="R138" s="116"/>
      <c r="S138" s="80"/>
      <c r="T138" s="79">
        <f t="shared" ca="1" si="178"/>
        <v>0</v>
      </c>
      <c r="U138" s="70"/>
      <c r="V138" s="80"/>
      <c r="W138" s="79">
        <f t="shared" ca="1" si="179"/>
        <v>0</v>
      </c>
      <c r="X138" s="70"/>
      <c r="Y138" s="80"/>
      <c r="Z138" s="79">
        <f t="shared" ca="1" si="180"/>
        <v>0</v>
      </c>
      <c r="AA138" s="70"/>
      <c r="AB138" s="80"/>
      <c r="AC138" s="79">
        <f t="shared" ca="1" si="181"/>
        <v>0</v>
      </c>
      <c r="AD138" s="70"/>
      <c r="AE138" s="80"/>
      <c r="AF138" s="79">
        <f t="shared" ca="1" si="182"/>
        <v>0</v>
      </c>
      <c r="AG138" s="70"/>
      <c r="AH138" s="70"/>
    </row>
    <row r="139" spans="1:34">
      <c r="A139" s="55"/>
      <c r="B139" s="55"/>
      <c r="C139" s="55"/>
      <c r="D139" s="55"/>
      <c r="E139" s="71"/>
      <c r="F139" s="133">
        <f t="shared" si="183"/>
        <v>0</v>
      </c>
      <c r="G139" s="453">
        <f ca="1">VLOOKUP(H139,Equipos!$Q$1:$R$25,2,0)</f>
        <v>19</v>
      </c>
      <c r="H139" s="455" t="str">
        <f>Idiomas!$D$137</f>
        <v>CLASIFICADOS PARA DIECISEISAVOS</v>
      </c>
      <c r="I139" s="56"/>
      <c r="J139" s="849"/>
      <c r="K139" s="62" t="str">
        <f>Idiomas!$D$198&amp;"-"&amp;ROWS($L$130:L139)</f>
        <v>Dieciseisavofinalista-10</v>
      </c>
      <c r="L139" s="59"/>
      <c r="M139" s="61" t="str">
        <f ca="1">WORLDCUP!AA110</f>
        <v>Turquía</v>
      </c>
      <c r="N139" s="25"/>
      <c r="O139" s="25"/>
      <c r="P139" s="25"/>
      <c r="Q139" s="25"/>
      <c r="R139" s="116"/>
      <c r="S139" s="80"/>
      <c r="T139" s="79">
        <f t="shared" ca="1" si="178"/>
        <v>0</v>
      </c>
      <c r="U139" s="70"/>
      <c r="V139" s="80"/>
      <c r="W139" s="79">
        <f t="shared" ca="1" si="179"/>
        <v>0</v>
      </c>
      <c r="X139" s="70"/>
      <c r="Y139" s="80"/>
      <c r="Z139" s="79">
        <f t="shared" ca="1" si="180"/>
        <v>0</v>
      </c>
      <c r="AA139" s="70"/>
      <c r="AB139" s="80"/>
      <c r="AC139" s="79">
        <f t="shared" ca="1" si="181"/>
        <v>0</v>
      </c>
      <c r="AD139" s="70"/>
      <c r="AE139" s="80"/>
      <c r="AF139" s="79">
        <f t="shared" ca="1" si="182"/>
        <v>0</v>
      </c>
      <c r="AG139" s="70"/>
      <c r="AH139" s="70"/>
    </row>
    <row r="140" spans="1:34">
      <c r="A140" s="55"/>
      <c r="B140" s="55"/>
      <c r="C140" s="55"/>
      <c r="D140" s="55"/>
      <c r="E140" s="71"/>
      <c r="F140" s="133">
        <f t="shared" si="183"/>
        <v>0</v>
      </c>
      <c r="G140" s="453">
        <f ca="1">VLOOKUP(H140,Equipos!$Q$1:$R$25,2,0)</f>
        <v>19</v>
      </c>
      <c r="H140" s="455" t="str">
        <f>Idiomas!$D$137</f>
        <v>CLASIFICADOS PARA DIECISEISAVOS</v>
      </c>
      <c r="I140" s="56"/>
      <c r="J140" s="849"/>
      <c r="K140" s="62" t="str">
        <f>Idiomas!$D$198&amp;"-"&amp;ROWS($L$130:L140)</f>
        <v>Dieciseisavofinalista-11</v>
      </c>
      <c r="L140" s="59"/>
      <c r="M140" s="61" t="str">
        <f ca="1">WORLDCUP!AA111</f>
        <v>España</v>
      </c>
      <c r="N140" s="25"/>
      <c r="O140" s="25"/>
      <c r="P140" s="25"/>
      <c r="Q140" s="25"/>
      <c r="R140" s="116"/>
      <c r="S140" s="80"/>
      <c r="T140" s="79">
        <f t="shared" ca="1" si="178"/>
        <v>0</v>
      </c>
      <c r="U140" s="70"/>
      <c r="V140" s="80"/>
      <c r="W140" s="79">
        <f t="shared" ca="1" si="179"/>
        <v>0</v>
      </c>
      <c r="X140" s="70"/>
      <c r="Y140" s="80"/>
      <c r="Z140" s="79">
        <f t="shared" ca="1" si="180"/>
        <v>0</v>
      </c>
      <c r="AA140" s="70"/>
      <c r="AB140" s="80"/>
      <c r="AC140" s="79">
        <f t="shared" ca="1" si="181"/>
        <v>0</v>
      </c>
      <c r="AD140" s="70"/>
      <c r="AE140" s="80"/>
      <c r="AF140" s="79">
        <f t="shared" ca="1" si="182"/>
        <v>0</v>
      </c>
      <c r="AG140" s="70"/>
      <c r="AH140" s="70"/>
    </row>
    <row r="141" spans="1:34">
      <c r="A141" s="55"/>
      <c r="B141" s="55"/>
      <c r="C141" s="55"/>
      <c r="D141" s="55"/>
      <c r="E141" s="71"/>
      <c r="F141" s="133">
        <f t="shared" si="183"/>
        <v>0</v>
      </c>
      <c r="G141" s="453">
        <f ca="1">VLOOKUP(H141,Equipos!$Q$1:$R$25,2,0)</f>
        <v>19</v>
      </c>
      <c r="H141" s="455" t="str">
        <f>Idiomas!$D$137</f>
        <v>CLASIFICADOS PARA DIECISEISAVOS</v>
      </c>
      <c r="I141" s="56"/>
      <c r="J141" s="849"/>
      <c r="K141" s="62" t="str">
        <f>Idiomas!$D$198&amp;"-"&amp;ROWS($L$130:L141)</f>
        <v>Dieciseisavofinalista-12</v>
      </c>
      <c r="L141" s="59"/>
      <c r="M141" s="61" t="str">
        <f ca="1">WORLDCUP!AA112</f>
        <v>Colombia</v>
      </c>
      <c r="N141" s="25"/>
      <c r="O141" s="25"/>
      <c r="P141" s="25"/>
      <c r="Q141" s="25"/>
      <c r="R141" s="116"/>
      <c r="S141" s="80"/>
      <c r="T141" s="79">
        <f t="shared" ca="1" si="178"/>
        <v>0</v>
      </c>
      <c r="U141" s="70"/>
      <c r="V141" s="80"/>
      <c r="W141" s="79">
        <f t="shared" ca="1" si="179"/>
        <v>0</v>
      </c>
      <c r="X141" s="70"/>
      <c r="Y141" s="80"/>
      <c r="Z141" s="79">
        <f t="shared" ca="1" si="180"/>
        <v>0</v>
      </c>
      <c r="AA141" s="70"/>
      <c r="AB141" s="80"/>
      <c r="AC141" s="79">
        <f t="shared" ca="1" si="181"/>
        <v>0</v>
      </c>
      <c r="AD141" s="70"/>
      <c r="AE141" s="80"/>
      <c r="AF141" s="79">
        <f t="shared" ca="1" si="182"/>
        <v>0</v>
      </c>
      <c r="AG141" s="70"/>
      <c r="AH141" s="70"/>
    </row>
    <row r="142" spans="1:34">
      <c r="A142" s="55"/>
      <c r="B142" s="55"/>
      <c r="C142" s="55"/>
      <c r="D142" s="55"/>
      <c r="E142" s="71"/>
      <c r="F142" s="133">
        <f t="shared" si="183"/>
        <v>0</v>
      </c>
      <c r="G142" s="453">
        <f ca="1">VLOOKUP(H142,Equipos!$Q$1:$R$25,2,0)</f>
        <v>19</v>
      </c>
      <c r="H142" s="455" t="str">
        <f>Idiomas!$D$137</f>
        <v>CLASIFICADOS PARA DIECISEISAVOS</v>
      </c>
      <c r="I142" s="56"/>
      <c r="J142" s="849"/>
      <c r="K142" s="62" t="str">
        <f>Idiomas!$D$198&amp;"-"&amp;ROWS($L$130:L142)</f>
        <v>Dieciseisavofinalista-13</v>
      </c>
      <c r="L142" s="59"/>
      <c r="M142" s="61" t="str">
        <f ca="1">WORLDCUP!AA113</f>
        <v>Suiza</v>
      </c>
      <c r="N142" s="25"/>
      <c r="O142" s="25"/>
      <c r="P142" s="25"/>
      <c r="Q142" s="25"/>
      <c r="R142" s="116"/>
      <c r="S142" s="80"/>
      <c r="T142" s="79">
        <f t="shared" ca="1" si="178"/>
        <v>0</v>
      </c>
      <c r="U142" s="70"/>
      <c r="V142" s="80"/>
      <c r="W142" s="79">
        <f t="shared" ca="1" si="179"/>
        <v>0</v>
      </c>
      <c r="X142" s="70"/>
      <c r="Y142" s="80"/>
      <c r="Z142" s="79">
        <f t="shared" ca="1" si="180"/>
        <v>0</v>
      </c>
      <c r="AA142" s="70"/>
      <c r="AB142" s="80"/>
      <c r="AC142" s="79">
        <f t="shared" ca="1" si="181"/>
        <v>0</v>
      </c>
      <c r="AD142" s="70"/>
      <c r="AE142" s="80"/>
      <c r="AF142" s="79">
        <f t="shared" ca="1" si="182"/>
        <v>0</v>
      </c>
      <c r="AG142" s="70"/>
      <c r="AH142" s="70"/>
    </row>
    <row r="143" spans="1:34">
      <c r="A143" s="55"/>
      <c r="B143" s="55"/>
      <c r="C143" s="55"/>
      <c r="D143" s="55"/>
      <c r="E143" s="71"/>
      <c r="F143" s="133">
        <f t="shared" si="183"/>
        <v>0</v>
      </c>
      <c r="G143" s="453">
        <f ca="1">VLOOKUP(H143,Equipos!$Q$1:$R$25,2,0)</f>
        <v>19</v>
      </c>
      <c r="H143" s="455" t="str">
        <f>Idiomas!$D$137</f>
        <v>CLASIFICADOS PARA DIECISEISAVOS</v>
      </c>
      <c r="I143" s="56"/>
      <c r="J143" s="849"/>
      <c r="K143" s="62" t="str">
        <f>Idiomas!$D$198&amp;"-"&amp;ROWS($L$130:L143)</f>
        <v>Dieciseisavofinalista-14</v>
      </c>
      <c r="L143" s="59"/>
      <c r="M143" s="61" t="str">
        <f ca="1">WORLDCUP!AA114</f>
        <v>Estados Unidos</v>
      </c>
      <c r="N143" s="25"/>
      <c r="O143" s="25"/>
      <c r="P143" s="25"/>
      <c r="Q143" s="25"/>
      <c r="R143" s="116"/>
      <c r="S143" s="80"/>
      <c r="T143" s="79">
        <f t="shared" ca="1" si="178"/>
        <v>0</v>
      </c>
      <c r="U143" s="70"/>
      <c r="V143" s="80"/>
      <c r="W143" s="79">
        <f t="shared" ca="1" si="179"/>
        <v>0</v>
      </c>
      <c r="X143" s="70"/>
      <c r="Y143" s="80"/>
      <c r="Z143" s="79">
        <f t="shared" ca="1" si="180"/>
        <v>0</v>
      </c>
      <c r="AA143" s="70"/>
      <c r="AB143" s="80"/>
      <c r="AC143" s="79">
        <f t="shared" ca="1" si="181"/>
        <v>0</v>
      </c>
      <c r="AD143" s="70"/>
      <c r="AE143" s="80"/>
      <c r="AF143" s="79">
        <f t="shared" ca="1" si="182"/>
        <v>0</v>
      </c>
      <c r="AG143" s="70"/>
      <c r="AH143" s="70"/>
    </row>
    <row r="144" spans="1:34">
      <c r="A144" s="55"/>
      <c r="B144" s="55"/>
      <c r="C144" s="55"/>
      <c r="D144" s="55"/>
      <c r="E144" s="71"/>
      <c r="F144" s="133">
        <f t="shared" si="183"/>
        <v>0</v>
      </c>
      <c r="G144" s="453">
        <f ca="1">VLOOKUP(H144,Equipos!$Q$1:$R$25,2,0)</f>
        <v>19</v>
      </c>
      <c r="H144" s="455" t="str">
        <f>Idiomas!$D$137</f>
        <v>CLASIFICADOS PARA DIECISEISAVOS</v>
      </c>
      <c r="I144" s="56"/>
      <c r="J144" s="849"/>
      <c r="K144" s="62" t="str">
        <f>Idiomas!$D$198&amp;"-"&amp;ROWS($L$130:L144)</f>
        <v>Dieciseisavofinalista-15</v>
      </c>
      <c r="L144" s="59"/>
      <c r="M144" s="61" t="str">
        <f ca="1">WORLDCUP!AA115</f>
        <v>Argentina</v>
      </c>
      <c r="N144" s="25"/>
      <c r="O144" s="25"/>
      <c r="P144" s="25"/>
      <c r="Q144" s="25"/>
      <c r="R144" s="116"/>
      <c r="S144" s="80"/>
      <c r="T144" s="79">
        <f t="shared" ca="1" si="178"/>
        <v>0</v>
      </c>
      <c r="U144" s="70"/>
      <c r="V144" s="80"/>
      <c r="W144" s="79">
        <f t="shared" ca="1" si="179"/>
        <v>0</v>
      </c>
      <c r="X144" s="70"/>
      <c r="Y144" s="80"/>
      <c r="Z144" s="79">
        <f t="shared" ca="1" si="180"/>
        <v>0</v>
      </c>
      <c r="AA144" s="70"/>
      <c r="AB144" s="80"/>
      <c r="AC144" s="79">
        <f t="shared" ca="1" si="181"/>
        <v>0</v>
      </c>
      <c r="AD144" s="70"/>
      <c r="AE144" s="80"/>
      <c r="AF144" s="79">
        <f t="shared" ca="1" si="182"/>
        <v>0</v>
      </c>
      <c r="AG144" s="70"/>
      <c r="AH144" s="70"/>
    </row>
    <row r="145" spans="1:34">
      <c r="A145" s="55"/>
      <c r="B145" s="55"/>
      <c r="C145" s="55"/>
      <c r="D145" s="55"/>
      <c r="E145" s="71"/>
      <c r="F145" s="133">
        <f t="shared" si="183"/>
        <v>0</v>
      </c>
      <c r="G145" s="453">
        <f ca="1">VLOOKUP(H145,Equipos!$Q$1:$R$25,2,0)</f>
        <v>19</v>
      </c>
      <c r="H145" s="455" t="str">
        <f>Idiomas!$D$137</f>
        <v>CLASIFICADOS PARA DIECISEISAVOS</v>
      </c>
      <c r="I145" s="56"/>
      <c r="J145" s="849"/>
      <c r="K145" s="62" t="str">
        <f>Idiomas!$D$198&amp;"-"&amp;ROWS($L$130:L145)</f>
        <v>Dieciseisavofinalista-16</v>
      </c>
      <c r="L145" s="59"/>
      <c r="M145" s="61" t="str">
        <f ca="1">WORLDCUP!AA116</f>
        <v>Portugal</v>
      </c>
      <c r="N145" s="25"/>
      <c r="O145" s="25"/>
      <c r="P145" s="25"/>
      <c r="Q145" s="25"/>
      <c r="R145" s="116"/>
      <c r="S145" s="80"/>
      <c r="T145" s="79">
        <f t="shared" ca="1" si="178"/>
        <v>0</v>
      </c>
      <c r="U145" s="70"/>
      <c r="V145" s="80"/>
      <c r="W145" s="79">
        <f t="shared" ca="1" si="179"/>
        <v>0</v>
      </c>
      <c r="X145" s="70"/>
      <c r="Y145" s="80"/>
      <c r="Z145" s="79">
        <f t="shared" ca="1" si="180"/>
        <v>0</v>
      </c>
      <c r="AA145" s="70"/>
      <c r="AB145" s="80"/>
      <c r="AC145" s="79">
        <f t="shared" ca="1" si="181"/>
        <v>0</v>
      </c>
      <c r="AD145" s="70"/>
      <c r="AE145" s="80"/>
      <c r="AF145" s="79">
        <f t="shared" ca="1" si="182"/>
        <v>0</v>
      </c>
      <c r="AG145" s="70"/>
      <c r="AH145" s="70"/>
    </row>
    <row r="146" spans="1:34">
      <c r="A146" s="55"/>
      <c r="B146" s="55"/>
      <c r="C146" s="55"/>
      <c r="D146" s="55"/>
      <c r="E146" s="71"/>
      <c r="F146" s="133">
        <f t="shared" si="183"/>
        <v>0</v>
      </c>
      <c r="G146" s="453">
        <f ca="1">VLOOKUP(H146,Equipos!$Q$1:$R$25,2,0)</f>
        <v>19</v>
      </c>
      <c r="H146" s="455" t="str">
        <f>Idiomas!$D$137</f>
        <v>CLASIFICADOS PARA DIECISEISAVOS</v>
      </c>
      <c r="I146" s="56"/>
      <c r="J146" s="849"/>
      <c r="K146" s="62" t="str">
        <f>Idiomas!$D$198&amp;"-"&amp;ROWS($L$130:L146)</f>
        <v>Dieciseisavofinalista-17</v>
      </c>
      <c r="L146" s="59"/>
      <c r="M146" s="61" t="str">
        <f ca="1">WORLDCUP!AF101</f>
        <v>Bosnia y Herzegovina</v>
      </c>
      <c r="N146" s="25"/>
      <c r="O146" s="25"/>
      <c r="P146" s="25"/>
      <c r="Q146" s="25"/>
      <c r="R146" s="116"/>
      <c r="S146" s="80"/>
      <c r="T146" s="79">
        <f t="shared" ca="1" si="178"/>
        <v>0</v>
      </c>
      <c r="U146" s="70"/>
      <c r="V146" s="80"/>
      <c r="W146" s="79">
        <f t="shared" ca="1" si="179"/>
        <v>0</v>
      </c>
      <c r="X146" s="70"/>
      <c r="Y146" s="80"/>
      <c r="Z146" s="79">
        <f t="shared" ca="1" si="180"/>
        <v>0</v>
      </c>
      <c r="AA146" s="70"/>
      <c r="AB146" s="80"/>
      <c r="AC146" s="79">
        <f t="shared" ca="1" si="181"/>
        <v>0</v>
      </c>
      <c r="AD146" s="70"/>
      <c r="AE146" s="80"/>
      <c r="AF146" s="79">
        <f t="shared" ca="1" si="182"/>
        <v>0</v>
      </c>
      <c r="AG146" s="70"/>
      <c r="AH146" s="70"/>
    </row>
    <row r="147" spans="1:34">
      <c r="A147" s="55"/>
      <c r="B147" s="55"/>
      <c r="C147" s="55"/>
      <c r="D147" s="55"/>
      <c r="E147" s="71"/>
      <c r="F147" s="133">
        <f t="shared" si="183"/>
        <v>0</v>
      </c>
      <c r="G147" s="453">
        <f ca="1">VLOOKUP(H147,Equipos!$Q$1:$R$25,2,0)</f>
        <v>19</v>
      </c>
      <c r="H147" s="455" t="str">
        <f>Idiomas!$D$137</f>
        <v>CLASIFICADOS PARA DIECISEISAVOS</v>
      </c>
      <c r="I147" s="56"/>
      <c r="J147" s="849"/>
      <c r="K147" s="62" t="str">
        <f>Idiomas!$D$198&amp;"-"&amp;ROWS($L$130:L147)</f>
        <v>Dieciseisavofinalista-18</v>
      </c>
      <c r="L147" s="59"/>
      <c r="M147" s="61" t="str">
        <f ca="1">WORLDCUP!AF102</f>
        <v>Países Bajos</v>
      </c>
      <c r="N147" s="25"/>
      <c r="O147" s="25"/>
      <c r="P147" s="25"/>
      <c r="Q147" s="25"/>
      <c r="R147" s="116"/>
      <c r="S147" s="80"/>
      <c r="T147" s="79">
        <f t="shared" ca="1" si="178"/>
        <v>0</v>
      </c>
      <c r="U147" s="70"/>
      <c r="V147" s="80"/>
      <c r="W147" s="79">
        <f t="shared" ca="1" si="179"/>
        <v>0</v>
      </c>
      <c r="X147" s="70"/>
      <c r="Y147" s="80"/>
      <c r="Z147" s="79">
        <f t="shared" ca="1" si="180"/>
        <v>0</v>
      </c>
      <c r="AA147" s="70"/>
      <c r="AB147" s="80"/>
      <c r="AC147" s="79">
        <f t="shared" ca="1" si="181"/>
        <v>0</v>
      </c>
      <c r="AD147" s="70"/>
      <c r="AE147" s="80"/>
      <c r="AF147" s="79">
        <f t="shared" ca="1" si="182"/>
        <v>0</v>
      </c>
      <c r="AG147" s="70"/>
      <c r="AH147" s="70"/>
    </row>
    <row r="148" spans="1:34">
      <c r="A148" s="55"/>
      <c r="B148" s="55"/>
      <c r="C148" s="55"/>
      <c r="D148" s="55"/>
      <c r="E148" s="71"/>
      <c r="F148" s="133">
        <f t="shared" si="183"/>
        <v>0</v>
      </c>
      <c r="G148" s="453">
        <f ca="1">VLOOKUP(H148,Equipos!$Q$1:$R$25,2,0)</f>
        <v>19</v>
      </c>
      <c r="H148" s="455" t="str">
        <f>Idiomas!$D$137</f>
        <v>CLASIFICADOS PARA DIECISEISAVOS</v>
      </c>
      <c r="I148" s="56"/>
      <c r="J148" s="849"/>
      <c r="K148" s="62" t="str">
        <f>Idiomas!$D$198&amp;"-"&amp;ROWS($L$130:L148)</f>
        <v>Dieciseisavofinalista-19</v>
      </c>
      <c r="L148" s="59"/>
      <c r="M148" s="61" t="str">
        <f ca="1">WORLDCUP!AF103</f>
        <v>Paraguay</v>
      </c>
      <c r="N148" s="25"/>
      <c r="O148" s="25"/>
      <c r="P148" s="25"/>
      <c r="Q148" s="25"/>
      <c r="R148" s="116"/>
      <c r="S148" s="80"/>
      <c r="T148" s="79">
        <f t="shared" ca="1" si="178"/>
        <v>0</v>
      </c>
      <c r="U148" s="70"/>
      <c r="V148" s="80"/>
      <c r="W148" s="79">
        <f t="shared" ca="1" si="179"/>
        <v>0</v>
      </c>
      <c r="X148" s="70"/>
      <c r="Y148" s="80"/>
      <c r="Z148" s="79">
        <f t="shared" ca="1" si="180"/>
        <v>0</v>
      </c>
      <c r="AA148" s="70"/>
      <c r="AB148" s="80"/>
      <c r="AC148" s="79">
        <f t="shared" ca="1" si="181"/>
        <v>0</v>
      </c>
      <c r="AD148" s="70"/>
      <c r="AE148" s="80"/>
      <c r="AF148" s="79">
        <f t="shared" ca="1" si="182"/>
        <v>0</v>
      </c>
      <c r="AG148" s="70"/>
      <c r="AH148" s="70"/>
    </row>
    <row r="149" spans="1:34">
      <c r="A149" s="55"/>
      <c r="B149" s="55"/>
      <c r="C149" s="55"/>
      <c r="D149" s="55"/>
      <c r="E149" s="71"/>
      <c r="F149" s="133">
        <f t="shared" si="183"/>
        <v>0</v>
      </c>
      <c r="G149" s="453">
        <f ca="1">VLOOKUP(H149,Equipos!$Q$1:$R$25,2,0)</f>
        <v>19</v>
      </c>
      <c r="H149" s="455" t="str">
        <f>Idiomas!$D$137</f>
        <v>CLASIFICADOS PARA DIECISEISAVOS</v>
      </c>
      <c r="I149" s="56"/>
      <c r="J149" s="849"/>
      <c r="K149" s="62" t="str">
        <f>Idiomas!$D$198&amp;"-"&amp;ROWS($L$130:L149)</f>
        <v>Dieciseisavofinalista-20</v>
      </c>
      <c r="L149" s="59"/>
      <c r="M149" s="61" t="str">
        <f ca="1">WORLDCUP!AF104</f>
        <v>Escocia</v>
      </c>
      <c r="N149" s="25"/>
      <c r="O149" s="25"/>
      <c r="P149" s="25"/>
      <c r="Q149" s="25"/>
      <c r="R149" s="116"/>
      <c r="S149" s="80"/>
      <c r="T149" s="79">
        <f t="shared" ca="1" si="178"/>
        <v>0</v>
      </c>
      <c r="U149" s="70"/>
      <c r="V149" s="80"/>
      <c r="W149" s="79">
        <f t="shared" ca="1" si="179"/>
        <v>0</v>
      </c>
      <c r="X149" s="70"/>
      <c r="Y149" s="80"/>
      <c r="Z149" s="79">
        <f t="shared" ca="1" si="180"/>
        <v>0</v>
      </c>
      <c r="AA149" s="70"/>
      <c r="AB149" s="80"/>
      <c r="AC149" s="79">
        <f t="shared" ca="1" si="181"/>
        <v>0</v>
      </c>
      <c r="AD149" s="70"/>
      <c r="AE149" s="80"/>
      <c r="AF149" s="79">
        <f t="shared" ca="1" si="182"/>
        <v>0</v>
      </c>
      <c r="AG149" s="70"/>
      <c r="AH149" s="70"/>
    </row>
    <row r="150" spans="1:34">
      <c r="A150" s="55"/>
      <c r="B150" s="55"/>
      <c r="C150" s="55"/>
      <c r="D150" s="55"/>
      <c r="E150" s="71"/>
      <c r="F150" s="133">
        <f t="shared" si="183"/>
        <v>0</v>
      </c>
      <c r="G150" s="453">
        <f ca="1">VLOOKUP(H150,Equipos!$Q$1:$R$25,2,0)</f>
        <v>19</v>
      </c>
      <c r="H150" s="455" t="str">
        <f>Idiomas!$D$137</f>
        <v>CLASIFICADOS PARA DIECISEISAVOS</v>
      </c>
      <c r="I150" s="56"/>
      <c r="J150" s="849"/>
      <c r="K150" s="62" t="str">
        <f>Idiomas!$D$198&amp;"-"&amp;ROWS($L$130:L150)</f>
        <v>Dieciseisavofinalista-21</v>
      </c>
      <c r="L150" s="59"/>
      <c r="M150" s="61" t="str">
        <f ca="1">WORLDCUP!AF105</f>
        <v>Noruega</v>
      </c>
      <c r="N150" s="25"/>
      <c r="O150" s="25"/>
      <c r="P150" s="25"/>
      <c r="Q150" s="25"/>
      <c r="R150" s="116"/>
      <c r="S150" s="80"/>
      <c r="T150" s="79">
        <f t="shared" ca="1" si="178"/>
        <v>0</v>
      </c>
      <c r="U150" s="70"/>
      <c r="V150" s="80"/>
      <c r="W150" s="79">
        <f t="shared" ca="1" si="179"/>
        <v>0</v>
      </c>
      <c r="X150" s="70"/>
      <c r="Y150" s="80"/>
      <c r="Z150" s="79">
        <f t="shared" ca="1" si="180"/>
        <v>0</v>
      </c>
      <c r="AA150" s="70"/>
      <c r="AB150" s="80"/>
      <c r="AC150" s="79">
        <f t="shared" ca="1" si="181"/>
        <v>0</v>
      </c>
      <c r="AD150" s="70"/>
      <c r="AE150" s="80"/>
      <c r="AF150" s="79">
        <f t="shared" ca="1" si="182"/>
        <v>0</v>
      </c>
      <c r="AG150" s="70"/>
      <c r="AH150" s="70"/>
    </row>
    <row r="151" spans="1:34">
      <c r="A151" s="55"/>
      <c r="B151" s="55"/>
      <c r="C151" s="55"/>
      <c r="D151" s="55"/>
      <c r="E151" s="71"/>
      <c r="F151" s="133">
        <f t="shared" si="183"/>
        <v>0</v>
      </c>
      <c r="G151" s="453">
        <f ca="1">VLOOKUP(H151,Equipos!$Q$1:$R$25,2,0)</f>
        <v>19</v>
      </c>
      <c r="H151" s="455" t="str">
        <f>Idiomas!$D$137</f>
        <v>CLASIFICADOS PARA DIECISEISAVOS</v>
      </c>
      <c r="I151" s="56"/>
      <c r="J151" s="849"/>
      <c r="K151" s="62" t="str">
        <f>Idiomas!$D$198&amp;"-"&amp;ROWS($L$130:L151)</f>
        <v>Dieciseisavofinalista-22</v>
      </c>
      <c r="L151" s="59"/>
      <c r="M151" s="61" t="str">
        <f ca="1">WORLDCUP!AF106</f>
        <v>Suecia</v>
      </c>
      <c r="N151" s="25"/>
      <c r="O151" s="25"/>
      <c r="P151" s="25"/>
      <c r="Q151" s="25"/>
      <c r="R151" s="116"/>
      <c r="S151" s="80"/>
      <c r="T151" s="79">
        <f t="shared" ca="1" si="178"/>
        <v>0</v>
      </c>
      <c r="U151" s="70"/>
      <c r="V151" s="80"/>
      <c r="W151" s="79">
        <f t="shared" ca="1" si="179"/>
        <v>0</v>
      </c>
      <c r="X151" s="70"/>
      <c r="Y151" s="80"/>
      <c r="Z151" s="79">
        <f t="shared" ca="1" si="180"/>
        <v>0</v>
      </c>
      <c r="AA151" s="70"/>
      <c r="AB151" s="80"/>
      <c r="AC151" s="79">
        <f t="shared" ca="1" si="181"/>
        <v>0</v>
      </c>
      <c r="AD151" s="70"/>
      <c r="AE151" s="80"/>
      <c r="AF151" s="79">
        <f t="shared" ca="1" si="182"/>
        <v>0</v>
      </c>
      <c r="AG151" s="70"/>
      <c r="AH151" s="70"/>
    </row>
    <row r="152" spans="1:34">
      <c r="A152" s="55"/>
      <c r="B152" s="55"/>
      <c r="C152" s="55"/>
      <c r="D152" s="55"/>
      <c r="E152" s="71"/>
      <c r="F152" s="133">
        <f t="shared" si="183"/>
        <v>0</v>
      </c>
      <c r="G152" s="453">
        <f ca="1">VLOOKUP(H152,Equipos!$Q$1:$R$25,2,0)</f>
        <v>19</v>
      </c>
      <c r="H152" s="455" t="str">
        <f>Idiomas!$D$137</f>
        <v>CLASIFICADOS PARA DIECISEISAVOS</v>
      </c>
      <c r="I152" s="56"/>
      <c r="J152" s="849"/>
      <c r="K152" s="62" t="str">
        <f>Idiomas!$D$198&amp;"-"&amp;ROWS($L$130:L152)</f>
        <v>Dieciseisavofinalista-23</v>
      </c>
      <c r="L152" s="59"/>
      <c r="M152" s="61" t="str">
        <f ca="1">WORLDCUP!AF107</f>
        <v>Marruecos</v>
      </c>
      <c r="N152" s="25"/>
      <c r="O152" s="25"/>
      <c r="P152" s="25"/>
      <c r="Q152" s="25"/>
      <c r="R152" s="116"/>
      <c r="S152" s="80"/>
      <c r="T152" s="79">
        <f t="shared" ca="1" si="178"/>
        <v>0</v>
      </c>
      <c r="U152" s="70"/>
      <c r="V152" s="80"/>
      <c r="W152" s="79">
        <f t="shared" ca="1" si="179"/>
        <v>0</v>
      </c>
      <c r="X152" s="70"/>
      <c r="Y152" s="80"/>
      <c r="Z152" s="79">
        <f t="shared" ca="1" si="180"/>
        <v>0</v>
      </c>
      <c r="AA152" s="70"/>
      <c r="AB152" s="80"/>
      <c r="AC152" s="79">
        <f t="shared" ca="1" si="181"/>
        <v>0</v>
      </c>
      <c r="AD152" s="70"/>
      <c r="AE152" s="80"/>
      <c r="AF152" s="79">
        <f t="shared" ca="1" si="182"/>
        <v>0</v>
      </c>
      <c r="AG152" s="70"/>
      <c r="AH152" s="70"/>
    </row>
    <row r="153" spans="1:34">
      <c r="A153" s="55"/>
      <c r="B153" s="55"/>
      <c r="C153" s="55"/>
      <c r="D153" s="55"/>
      <c r="E153" s="71"/>
      <c r="F153" s="133">
        <f t="shared" si="183"/>
        <v>0</v>
      </c>
      <c r="G153" s="453">
        <f ca="1">VLOOKUP(H153,Equipos!$Q$1:$R$25,2,0)</f>
        <v>19</v>
      </c>
      <c r="H153" s="455" t="str">
        <f>Idiomas!$D$137</f>
        <v>CLASIFICADOS PARA DIECISEISAVOS</v>
      </c>
      <c r="I153" s="56"/>
      <c r="J153" s="849"/>
      <c r="K153" s="62" t="str">
        <f>Idiomas!$D$198&amp;"-"&amp;ROWS($L$130:L153)</f>
        <v>Dieciseisavofinalista-24</v>
      </c>
      <c r="L153" s="59"/>
      <c r="M153" s="61" t="str">
        <f ca="1">WORLDCUP!AF108</f>
        <v>RD Congo</v>
      </c>
      <c r="N153" s="25"/>
      <c r="O153" s="25"/>
      <c r="P153" s="25"/>
      <c r="Q153" s="25"/>
      <c r="R153" s="116"/>
      <c r="S153" s="80"/>
      <c r="T153" s="79">
        <f t="shared" ca="1" si="178"/>
        <v>0</v>
      </c>
      <c r="U153" s="70"/>
      <c r="V153" s="80"/>
      <c r="W153" s="79">
        <f t="shared" ca="1" si="179"/>
        <v>0</v>
      </c>
      <c r="X153" s="70"/>
      <c r="Y153" s="80"/>
      <c r="Z153" s="79">
        <f t="shared" ca="1" si="180"/>
        <v>0</v>
      </c>
      <c r="AA153" s="70"/>
      <c r="AB153" s="80"/>
      <c r="AC153" s="79">
        <f t="shared" ca="1" si="181"/>
        <v>0</v>
      </c>
      <c r="AD153" s="70"/>
      <c r="AE153" s="80"/>
      <c r="AF153" s="79">
        <f t="shared" ca="1" si="182"/>
        <v>0</v>
      </c>
      <c r="AG153" s="70"/>
      <c r="AH153" s="70"/>
    </row>
    <row r="154" spans="1:34">
      <c r="A154" s="55"/>
      <c r="B154" s="55"/>
      <c r="C154" s="55"/>
      <c r="D154" s="55"/>
      <c r="E154" s="71"/>
      <c r="F154" s="133">
        <f t="shared" si="183"/>
        <v>0</v>
      </c>
      <c r="G154" s="453">
        <f ca="1">VLOOKUP(H154,Equipos!$Q$1:$R$25,2,0)</f>
        <v>19</v>
      </c>
      <c r="H154" s="455" t="str">
        <f>Idiomas!$D$137</f>
        <v>CLASIFICADOS PARA DIECISEISAVOS</v>
      </c>
      <c r="I154" s="56"/>
      <c r="J154" s="849"/>
      <c r="K154" s="62" t="str">
        <f>Idiomas!$D$198&amp;"-"&amp;ROWS($L$130:L154)</f>
        <v>Dieciseisavofinalista-25</v>
      </c>
      <c r="L154" s="59"/>
      <c r="M154" s="61" t="str">
        <f ca="1">WORLDCUP!AF109</f>
        <v>República Checa</v>
      </c>
      <c r="N154" s="25"/>
      <c r="O154" s="25"/>
      <c r="P154" s="25"/>
      <c r="Q154" s="25"/>
      <c r="R154" s="116"/>
      <c r="S154" s="80"/>
      <c r="T154" s="79">
        <f t="shared" ca="1" si="178"/>
        <v>0</v>
      </c>
      <c r="U154" s="70"/>
      <c r="V154" s="80"/>
      <c r="W154" s="79">
        <f t="shared" ca="1" si="179"/>
        <v>0</v>
      </c>
      <c r="X154" s="70"/>
      <c r="Y154" s="80"/>
      <c r="Z154" s="79">
        <f t="shared" ca="1" si="180"/>
        <v>0</v>
      </c>
      <c r="AA154" s="70"/>
      <c r="AB154" s="80"/>
      <c r="AC154" s="79">
        <f t="shared" ca="1" si="181"/>
        <v>0</v>
      </c>
      <c r="AD154" s="70"/>
      <c r="AE154" s="80"/>
      <c r="AF154" s="79">
        <f t="shared" ca="1" si="182"/>
        <v>0</v>
      </c>
      <c r="AG154" s="70"/>
      <c r="AH154" s="70"/>
    </row>
    <row r="155" spans="1:34">
      <c r="A155" s="55"/>
      <c r="B155" s="55"/>
      <c r="C155" s="55"/>
      <c r="D155" s="55"/>
      <c r="E155" s="71"/>
      <c r="F155" s="133">
        <f t="shared" si="183"/>
        <v>0</v>
      </c>
      <c r="G155" s="453">
        <f ca="1">VLOOKUP(H155,Equipos!$Q$1:$R$25,2,0)</f>
        <v>19</v>
      </c>
      <c r="H155" s="455" t="str">
        <f>Idiomas!$D$137</f>
        <v>CLASIFICADOS PARA DIECISEISAVOS</v>
      </c>
      <c r="I155" s="56"/>
      <c r="J155" s="849"/>
      <c r="K155" s="62" t="str">
        <f>Idiomas!$D$198&amp;"-"&amp;ROWS($L$130:L155)</f>
        <v>Dieciseisavofinalista-26</v>
      </c>
      <c r="L155" s="59"/>
      <c r="M155" s="61" t="str">
        <f ca="1">WORLDCUP!AF110</f>
        <v>Senegal</v>
      </c>
      <c r="N155" s="25"/>
      <c r="O155" s="25"/>
      <c r="P155" s="25"/>
      <c r="Q155" s="25"/>
      <c r="R155" s="116"/>
      <c r="S155" s="80"/>
      <c r="T155" s="79">
        <f t="shared" ca="1" si="178"/>
        <v>0</v>
      </c>
      <c r="U155" s="70"/>
      <c r="V155" s="80"/>
      <c r="W155" s="79">
        <f t="shared" ca="1" si="179"/>
        <v>0</v>
      </c>
      <c r="X155" s="70"/>
      <c r="Y155" s="80"/>
      <c r="Z155" s="79">
        <f t="shared" ca="1" si="180"/>
        <v>0</v>
      </c>
      <c r="AA155" s="70"/>
      <c r="AB155" s="80"/>
      <c r="AC155" s="79">
        <f t="shared" ca="1" si="181"/>
        <v>0</v>
      </c>
      <c r="AD155" s="70"/>
      <c r="AE155" s="80"/>
      <c r="AF155" s="79">
        <f t="shared" ca="1" si="182"/>
        <v>0</v>
      </c>
      <c r="AG155" s="70"/>
      <c r="AH155" s="70"/>
    </row>
    <row r="156" spans="1:34">
      <c r="A156" s="55"/>
      <c r="B156" s="55"/>
      <c r="C156" s="55"/>
      <c r="D156" s="55"/>
      <c r="E156" s="71"/>
      <c r="F156" s="133">
        <f t="shared" si="183"/>
        <v>0</v>
      </c>
      <c r="G156" s="453">
        <f ca="1">VLOOKUP(H156,Equipos!$Q$1:$R$25,2,0)</f>
        <v>19</v>
      </c>
      <c r="H156" s="455" t="str">
        <f>Idiomas!$D$137</f>
        <v>CLASIFICADOS PARA DIECISEISAVOS</v>
      </c>
      <c r="I156" s="56"/>
      <c r="J156" s="849"/>
      <c r="K156" s="62" t="str">
        <f>Idiomas!$D$198&amp;"-"&amp;ROWS($L$130:L156)</f>
        <v>Dieciseisavofinalista-27</v>
      </c>
      <c r="L156" s="59"/>
      <c r="M156" s="61" t="str">
        <f ca="1">WORLDCUP!AF111</f>
        <v>Austria</v>
      </c>
      <c r="N156" s="25"/>
      <c r="O156" s="25"/>
      <c r="P156" s="25"/>
      <c r="Q156" s="25"/>
      <c r="R156" s="116"/>
      <c r="S156" s="80"/>
      <c r="T156" s="79">
        <f t="shared" ca="1" si="178"/>
        <v>0</v>
      </c>
      <c r="U156" s="70"/>
      <c r="V156" s="80"/>
      <c r="W156" s="79">
        <f t="shared" ca="1" si="179"/>
        <v>0</v>
      </c>
      <c r="X156" s="70"/>
      <c r="Y156" s="80"/>
      <c r="Z156" s="79">
        <f t="shared" ca="1" si="180"/>
        <v>0</v>
      </c>
      <c r="AA156" s="70"/>
      <c r="AB156" s="80"/>
      <c r="AC156" s="79">
        <f t="shared" ca="1" si="181"/>
        <v>0</v>
      </c>
      <c r="AD156" s="70"/>
      <c r="AE156" s="80"/>
      <c r="AF156" s="79">
        <f t="shared" ca="1" si="182"/>
        <v>0</v>
      </c>
      <c r="AG156" s="70"/>
      <c r="AH156" s="70"/>
    </row>
    <row r="157" spans="1:34">
      <c r="A157" s="55"/>
      <c r="B157" s="55"/>
      <c r="C157" s="55"/>
      <c r="D157" s="55"/>
      <c r="E157" s="71"/>
      <c r="F157" s="133">
        <f t="shared" si="183"/>
        <v>0</v>
      </c>
      <c r="G157" s="453">
        <f ca="1">VLOOKUP(H157,Equipos!$Q$1:$R$25,2,0)</f>
        <v>19</v>
      </c>
      <c r="H157" s="455" t="str">
        <f>Idiomas!$D$137</f>
        <v>CLASIFICADOS PARA DIECISEISAVOS</v>
      </c>
      <c r="I157" s="56"/>
      <c r="J157" s="849"/>
      <c r="K157" s="62" t="str">
        <f>Idiomas!$D$198&amp;"-"&amp;ROWS($L$130:L157)</f>
        <v>Dieciseisavofinalista-28</v>
      </c>
      <c r="L157" s="59"/>
      <c r="M157" s="61" t="str">
        <f ca="1">WORLDCUP!AF112</f>
        <v>Croacia</v>
      </c>
      <c r="N157" s="25"/>
      <c r="O157" s="25"/>
      <c r="P157" s="25"/>
      <c r="Q157" s="25"/>
      <c r="R157" s="116"/>
      <c r="S157" s="80"/>
      <c r="T157" s="79">
        <f t="shared" ca="1" si="178"/>
        <v>0</v>
      </c>
      <c r="U157" s="70"/>
      <c r="V157" s="80"/>
      <c r="W157" s="79">
        <f t="shared" ca="1" si="179"/>
        <v>0</v>
      </c>
      <c r="X157" s="70"/>
      <c r="Y157" s="80"/>
      <c r="Z157" s="79">
        <f t="shared" ca="1" si="180"/>
        <v>0</v>
      </c>
      <c r="AA157" s="70"/>
      <c r="AB157" s="80"/>
      <c r="AC157" s="79">
        <f t="shared" ca="1" si="181"/>
        <v>0</v>
      </c>
      <c r="AD157" s="70"/>
      <c r="AE157" s="80"/>
      <c r="AF157" s="79">
        <f t="shared" ca="1" si="182"/>
        <v>0</v>
      </c>
      <c r="AG157" s="70"/>
      <c r="AH157" s="70"/>
    </row>
    <row r="158" spans="1:34">
      <c r="A158" s="55"/>
      <c r="B158" s="55"/>
      <c r="C158" s="55"/>
      <c r="D158" s="55"/>
      <c r="E158" s="71"/>
      <c r="F158" s="133">
        <f t="shared" si="183"/>
        <v>0</v>
      </c>
      <c r="G158" s="453">
        <f ca="1">VLOOKUP(H158,Equipos!$Q$1:$R$25,2,0)</f>
        <v>19</v>
      </c>
      <c r="H158" s="455" t="str">
        <f>Idiomas!$D$137</f>
        <v>CLASIFICADOS PARA DIECISEISAVOS</v>
      </c>
      <c r="I158" s="56"/>
      <c r="J158" s="849"/>
      <c r="K158" s="62" t="str">
        <f>Idiomas!$D$198&amp;"-"&amp;ROWS($L$130:L158)</f>
        <v>Dieciseisavofinalista-29</v>
      </c>
      <c r="L158" s="59"/>
      <c r="M158" s="61" t="str">
        <f ca="1">WORLDCUP!AF113</f>
        <v>Ecuador</v>
      </c>
      <c r="N158" s="25"/>
      <c r="O158" s="25"/>
      <c r="P158" s="25"/>
      <c r="Q158" s="25"/>
      <c r="R158" s="116"/>
      <c r="S158" s="80"/>
      <c r="T158" s="79">
        <f t="shared" ca="1" si="178"/>
        <v>0</v>
      </c>
      <c r="U158" s="70"/>
      <c r="V158" s="80"/>
      <c r="W158" s="79">
        <f t="shared" ca="1" si="179"/>
        <v>0</v>
      </c>
      <c r="X158" s="70"/>
      <c r="Y158" s="80"/>
      <c r="Z158" s="79">
        <f t="shared" ca="1" si="180"/>
        <v>0</v>
      </c>
      <c r="AA158" s="70"/>
      <c r="AB158" s="80"/>
      <c r="AC158" s="79">
        <f t="shared" ca="1" si="181"/>
        <v>0</v>
      </c>
      <c r="AD158" s="70"/>
      <c r="AE158" s="80"/>
      <c r="AF158" s="79">
        <f t="shared" ca="1" si="182"/>
        <v>0</v>
      </c>
      <c r="AG158" s="70"/>
      <c r="AH158" s="70"/>
    </row>
    <row r="159" spans="1:34">
      <c r="A159" s="55"/>
      <c r="B159" s="55"/>
      <c r="C159" s="55"/>
      <c r="D159" s="55"/>
      <c r="E159" s="71"/>
      <c r="F159" s="133">
        <f t="shared" si="183"/>
        <v>0</v>
      </c>
      <c r="G159" s="453">
        <f ca="1">VLOOKUP(H159,Equipos!$Q$1:$R$25,2,0)</f>
        <v>19</v>
      </c>
      <c r="H159" s="455" t="str">
        <f>Idiomas!$D$137</f>
        <v>CLASIFICADOS PARA DIECISEISAVOS</v>
      </c>
      <c r="I159" s="56"/>
      <c r="J159" s="849"/>
      <c r="K159" s="62" t="str">
        <f>Idiomas!$D$198&amp;"-"&amp;ROWS($L$130:L159)</f>
        <v>Dieciseisavofinalista-30</v>
      </c>
      <c r="L159" s="59"/>
      <c r="M159" s="61" t="str">
        <f ca="1">WORLDCUP!AF114</f>
        <v>Irán</v>
      </c>
      <c r="N159" s="25"/>
      <c r="O159" s="25"/>
      <c r="P159" s="25"/>
      <c r="Q159" s="25"/>
      <c r="R159" s="116"/>
      <c r="S159" s="80"/>
      <c r="T159" s="79">
        <f t="shared" ca="1" si="178"/>
        <v>0</v>
      </c>
      <c r="U159" s="70"/>
      <c r="V159" s="80"/>
      <c r="W159" s="79">
        <f t="shared" ca="1" si="179"/>
        <v>0</v>
      </c>
      <c r="X159" s="70"/>
      <c r="Y159" s="80"/>
      <c r="Z159" s="79">
        <f t="shared" ca="1" si="180"/>
        <v>0</v>
      </c>
      <c r="AA159" s="70"/>
      <c r="AB159" s="80"/>
      <c r="AC159" s="79">
        <f t="shared" ca="1" si="181"/>
        <v>0</v>
      </c>
      <c r="AD159" s="70"/>
      <c r="AE159" s="80"/>
      <c r="AF159" s="79">
        <f t="shared" ca="1" si="182"/>
        <v>0</v>
      </c>
      <c r="AG159" s="70"/>
      <c r="AH159" s="70"/>
    </row>
    <row r="160" spans="1:34">
      <c r="A160" s="55"/>
      <c r="B160" s="55"/>
      <c r="C160" s="55"/>
      <c r="D160" s="55"/>
      <c r="E160" s="71"/>
      <c r="F160" s="133">
        <f t="shared" si="183"/>
        <v>0</v>
      </c>
      <c r="G160" s="453">
        <f ca="1">VLOOKUP(H160,Equipos!$Q$1:$R$25,2,0)</f>
        <v>19</v>
      </c>
      <c r="H160" s="455" t="str">
        <f>Idiomas!$D$137</f>
        <v>CLASIFICADOS PARA DIECISEISAVOS</v>
      </c>
      <c r="I160" s="56"/>
      <c r="J160" s="849"/>
      <c r="K160" s="62" t="str">
        <f>Idiomas!$D$198&amp;"-"&amp;ROWS($L$130:L160)</f>
        <v>Dieciseisavofinalista-31</v>
      </c>
      <c r="L160" s="59"/>
      <c r="M160" s="61" t="str">
        <f ca="1">WORLDCUP!AF115</f>
        <v>Uruguay</v>
      </c>
      <c r="N160" s="25"/>
      <c r="O160" s="25"/>
      <c r="P160" s="25"/>
      <c r="Q160" s="25"/>
      <c r="R160" s="116"/>
      <c r="S160" s="80"/>
      <c r="T160" s="79">
        <f t="shared" ca="1" si="178"/>
        <v>0</v>
      </c>
      <c r="U160" s="70"/>
      <c r="V160" s="80"/>
      <c r="W160" s="79">
        <f t="shared" ca="1" si="179"/>
        <v>0</v>
      </c>
      <c r="X160" s="70"/>
      <c r="Y160" s="80"/>
      <c r="Z160" s="79">
        <f t="shared" ca="1" si="180"/>
        <v>0</v>
      </c>
      <c r="AA160" s="70"/>
      <c r="AB160" s="80"/>
      <c r="AC160" s="79">
        <f t="shared" ca="1" si="181"/>
        <v>0</v>
      </c>
      <c r="AD160" s="70"/>
      <c r="AE160" s="80"/>
      <c r="AF160" s="79">
        <f t="shared" ca="1" si="182"/>
        <v>0</v>
      </c>
      <c r="AG160" s="70"/>
      <c r="AH160" s="70"/>
    </row>
    <row r="161" spans="1:34">
      <c r="A161" s="55"/>
      <c r="B161" s="55"/>
      <c r="C161" s="55"/>
      <c r="D161" s="55"/>
      <c r="E161" s="71"/>
      <c r="F161" s="133">
        <f t="shared" si="183"/>
        <v>0</v>
      </c>
      <c r="G161" s="453">
        <f ca="1">VLOOKUP(H161,Equipos!$Q$1:$R$25,2,0)</f>
        <v>19</v>
      </c>
      <c r="H161" s="455" t="str">
        <f>Idiomas!$D$137</f>
        <v>CLASIFICADOS PARA DIECISEISAVOS</v>
      </c>
      <c r="I161" s="56"/>
      <c r="J161" s="849"/>
      <c r="K161" s="121" t="str">
        <f>Idiomas!$D$198&amp;"-"&amp;ROWS($L$130:L161)</f>
        <v>Dieciseisavofinalista-32</v>
      </c>
      <c r="L161" s="121"/>
      <c r="M161" s="122" t="str">
        <f ca="1">WORLDCUP!AF116</f>
        <v>Ghana</v>
      </c>
      <c r="N161" s="25"/>
      <c r="O161" s="25"/>
      <c r="P161" s="25"/>
      <c r="Q161" s="25"/>
      <c r="R161" s="116"/>
      <c r="S161" s="86"/>
      <c r="T161" s="87">
        <f t="shared" ca="1" si="178"/>
        <v>0</v>
      </c>
      <c r="U161" s="70"/>
      <c r="V161" s="86"/>
      <c r="W161" s="87">
        <f t="shared" ca="1" si="179"/>
        <v>0</v>
      </c>
      <c r="X161" s="70"/>
      <c r="Y161" s="86"/>
      <c r="Z161" s="87">
        <f t="shared" ca="1" si="180"/>
        <v>0</v>
      </c>
      <c r="AA161" s="70"/>
      <c r="AB161" s="86"/>
      <c r="AC161" s="87">
        <f t="shared" ca="1" si="181"/>
        <v>0</v>
      </c>
      <c r="AD161" s="70"/>
      <c r="AE161" s="86"/>
      <c r="AF161" s="87">
        <f t="shared" ca="1" si="182"/>
        <v>0</v>
      </c>
      <c r="AG161" s="70"/>
      <c r="AH161" s="70"/>
    </row>
    <row r="162" spans="1:34">
      <c r="A162" s="55"/>
      <c r="B162" s="55"/>
      <c r="C162" s="55"/>
      <c r="D162" s="55"/>
      <c r="E162" s="71"/>
      <c r="F162" s="133"/>
      <c r="G162" s="453"/>
      <c r="H162" s="71"/>
      <c r="I162" s="56"/>
      <c r="J162" s="100"/>
      <c r="K162" s="442" t="str">
        <f>Idiomas!D457</f>
        <v>Equipos 1/16</v>
      </c>
      <c r="L162" s="443"/>
      <c r="M162" s="442" t="str">
        <f ca="1">"Max: "&amp;$D$15*COUNT(T130:T161)</f>
        <v>Max: 0</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c r="A164" s="25">
        <f>WORLDCUP!AD101</f>
        <v>1</v>
      </c>
      <c r="B164" s="25">
        <f>WORLDCUP!AC101</f>
        <v>2</v>
      </c>
      <c r="C164" s="25" t="str">
        <f ca="1">CONCATENATE(WORLDCUP!AF101,"-",WORLDCUP!AA101)</f>
        <v>Bosnia y Herzegovina-Corea del Sur</v>
      </c>
      <c r="D164" s="25">
        <f>IF(WORLDCUP!AC101&gt;WORLDCUP!AD101,2,IF(WORLDCUP!AC101&lt;WORLDCUP!AD101,1,IF(AND(WORLDCUP!AC101=WORLDCUP!AD101,WORLDCUP!AC101&lt;&gt;"",WORLDCUP!AD101&lt;&gt;""),0,"PD")))</f>
        <v>2</v>
      </c>
      <c r="E164" s="25" t="str">
        <f>IF(OR(WORLDCUP!AC101="",WORLDCUP!AD101=""),"-",A164&amp;"-"&amp;B164)</f>
        <v>1-2</v>
      </c>
      <c r="F164" s="415">
        <f>SUM($D$16:$D$18)*I164</f>
        <v>0</v>
      </c>
      <c r="G164" s="415">
        <f ca="1">VLOOKUP(H164,Equipos!$Q$1:$R$25,2,0)</f>
        <v>20</v>
      </c>
      <c r="H164" s="454" t="str">
        <f>Idiomas!$D$260</f>
        <v>Dieciseisavos de final</v>
      </c>
      <c r="I164" s="49">
        <v>1</v>
      </c>
      <c r="J164" s="849" t="s">
        <v>483</v>
      </c>
      <c r="K164" s="59" t="str">
        <f ca="1">CONCATENATE(WORLDCUP!AA101,"-",WORLDCUP!AF101)</f>
        <v>Corea del Sur-Bosnia y Herzegovina</v>
      </c>
      <c r="L164" s="59">
        <f>IF(OR(WORLDCUP!AC101="",WORLDCUP!AD101=""),"PD",IF(WORLDCUP!AC101&gt;WORLDCUP!AD101,1,IF(WORLDCUP!AC101&lt;WORLDCUP!AD101,2,0)))</f>
        <v>1</v>
      </c>
      <c r="M164" s="61" t="str">
        <f>IF(L164="PD","-",N164&amp;"-"&amp;O164)</f>
        <v>2-1</v>
      </c>
      <c r="N164" s="25">
        <f>WORLDCUP!AC101</f>
        <v>2</v>
      </c>
      <c r="O164" s="25">
        <f>WORLDCUP!AD101</f>
        <v>1</v>
      </c>
      <c r="P164" s="25">
        <f>N164-O164</f>
        <v>1</v>
      </c>
      <c r="Q164" s="25">
        <f>A164-B164</f>
        <v>-1</v>
      </c>
      <c r="R164" s="116"/>
      <c r="S164" s="82" t="str">
        <f>Idiomas!$D$367</f>
        <v>Pegar Valores Dieciseisavos</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s="82" t="str">
        <f>Idiomas!$D$367</f>
        <v>Pegar Valores Dieciseisavos</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s="82" t="str">
        <f>Idiomas!$D$367</f>
        <v>Pegar Valores Dieciseisavos</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s="82" t="str">
        <f>Idiomas!$D$367</f>
        <v>Pegar Valores Dieciseisavos</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s="82" t="str">
        <f>Idiomas!$D$367</f>
        <v>Pegar Valores Dieciseisavos</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c r="A165" s="25">
        <f>WORLDCUP!AD102</f>
        <v>2</v>
      </c>
      <c r="B165" s="25">
        <f>WORLDCUP!AC102</f>
        <v>3</v>
      </c>
      <c r="C165" s="25" t="str">
        <f ca="1">CONCATENATE(WORLDCUP!AF102,"-",WORLDCUP!AA102)</f>
        <v>Países Bajos-Brasil</v>
      </c>
      <c r="D165" s="25">
        <f>IF(WORLDCUP!AC102&gt;WORLDCUP!AD102,2,IF(WORLDCUP!AC102&lt;WORLDCUP!AD102,1,IF(AND(WORLDCUP!AC102=WORLDCUP!AD102,WORLDCUP!AC102&lt;&gt;"",WORLDCUP!AD102&lt;&gt;""),0,"PD")))</f>
        <v>2</v>
      </c>
      <c r="E165" s="25" t="str">
        <f>IF(OR(WORLDCUP!AC102="",WORLDCUP!AD102=""),"-",A165&amp;"-"&amp;B165)</f>
        <v>2-3</v>
      </c>
      <c r="F165" s="415">
        <f t="shared" ref="F165:F179" si="192">SUM($D$16:$D$18)*I165</f>
        <v>0</v>
      </c>
      <c r="G165" s="415">
        <f ca="1">VLOOKUP(H165,Equipos!$Q$1:$R$25,2,0)</f>
        <v>20</v>
      </c>
      <c r="H165" s="454" t="str">
        <f>Idiomas!$D$260</f>
        <v>Dieciseisavos de final</v>
      </c>
      <c r="I165" s="49">
        <v>1</v>
      </c>
      <c r="J165" s="849"/>
      <c r="K165" s="62" t="str">
        <f ca="1">CONCATENATE(WORLDCUP!AA102,"-",WORLDCUP!AF102)</f>
        <v>Brasil-Países Bajos</v>
      </c>
      <c r="L165" s="59">
        <f>IF(OR(WORLDCUP!AC102="",WORLDCUP!AD102=""),"PD",IF(WORLDCUP!AC102&gt;WORLDCUP!AD102,1,IF(WORLDCUP!AC102&lt;WORLDCUP!AD102,2,0)))</f>
        <v>1</v>
      </c>
      <c r="M165" s="61" t="str">
        <f t="shared" ref="M165:M179" si="193">IF(L165="PD","-",N165&amp;"-"&amp;O165)</f>
        <v>3-2</v>
      </c>
      <c r="N165" s="25">
        <f>WORLDCUP!AC102</f>
        <v>3</v>
      </c>
      <c r="O165" s="25">
        <f>WORLDCUP!AD102</f>
        <v>2</v>
      </c>
      <c r="P165" s="25">
        <f t="shared" ref="P165:P179" si="194">N165-O165</f>
        <v>1</v>
      </c>
      <c r="Q165" s="25">
        <f t="shared" ref="Q165:Q179" si="195">A165-B165</f>
        <v>-1</v>
      </c>
      <c r="R165" s="116"/>
      <c r="S165" s="82"/>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s="80"/>
      <c r="W165" s="83">
        <f t="shared" ca="1" si="188"/>
        <v>0</v>
      </c>
      <c r="X165" s="116"/>
      <c r="Y165" s="80"/>
      <c r="Z165" s="83">
        <f t="shared" ca="1" si="188"/>
        <v>0</v>
      </c>
      <c r="AA165" s="116"/>
      <c r="AB165" s="86"/>
      <c r="AC165" s="83">
        <f t="shared" ca="1" si="188"/>
        <v>0</v>
      </c>
      <c r="AD165" s="116"/>
      <c r="AE165" s="80"/>
      <c r="AF165" s="83">
        <f t="shared" ca="1" si="188"/>
        <v>0</v>
      </c>
      <c r="AG165" s="116"/>
      <c r="AH165" s="116"/>
    </row>
    <row r="166" spans="1:34">
      <c r="A166" s="25">
        <f>WORLDCUP!AD103</f>
        <v>0</v>
      </c>
      <c r="B166" s="25">
        <f>WORLDCUP!AC103</f>
        <v>1</v>
      </c>
      <c r="C166" s="25" t="str">
        <f ca="1">CONCATENATE(WORLDCUP!AF103,"-",WORLDCUP!AA103)</f>
        <v>Paraguay-Alemania</v>
      </c>
      <c r="D166" s="25">
        <f>IF(WORLDCUP!AC103&gt;WORLDCUP!AD103,2,IF(WORLDCUP!AC103&lt;WORLDCUP!AD103,1,IF(AND(WORLDCUP!AC103=WORLDCUP!AD103,WORLDCUP!AC103&lt;&gt;"",WORLDCUP!AD103&lt;&gt;""),0,"PD")))</f>
        <v>2</v>
      </c>
      <c r="E166" s="25" t="str">
        <f>IF(OR(WORLDCUP!AC103="",WORLDCUP!AD103=""),"-",A166&amp;"-"&amp;B166)</f>
        <v>0-1</v>
      </c>
      <c r="F166" s="415">
        <f t="shared" si="192"/>
        <v>0</v>
      </c>
      <c r="G166" s="415">
        <f ca="1">VLOOKUP(H166,Equipos!$Q$1:$R$25,2,0)</f>
        <v>20</v>
      </c>
      <c r="H166" s="454" t="str">
        <f>Idiomas!$D$260</f>
        <v>Dieciseisavos de final</v>
      </c>
      <c r="I166" s="49">
        <v>1</v>
      </c>
      <c r="J166" s="849"/>
      <c r="K166" s="62" t="str">
        <f ca="1">CONCATENATE(WORLDCUP!AA103,"-",WORLDCUP!AF103)</f>
        <v>Alemania-Paraguay</v>
      </c>
      <c r="L166" s="59">
        <f>IF(OR(WORLDCUP!AC103="",WORLDCUP!AD103=""),"PD",IF(WORLDCUP!AC103&gt;WORLDCUP!AD103,1,IF(WORLDCUP!AC103&lt;WORLDCUP!AD103,2,0)))</f>
        <v>1</v>
      </c>
      <c r="M166" s="61" t="str">
        <f t="shared" si="193"/>
        <v>1-0</v>
      </c>
      <c r="N166" s="25">
        <f>WORLDCUP!AC103</f>
        <v>1</v>
      </c>
      <c r="O166" s="25">
        <f>WORLDCUP!AD103</f>
        <v>0</v>
      </c>
      <c r="P166" s="25">
        <f t="shared" si="194"/>
        <v>1</v>
      </c>
      <c r="Q166" s="25">
        <f t="shared" si="195"/>
        <v>-1</v>
      </c>
      <c r="R166" s="116"/>
      <c r="S166" s="80"/>
      <c r="T166" s="83">
        <f t="shared" ca="1" si="196"/>
        <v>0</v>
      </c>
      <c r="U166" s="116"/>
      <c r="V166" s="80"/>
      <c r="W166" s="83">
        <f t="shared" ca="1" si="188"/>
        <v>0</v>
      </c>
      <c r="X166" s="116"/>
      <c r="Y166" s="80"/>
      <c r="Z166" s="83">
        <f t="shared" ca="1" si="188"/>
        <v>0</v>
      </c>
      <c r="AA166" s="116"/>
      <c r="AB166" s="86"/>
      <c r="AC166" s="83">
        <f t="shared" ca="1" si="188"/>
        <v>0</v>
      </c>
      <c r="AD166" s="116"/>
      <c r="AE166" s="80"/>
      <c r="AF166" s="83">
        <f t="shared" ca="1" si="188"/>
        <v>0</v>
      </c>
      <c r="AG166" s="116"/>
      <c r="AH166" s="116"/>
    </row>
    <row r="167" spans="1:34">
      <c r="A167" s="25">
        <f>WORLDCUP!AD104</f>
        <v>1</v>
      </c>
      <c r="B167" s="25">
        <f>WORLDCUP!AC104</f>
        <v>2</v>
      </c>
      <c r="C167" s="25" t="str">
        <f ca="1">CONCATENATE(WORLDCUP!AF104,"-",WORLDCUP!AA104)</f>
        <v>Escocia-Japón</v>
      </c>
      <c r="D167" s="25">
        <f>IF(WORLDCUP!AC104&gt;WORLDCUP!AD104,2,IF(WORLDCUP!AC104&lt;WORLDCUP!AD104,1,IF(AND(WORLDCUP!AC104=WORLDCUP!AD104,WORLDCUP!AC104&lt;&gt;"",WORLDCUP!AD104&lt;&gt;""),0,"PD")))</f>
        <v>2</v>
      </c>
      <c r="E167" s="25" t="str">
        <f>IF(OR(WORLDCUP!AC104="",WORLDCUP!AD104=""),"-",A167&amp;"-"&amp;B167)</f>
        <v>1-2</v>
      </c>
      <c r="F167" s="415">
        <f t="shared" si="192"/>
        <v>0</v>
      </c>
      <c r="G167" s="415">
        <f ca="1">VLOOKUP(H167,Equipos!$Q$1:$R$25,2,0)</f>
        <v>20</v>
      </c>
      <c r="H167" s="454" t="str">
        <f>Idiomas!$D$260</f>
        <v>Dieciseisavos de final</v>
      </c>
      <c r="I167" s="49">
        <v>1</v>
      </c>
      <c r="J167" s="849"/>
      <c r="K167" s="62" t="str">
        <f ca="1">CONCATENATE(WORLDCUP!AA104,"-",WORLDCUP!AF104)</f>
        <v>Japón-Escocia</v>
      </c>
      <c r="L167" s="59">
        <f>IF(OR(WORLDCUP!AC104="",WORLDCUP!AD104=""),"PD",IF(WORLDCUP!AC104&gt;WORLDCUP!AD104,1,IF(WORLDCUP!AC104&lt;WORLDCUP!AD104,2,0)))</f>
        <v>1</v>
      </c>
      <c r="M167" s="61" t="str">
        <f t="shared" si="193"/>
        <v>2-1</v>
      </c>
      <c r="N167" s="25">
        <f>WORLDCUP!AC104</f>
        <v>2</v>
      </c>
      <c r="O167" s="25">
        <f>WORLDCUP!AD104</f>
        <v>1</v>
      </c>
      <c r="P167" s="25">
        <f t="shared" si="194"/>
        <v>1</v>
      </c>
      <c r="Q167" s="25">
        <f t="shared" si="195"/>
        <v>-1</v>
      </c>
      <c r="R167" s="116"/>
      <c r="S167" s="80"/>
      <c r="T167" s="83">
        <f t="shared" ca="1" si="196"/>
        <v>0</v>
      </c>
      <c r="U167" s="116"/>
      <c r="V167" s="80"/>
      <c r="W167" s="83">
        <f t="shared" ca="1" si="188"/>
        <v>0</v>
      </c>
      <c r="X167" s="116"/>
      <c r="Y167" s="80"/>
      <c r="Z167" s="83">
        <f t="shared" ca="1" si="188"/>
        <v>0</v>
      </c>
      <c r="AA167" s="116"/>
      <c r="AB167" s="86"/>
      <c r="AC167" s="83">
        <f t="shared" ca="1" si="188"/>
        <v>0</v>
      </c>
      <c r="AD167" s="116"/>
      <c r="AE167" s="80"/>
      <c r="AF167" s="83">
        <f t="shared" ca="1" si="188"/>
        <v>0</v>
      </c>
      <c r="AG167" s="116"/>
      <c r="AH167" s="116"/>
    </row>
    <row r="168" spans="1:34">
      <c r="A168" s="25">
        <f>WORLDCUP!AD105</f>
        <v>2</v>
      </c>
      <c r="B168" s="25">
        <f>WORLDCUP!AC105</f>
        <v>0</v>
      </c>
      <c r="C168" s="25" t="str">
        <f ca="1">CONCATENATE(WORLDCUP!AF105,"-",WORLDCUP!AA105)</f>
        <v>Noruega-Costa de Marfil</v>
      </c>
      <c r="D168" s="25">
        <f>IF(WORLDCUP!AC105&gt;WORLDCUP!AD105,2,IF(WORLDCUP!AC105&lt;WORLDCUP!AD105,1,IF(AND(WORLDCUP!AC105=WORLDCUP!AD105,WORLDCUP!AC105&lt;&gt;"",WORLDCUP!AD105&lt;&gt;""),0,"PD")))</f>
        <v>1</v>
      </c>
      <c r="E168" s="25" t="str">
        <f>IF(OR(WORLDCUP!AC105="",WORLDCUP!AD105=""),"-",A168&amp;"-"&amp;B168)</f>
        <v>2-0</v>
      </c>
      <c r="F168" s="415">
        <f t="shared" si="192"/>
        <v>0</v>
      </c>
      <c r="G168" s="415">
        <f ca="1">VLOOKUP(H168,Equipos!$Q$1:$R$25,2,0)</f>
        <v>20</v>
      </c>
      <c r="H168" s="454" t="str">
        <f>Idiomas!$D$260</f>
        <v>Dieciseisavos de final</v>
      </c>
      <c r="I168" s="49">
        <v>1</v>
      </c>
      <c r="J168" s="849"/>
      <c r="K168" s="62" t="str">
        <f ca="1">CONCATENATE(WORLDCUP!AA105,"-",WORLDCUP!AF105)</f>
        <v>Costa de Marfil-Noruega</v>
      </c>
      <c r="L168" s="59">
        <f>IF(OR(WORLDCUP!AC105="",WORLDCUP!AD105=""),"PD",IF(WORLDCUP!AC105&gt;WORLDCUP!AD105,1,IF(WORLDCUP!AC105&lt;WORLDCUP!AD105,2,0)))</f>
        <v>2</v>
      </c>
      <c r="M168" s="61" t="str">
        <f t="shared" si="193"/>
        <v>0-2</v>
      </c>
      <c r="N168" s="25">
        <f>WORLDCUP!AC105</f>
        <v>0</v>
      </c>
      <c r="O168" s="25">
        <f>WORLDCUP!AD105</f>
        <v>2</v>
      </c>
      <c r="P168" s="25">
        <f t="shared" si="194"/>
        <v>-2</v>
      </c>
      <c r="Q168" s="25">
        <f t="shared" si="195"/>
        <v>2</v>
      </c>
      <c r="R168" s="116"/>
      <c r="S168" s="80"/>
      <c r="T168" s="83">
        <f t="shared" ca="1" si="196"/>
        <v>0</v>
      </c>
      <c r="U168" s="116"/>
      <c r="V168" s="80"/>
      <c r="W168" s="83">
        <f t="shared" ca="1" si="188"/>
        <v>0</v>
      </c>
      <c r="X168" s="116"/>
      <c r="Y168" s="80"/>
      <c r="Z168" s="83">
        <f t="shared" ca="1" si="188"/>
        <v>0</v>
      </c>
      <c r="AA168" s="116"/>
      <c r="AB168" s="86"/>
      <c r="AC168" s="83">
        <f t="shared" ca="1" si="188"/>
        <v>0</v>
      </c>
      <c r="AD168" s="116"/>
      <c r="AE168" s="80"/>
      <c r="AF168" s="83">
        <f t="shared" ca="1" si="188"/>
        <v>0</v>
      </c>
      <c r="AG168" s="116"/>
      <c r="AH168" s="116"/>
    </row>
    <row r="169" spans="1:34">
      <c r="A169" s="25">
        <f>WORLDCUP!AD106</f>
        <v>2</v>
      </c>
      <c r="B169" s="25">
        <f>WORLDCUP!AC106</f>
        <v>3</v>
      </c>
      <c r="C169" s="25" t="str">
        <f ca="1">CONCATENATE(WORLDCUP!AF106,"-",WORLDCUP!AA106)</f>
        <v>Suecia-Francia</v>
      </c>
      <c r="D169" s="25">
        <f>IF(WORLDCUP!AC106&gt;WORLDCUP!AD106,2,IF(WORLDCUP!AC106&lt;WORLDCUP!AD106,1,IF(AND(WORLDCUP!AC106=WORLDCUP!AD106,WORLDCUP!AC106&lt;&gt;"",WORLDCUP!AD106&lt;&gt;""),0,"PD")))</f>
        <v>2</v>
      </c>
      <c r="E169" s="25" t="str">
        <f>IF(OR(WORLDCUP!AC106="",WORLDCUP!AD106=""),"-",A169&amp;"-"&amp;B169)</f>
        <v>2-3</v>
      </c>
      <c r="F169" s="415">
        <f t="shared" si="192"/>
        <v>0</v>
      </c>
      <c r="G169" s="415">
        <f ca="1">VLOOKUP(H169,Equipos!$Q$1:$R$25,2,0)</f>
        <v>20</v>
      </c>
      <c r="H169" s="454" t="str">
        <f>Idiomas!$D$260</f>
        <v>Dieciseisavos de final</v>
      </c>
      <c r="I169" s="49">
        <v>1</v>
      </c>
      <c r="J169" s="849"/>
      <c r="K169" s="62" t="str">
        <f ca="1">CONCATENATE(WORLDCUP!AA106,"-",WORLDCUP!AF106)</f>
        <v>Francia-Suecia</v>
      </c>
      <c r="L169" s="59">
        <f>IF(OR(WORLDCUP!AC106="",WORLDCUP!AD106=""),"PD",IF(WORLDCUP!AC106&gt;WORLDCUP!AD106,1,IF(WORLDCUP!AC106&lt;WORLDCUP!AD106,2,0)))</f>
        <v>1</v>
      </c>
      <c r="M169" s="61" t="str">
        <f t="shared" si="193"/>
        <v>3-2</v>
      </c>
      <c r="N169" s="25">
        <f>WORLDCUP!AC106</f>
        <v>3</v>
      </c>
      <c r="O169" s="25">
        <f>WORLDCUP!AD106</f>
        <v>2</v>
      </c>
      <c r="P169" s="25">
        <f t="shared" si="194"/>
        <v>1</v>
      </c>
      <c r="Q169" s="25">
        <f t="shared" si="195"/>
        <v>-1</v>
      </c>
      <c r="R169" s="116"/>
      <c r="S169" s="80"/>
      <c r="T169" s="83">
        <f t="shared" ca="1" si="196"/>
        <v>0</v>
      </c>
      <c r="U169" s="116"/>
      <c r="V169" s="80"/>
      <c r="W169" s="83">
        <f t="shared" ca="1" si="188"/>
        <v>0</v>
      </c>
      <c r="X169" s="116"/>
      <c r="Y169" s="80"/>
      <c r="Z169" s="83">
        <f t="shared" ca="1" si="188"/>
        <v>0</v>
      </c>
      <c r="AA169" s="116"/>
      <c r="AB169" s="86"/>
      <c r="AC169" s="83">
        <f t="shared" ca="1" si="188"/>
        <v>0</v>
      </c>
      <c r="AD169" s="116"/>
      <c r="AE169" s="80"/>
      <c r="AF169" s="83">
        <f t="shared" ca="1" si="188"/>
        <v>0</v>
      </c>
      <c r="AG169" s="116"/>
      <c r="AH169" s="116"/>
    </row>
    <row r="170" spans="1:34">
      <c r="A170" s="25">
        <f>WORLDCUP!AD107</f>
        <v>0</v>
      </c>
      <c r="B170" s="25">
        <f>WORLDCUP!AC107</f>
        <v>1</v>
      </c>
      <c r="C170" s="25" t="str">
        <f ca="1">CONCATENATE(WORLDCUP!AF107,"-",WORLDCUP!AA107)</f>
        <v>Marruecos-México</v>
      </c>
      <c r="D170" s="25">
        <f>IF(WORLDCUP!AC107&gt;WORLDCUP!AD107,2,IF(WORLDCUP!AC107&lt;WORLDCUP!AD107,1,IF(AND(WORLDCUP!AC107=WORLDCUP!AD107,WORLDCUP!AC107&lt;&gt;"",WORLDCUP!AD107&lt;&gt;""),0,"PD")))</f>
        <v>2</v>
      </c>
      <c r="E170" s="25" t="str">
        <f>IF(OR(WORLDCUP!AC107="",WORLDCUP!AD107=""),"-",A170&amp;"-"&amp;B170)</f>
        <v>0-1</v>
      </c>
      <c r="F170" s="415">
        <f t="shared" si="192"/>
        <v>0</v>
      </c>
      <c r="G170" s="415">
        <f ca="1">VLOOKUP(H170,Equipos!$Q$1:$R$25,2,0)</f>
        <v>20</v>
      </c>
      <c r="H170" s="454" t="str">
        <f>Idiomas!$D$260</f>
        <v>Dieciseisavos de final</v>
      </c>
      <c r="I170" s="49">
        <v>1</v>
      </c>
      <c r="J170" s="849"/>
      <c r="K170" s="62" t="str">
        <f ca="1">CONCATENATE(WORLDCUP!AA107,"-",WORLDCUP!AF107)</f>
        <v>México-Marruecos</v>
      </c>
      <c r="L170" s="59">
        <f>IF(OR(WORLDCUP!AC107="",WORLDCUP!AD107=""),"PD",IF(WORLDCUP!AC107&gt;WORLDCUP!AD107,1,IF(WORLDCUP!AC107&lt;WORLDCUP!AD107,2,0)))</f>
        <v>1</v>
      </c>
      <c r="M170" s="61" t="str">
        <f t="shared" si="193"/>
        <v>1-0</v>
      </c>
      <c r="N170" s="25">
        <f>WORLDCUP!AC107</f>
        <v>1</v>
      </c>
      <c r="O170" s="25">
        <f>WORLDCUP!AD107</f>
        <v>0</v>
      </c>
      <c r="P170" s="25">
        <f t="shared" si="194"/>
        <v>1</v>
      </c>
      <c r="Q170" s="25">
        <f t="shared" si="195"/>
        <v>-1</v>
      </c>
      <c r="R170" s="116"/>
      <c r="S170" s="80"/>
      <c r="T170" s="83">
        <f t="shared" ca="1" si="196"/>
        <v>0</v>
      </c>
      <c r="U170" s="116"/>
      <c r="V170" s="80"/>
      <c r="W170" s="83">
        <f t="shared" ca="1" si="188"/>
        <v>0</v>
      </c>
      <c r="X170" s="116"/>
      <c r="Y170" s="80"/>
      <c r="Z170" s="83">
        <f t="shared" ca="1" si="188"/>
        <v>0</v>
      </c>
      <c r="AA170" s="116"/>
      <c r="AB170" s="86"/>
      <c r="AC170" s="83">
        <f t="shared" ca="1" si="188"/>
        <v>0</v>
      </c>
      <c r="AD170" s="116"/>
      <c r="AE170" s="80"/>
      <c r="AF170" s="83">
        <f t="shared" ca="1" si="188"/>
        <v>0</v>
      </c>
      <c r="AG170" s="116"/>
      <c r="AH170" s="116"/>
    </row>
    <row r="171" spans="1:34">
      <c r="A171" s="25">
        <f>WORLDCUP!AD108</f>
        <v>0</v>
      </c>
      <c r="B171" s="25">
        <f>WORLDCUP!AC108</f>
        <v>4</v>
      </c>
      <c r="C171" s="25" t="str">
        <f ca="1">CONCATENATE(WORLDCUP!AF108,"-",WORLDCUP!AA108)</f>
        <v>RD Congo-Inglaterra</v>
      </c>
      <c r="D171" s="25">
        <f>IF(WORLDCUP!AC108&gt;WORLDCUP!AD108,2,IF(WORLDCUP!AC108&lt;WORLDCUP!AD108,1,IF(AND(WORLDCUP!AC108=WORLDCUP!AD108,WORLDCUP!AC108&lt;&gt;"",WORLDCUP!AD108&lt;&gt;""),0,"PD")))</f>
        <v>2</v>
      </c>
      <c r="E171" s="25" t="str">
        <f>IF(OR(WORLDCUP!AC108="",WORLDCUP!AD108=""),"-",A171&amp;"-"&amp;B171)</f>
        <v>0-4</v>
      </c>
      <c r="F171" s="415">
        <f t="shared" si="192"/>
        <v>0</v>
      </c>
      <c r="G171" s="415">
        <f ca="1">VLOOKUP(H171,Equipos!$Q$1:$R$25,2,0)</f>
        <v>20</v>
      </c>
      <c r="H171" s="454" t="str">
        <f>Idiomas!$D$260</f>
        <v>Dieciseisavos de final</v>
      </c>
      <c r="I171" s="49">
        <v>1</v>
      </c>
      <c r="J171" s="849"/>
      <c r="K171" s="62" t="str">
        <f ca="1">CONCATENATE(WORLDCUP!AA108,"-",WORLDCUP!AF108)</f>
        <v>Inglaterra-RD Congo</v>
      </c>
      <c r="L171" s="59">
        <f>IF(OR(WORLDCUP!AC108="",WORLDCUP!AD108=""),"PD",IF(WORLDCUP!AC108&gt;WORLDCUP!AD108,1,IF(WORLDCUP!AC108&lt;WORLDCUP!AD108,2,0)))</f>
        <v>1</v>
      </c>
      <c r="M171" s="61" t="str">
        <f t="shared" si="193"/>
        <v>4-0</v>
      </c>
      <c r="N171" s="25">
        <f>WORLDCUP!AC108</f>
        <v>4</v>
      </c>
      <c r="O171" s="25">
        <f>WORLDCUP!AD108</f>
        <v>0</v>
      </c>
      <c r="P171" s="25">
        <f t="shared" si="194"/>
        <v>4</v>
      </c>
      <c r="Q171" s="25">
        <f t="shared" si="195"/>
        <v>-4</v>
      </c>
      <c r="R171" s="116"/>
      <c r="S171" s="80"/>
      <c r="T171" s="83">
        <f t="shared" ca="1" si="196"/>
        <v>0</v>
      </c>
      <c r="U171" s="116"/>
      <c r="V171" s="80"/>
      <c r="W171" s="83">
        <f t="shared" ca="1" si="188"/>
        <v>0</v>
      </c>
      <c r="X171" s="116"/>
      <c r="Y171" s="80"/>
      <c r="Z171" s="83">
        <f t="shared" ca="1" si="188"/>
        <v>0</v>
      </c>
      <c r="AA171" s="116"/>
      <c r="AB171" s="86"/>
      <c r="AC171" s="83">
        <f t="shared" ca="1" si="188"/>
        <v>0</v>
      </c>
      <c r="AD171" s="116"/>
      <c r="AE171" s="80"/>
      <c r="AF171" s="83">
        <f t="shared" ca="1" si="188"/>
        <v>0</v>
      </c>
      <c r="AG171" s="116"/>
      <c r="AH171" s="116"/>
    </row>
    <row r="172" spans="1:34">
      <c r="A172" s="25">
        <f>WORLDCUP!AD109</f>
        <v>1</v>
      </c>
      <c r="B172" s="25">
        <f>WORLDCUP!AC109</f>
        <v>3</v>
      </c>
      <c r="C172" s="25" t="str">
        <f ca="1">CONCATENATE(WORLDCUP!AF109,"-",WORLDCUP!AA109)</f>
        <v>República Checa-Bélgica</v>
      </c>
      <c r="D172" s="25">
        <f>IF(WORLDCUP!AC109&gt;WORLDCUP!AD109,2,IF(WORLDCUP!AC109&lt;WORLDCUP!AD109,1,IF(AND(WORLDCUP!AC109=WORLDCUP!AD109,WORLDCUP!AC109&lt;&gt;"",WORLDCUP!AD109&lt;&gt;""),0,"PD")))</f>
        <v>2</v>
      </c>
      <c r="E172" s="25" t="str">
        <f>IF(OR(WORLDCUP!AC109="",WORLDCUP!AD109=""),"-",A172&amp;"-"&amp;B172)</f>
        <v>1-3</v>
      </c>
      <c r="F172" s="415">
        <f t="shared" si="192"/>
        <v>0</v>
      </c>
      <c r="G172" s="415">
        <f ca="1">VLOOKUP(H172,Equipos!$Q$1:$R$25,2,0)</f>
        <v>20</v>
      </c>
      <c r="H172" s="454" t="str">
        <f>Idiomas!$D$260</f>
        <v>Dieciseisavos de final</v>
      </c>
      <c r="I172" s="49">
        <v>1</v>
      </c>
      <c r="J172" s="849"/>
      <c r="K172" s="62" t="str">
        <f ca="1">CONCATENATE(WORLDCUP!AA109,"-",WORLDCUP!AF109)</f>
        <v>Bélgica-República Checa</v>
      </c>
      <c r="L172" s="59">
        <f>IF(OR(WORLDCUP!AC109="",WORLDCUP!AD109=""),"PD",IF(WORLDCUP!AC109&gt;WORLDCUP!AD109,1,IF(WORLDCUP!AC109&lt;WORLDCUP!AD109,2,0)))</f>
        <v>1</v>
      </c>
      <c r="M172" s="61" t="str">
        <f t="shared" si="193"/>
        <v>3-1</v>
      </c>
      <c r="N172" s="25">
        <f>WORLDCUP!AC109</f>
        <v>3</v>
      </c>
      <c r="O172" s="25">
        <f>WORLDCUP!AD109</f>
        <v>1</v>
      </c>
      <c r="P172" s="25">
        <f t="shared" si="194"/>
        <v>2</v>
      </c>
      <c r="Q172" s="25">
        <f t="shared" si="195"/>
        <v>-2</v>
      </c>
      <c r="R172" s="116"/>
      <c r="S172" s="80"/>
      <c r="T172" s="83">
        <f t="shared" ca="1" si="196"/>
        <v>0</v>
      </c>
      <c r="U172" s="116"/>
      <c r="V172" s="80"/>
      <c r="W172" s="83">
        <f t="shared" ca="1" si="188"/>
        <v>0</v>
      </c>
      <c r="X172" s="116"/>
      <c r="Y172" s="80"/>
      <c r="Z172" s="83">
        <f t="shared" ca="1" si="188"/>
        <v>0</v>
      </c>
      <c r="AA172" s="116"/>
      <c r="AB172" s="86"/>
      <c r="AC172" s="83">
        <f t="shared" ca="1" si="188"/>
        <v>0</v>
      </c>
      <c r="AD172" s="116"/>
      <c r="AE172" s="80"/>
      <c r="AF172" s="83">
        <f t="shared" ca="1" si="188"/>
        <v>0</v>
      </c>
      <c r="AG172" s="116"/>
      <c r="AH172" s="116"/>
    </row>
    <row r="173" spans="1:34">
      <c r="A173" s="25">
        <f>WORLDCUP!AD110</f>
        <v>2</v>
      </c>
      <c r="B173" s="25">
        <f>WORLDCUP!AC110</f>
        <v>2</v>
      </c>
      <c r="C173" s="25" t="str">
        <f ca="1">CONCATENATE(WORLDCUP!AF110,"-",WORLDCUP!AA110)</f>
        <v>Senegal-Turquía</v>
      </c>
      <c r="D173" s="25">
        <f>IF(WORLDCUP!AC110&gt;WORLDCUP!AD110,2,IF(WORLDCUP!AC110&lt;WORLDCUP!AD110,1,IF(AND(WORLDCUP!AC110=WORLDCUP!AD110,WORLDCUP!AC110&lt;&gt;"",WORLDCUP!AD110&lt;&gt;""),0,"PD")))</f>
        <v>0</v>
      </c>
      <c r="E173" s="25" t="str">
        <f>IF(OR(WORLDCUP!AC110="",WORLDCUP!AD110=""),"-",A173&amp;"-"&amp;B173)</f>
        <v>2-2</v>
      </c>
      <c r="F173" s="415">
        <f t="shared" si="192"/>
        <v>0</v>
      </c>
      <c r="G173" s="415">
        <f ca="1">VLOOKUP(H173,Equipos!$Q$1:$R$25,2,0)</f>
        <v>20</v>
      </c>
      <c r="H173" s="454" t="str">
        <f>Idiomas!$D$260</f>
        <v>Dieciseisavos de final</v>
      </c>
      <c r="I173" s="49">
        <v>1</v>
      </c>
      <c r="J173" s="849"/>
      <c r="K173" s="62" t="str">
        <f ca="1">CONCATENATE(WORLDCUP!AA110,"-",WORLDCUP!AF110)</f>
        <v>Turquía-Senegal</v>
      </c>
      <c r="L173" s="59">
        <f>IF(OR(WORLDCUP!AC110="",WORLDCUP!AD110=""),"PD",IF(WORLDCUP!AC110&gt;WORLDCUP!AD110,1,IF(WORLDCUP!AC110&lt;WORLDCUP!AD110,2,0)))</f>
        <v>0</v>
      </c>
      <c r="M173" s="61" t="str">
        <f t="shared" si="193"/>
        <v>2-2</v>
      </c>
      <c r="N173" s="25">
        <f>WORLDCUP!AC110</f>
        <v>2</v>
      </c>
      <c r="O173" s="25">
        <f>WORLDCUP!AD110</f>
        <v>2</v>
      </c>
      <c r="P173" s="25">
        <f t="shared" si="194"/>
        <v>0</v>
      </c>
      <c r="Q173" s="25">
        <f t="shared" si="195"/>
        <v>0</v>
      </c>
      <c r="R173" s="116"/>
      <c r="S173" s="80"/>
      <c r="T173" s="83">
        <f t="shared" ca="1" si="196"/>
        <v>0</v>
      </c>
      <c r="U173" s="116"/>
      <c r="V173" s="80"/>
      <c r="W173" s="83">
        <f t="shared" ca="1" si="188"/>
        <v>0</v>
      </c>
      <c r="X173" s="116"/>
      <c r="Y173" s="80"/>
      <c r="Z173" s="83">
        <f t="shared" ca="1" si="188"/>
        <v>0</v>
      </c>
      <c r="AA173" s="116"/>
      <c r="AB173" s="80"/>
      <c r="AC173" s="83">
        <f t="shared" ca="1" si="188"/>
        <v>0</v>
      </c>
      <c r="AD173" s="116"/>
      <c r="AE173" s="80"/>
      <c r="AF173" s="83">
        <f t="shared" ca="1" si="188"/>
        <v>0</v>
      </c>
      <c r="AG173" s="116"/>
      <c r="AH173" s="116"/>
    </row>
    <row r="174" spans="1:34">
      <c r="A174" s="25">
        <f>WORLDCUP!AD111</f>
        <v>0</v>
      </c>
      <c r="B174" s="25">
        <f>WORLDCUP!AC111</f>
        <v>1</v>
      </c>
      <c r="C174" s="25" t="str">
        <f ca="1">CONCATENATE(WORLDCUP!AF111,"-",WORLDCUP!AA111)</f>
        <v>Austria-España</v>
      </c>
      <c r="D174" s="25">
        <f>IF(WORLDCUP!AC111&gt;WORLDCUP!AD111,2,IF(WORLDCUP!AC111&lt;WORLDCUP!AD111,1,IF(AND(WORLDCUP!AC111=WORLDCUP!AD111,WORLDCUP!AC111&lt;&gt;"",WORLDCUP!AD111&lt;&gt;""),0,"PD")))</f>
        <v>2</v>
      </c>
      <c r="E174" s="25" t="str">
        <f>IF(OR(WORLDCUP!AC111="",WORLDCUP!AD111=""),"-",A174&amp;"-"&amp;B174)</f>
        <v>0-1</v>
      </c>
      <c r="F174" s="415">
        <f t="shared" si="192"/>
        <v>0</v>
      </c>
      <c r="G174" s="415">
        <f ca="1">VLOOKUP(H174,Equipos!$Q$1:$R$25,2,0)</f>
        <v>20</v>
      </c>
      <c r="H174" s="454" t="str">
        <f>Idiomas!$D$260</f>
        <v>Dieciseisavos de final</v>
      </c>
      <c r="I174" s="49">
        <v>1</v>
      </c>
      <c r="J174" s="849"/>
      <c r="K174" s="62" t="str">
        <f ca="1">CONCATENATE(WORLDCUP!AA111,"-",WORLDCUP!AF111)</f>
        <v>España-Austria</v>
      </c>
      <c r="L174" s="59">
        <f>IF(OR(WORLDCUP!AC111="",WORLDCUP!AD111=""),"PD",IF(WORLDCUP!AC111&gt;WORLDCUP!AD111,1,IF(WORLDCUP!AC111&lt;WORLDCUP!AD111,2,0)))</f>
        <v>1</v>
      </c>
      <c r="M174" s="61" t="str">
        <f t="shared" si="193"/>
        <v>1-0</v>
      </c>
      <c r="N174" s="25">
        <f>WORLDCUP!AC111</f>
        <v>1</v>
      </c>
      <c r="O174" s="25">
        <f>WORLDCUP!AD111</f>
        <v>0</v>
      </c>
      <c r="P174" s="25">
        <f t="shared" si="194"/>
        <v>1</v>
      </c>
      <c r="Q174" s="25">
        <f t="shared" si="195"/>
        <v>-1</v>
      </c>
      <c r="R174" s="116"/>
      <c r="S174" s="80"/>
      <c r="T174" s="83">
        <f t="shared" ca="1" si="196"/>
        <v>0</v>
      </c>
      <c r="U174" s="116"/>
      <c r="V174" s="80"/>
      <c r="W174" s="83">
        <f t="shared" ca="1" si="188"/>
        <v>0</v>
      </c>
      <c r="X174" s="116"/>
      <c r="Y174" s="80"/>
      <c r="Z174" s="83">
        <f t="shared" ca="1" si="188"/>
        <v>0</v>
      </c>
      <c r="AA174" s="116"/>
      <c r="AB174" s="80"/>
      <c r="AC174" s="83">
        <f t="shared" ca="1" si="188"/>
        <v>0</v>
      </c>
      <c r="AD174" s="116"/>
      <c r="AE174" s="80"/>
      <c r="AF174" s="83">
        <f t="shared" ca="1" si="188"/>
        <v>0</v>
      </c>
      <c r="AG174" s="116"/>
      <c r="AH174" s="116"/>
    </row>
    <row r="175" spans="1:34">
      <c r="A175" s="25">
        <f>WORLDCUP!AD112</f>
        <v>1</v>
      </c>
      <c r="B175" s="25">
        <f>WORLDCUP!AC112</f>
        <v>1</v>
      </c>
      <c r="C175" s="25" t="str">
        <f ca="1">CONCATENATE(WORLDCUP!AF112,"-",WORLDCUP!AA112)</f>
        <v>Croacia-Colombia</v>
      </c>
      <c r="D175" s="25">
        <f>IF(WORLDCUP!AC112&gt;WORLDCUP!AD112,2,IF(WORLDCUP!AC112&lt;WORLDCUP!AD112,1,IF(AND(WORLDCUP!AC112=WORLDCUP!AD112,WORLDCUP!AC112&lt;&gt;"",WORLDCUP!AD112&lt;&gt;""),0,"PD")))</f>
        <v>0</v>
      </c>
      <c r="E175" s="25" t="str">
        <f>IF(OR(WORLDCUP!AC112="",WORLDCUP!AD112=""),"-",A175&amp;"-"&amp;B175)</f>
        <v>1-1</v>
      </c>
      <c r="F175" s="415">
        <f t="shared" si="192"/>
        <v>0</v>
      </c>
      <c r="G175" s="415">
        <f ca="1">VLOOKUP(H175,Equipos!$Q$1:$R$25,2,0)</f>
        <v>20</v>
      </c>
      <c r="H175" s="454" t="str">
        <f>Idiomas!$D$260</f>
        <v>Dieciseisavos de final</v>
      </c>
      <c r="I175" s="49">
        <v>1</v>
      </c>
      <c r="J175" s="849"/>
      <c r="K175" s="62" t="str">
        <f ca="1">CONCATENATE(WORLDCUP!AA112,"-",WORLDCUP!AF112)</f>
        <v>Colombia-Croacia</v>
      </c>
      <c r="L175" s="59">
        <f>IF(OR(WORLDCUP!AC112="",WORLDCUP!AD112=""),"PD",IF(WORLDCUP!AC112&gt;WORLDCUP!AD112,1,IF(WORLDCUP!AC112&lt;WORLDCUP!AD112,2,0)))</f>
        <v>0</v>
      </c>
      <c r="M175" s="61" t="str">
        <f t="shared" si="193"/>
        <v>1-1</v>
      </c>
      <c r="N175" s="25">
        <f>WORLDCUP!AC112</f>
        <v>1</v>
      </c>
      <c r="O175" s="25">
        <f>WORLDCUP!AD112</f>
        <v>1</v>
      </c>
      <c r="P175" s="25">
        <f t="shared" si="194"/>
        <v>0</v>
      </c>
      <c r="Q175" s="25">
        <f t="shared" si="195"/>
        <v>0</v>
      </c>
      <c r="R175" s="116"/>
      <c r="S175" s="80"/>
      <c r="T175" s="83">
        <f t="shared" ca="1" si="196"/>
        <v>0</v>
      </c>
      <c r="U175" s="116"/>
      <c r="V175" s="80"/>
      <c r="W175" s="83">
        <f t="shared" ca="1" si="188"/>
        <v>0</v>
      </c>
      <c r="X175" s="116"/>
      <c r="Y175" s="80"/>
      <c r="Z175" s="83">
        <f t="shared" ca="1" si="188"/>
        <v>0</v>
      </c>
      <c r="AA175" s="116"/>
      <c r="AB175" s="80"/>
      <c r="AC175" s="83">
        <f t="shared" ca="1" si="188"/>
        <v>0</v>
      </c>
      <c r="AD175" s="116"/>
      <c r="AE175" s="80"/>
      <c r="AF175" s="83">
        <f t="shared" ca="1" si="188"/>
        <v>0</v>
      </c>
      <c r="AG175" s="116"/>
      <c r="AH175" s="116"/>
    </row>
    <row r="176" spans="1:34">
      <c r="A176" s="25">
        <f>WORLDCUP!AD113</f>
        <v>2</v>
      </c>
      <c r="B176" s="25">
        <f>WORLDCUP!AC113</f>
        <v>2</v>
      </c>
      <c r="C176" s="25" t="str">
        <f ca="1">CONCATENATE(WORLDCUP!AF113,"-",WORLDCUP!AA113)</f>
        <v>Ecuador-Suiza</v>
      </c>
      <c r="D176" s="25">
        <f>IF(WORLDCUP!AC113&gt;WORLDCUP!AD113,2,IF(WORLDCUP!AC113&lt;WORLDCUP!AD113,1,IF(AND(WORLDCUP!AC113=WORLDCUP!AD113,WORLDCUP!AC113&lt;&gt;"",WORLDCUP!AD113&lt;&gt;""),0,"PD")))</f>
        <v>0</v>
      </c>
      <c r="E176" s="25" t="str">
        <f>IF(OR(WORLDCUP!AC113="",WORLDCUP!AD113=""),"-",A176&amp;"-"&amp;B176)</f>
        <v>2-2</v>
      </c>
      <c r="F176" s="415">
        <f t="shared" si="192"/>
        <v>0</v>
      </c>
      <c r="G176" s="415">
        <f ca="1">VLOOKUP(H176,Equipos!$Q$1:$R$25,2,0)</f>
        <v>20</v>
      </c>
      <c r="H176" s="454" t="str">
        <f>Idiomas!$D$260</f>
        <v>Dieciseisavos de final</v>
      </c>
      <c r="I176" s="49">
        <v>1</v>
      </c>
      <c r="J176" s="849"/>
      <c r="K176" s="62" t="str">
        <f ca="1">CONCATENATE(WORLDCUP!AA113,"-",WORLDCUP!AF113)</f>
        <v>Suiza-Ecuador</v>
      </c>
      <c r="L176" s="59">
        <f>IF(OR(WORLDCUP!AC113="",WORLDCUP!AD113=""),"PD",IF(WORLDCUP!AC113&gt;WORLDCUP!AD113,1,IF(WORLDCUP!AC113&lt;WORLDCUP!AD113,2,0)))</f>
        <v>0</v>
      </c>
      <c r="M176" s="61" t="str">
        <f t="shared" si="193"/>
        <v>2-2</v>
      </c>
      <c r="N176" s="25">
        <f>WORLDCUP!AC113</f>
        <v>2</v>
      </c>
      <c r="O176" s="25">
        <f>WORLDCUP!AD113</f>
        <v>2</v>
      </c>
      <c r="P176" s="25">
        <f t="shared" si="194"/>
        <v>0</v>
      </c>
      <c r="Q176" s="25">
        <f t="shared" si="195"/>
        <v>0</v>
      </c>
      <c r="R176" s="116"/>
      <c r="S176" s="80"/>
      <c r="T176" s="83">
        <f t="shared" ca="1" si="196"/>
        <v>0</v>
      </c>
      <c r="U176" s="116"/>
      <c r="V176" s="80"/>
      <c r="W176" s="83">
        <f t="shared" ca="1" si="188"/>
        <v>0</v>
      </c>
      <c r="X176" s="116"/>
      <c r="Y176" s="80"/>
      <c r="Z176" s="83">
        <f t="shared" ca="1" si="188"/>
        <v>0</v>
      </c>
      <c r="AA176" s="116"/>
      <c r="AB176" s="80"/>
      <c r="AC176" s="83">
        <f t="shared" ca="1" si="188"/>
        <v>0</v>
      </c>
      <c r="AD176" s="116"/>
      <c r="AE176" s="80"/>
      <c r="AF176" s="83">
        <f t="shared" ca="1" si="188"/>
        <v>0</v>
      </c>
      <c r="AG176" s="116"/>
      <c r="AH176" s="116"/>
    </row>
    <row r="177" spans="1:34">
      <c r="A177" s="25">
        <f>WORLDCUP!AD114</f>
        <v>0</v>
      </c>
      <c r="B177" s="25">
        <f>WORLDCUP!AC114</f>
        <v>2</v>
      </c>
      <c r="C177" s="25" t="str">
        <f ca="1">CONCATENATE(WORLDCUP!AF114,"-",WORLDCUP!AA114)</f>
        <v>Irán-Estados Unidos</v>
      </c>
      <c r="D177" s="25">
        <f>IF(WORLDCUP!AC114&gt;WORLDCUP!AD114,2,IF(WORLDCUP!AC114&lt;WORLDCUP!AD114,1,IF(AND(WORLDCUP!AC114=WORLDCUP!AD114,WORLDCUP!AC114&lt;&gt;"",WORLDCUP!AD114&lt;&gt;""),0,"PD")))</f>
        <v>2</v>
      </c>
      <c r="E177" s="25" t="str">
        <f>IF(OR(WORLDCUP!AC114="",WORLDCUP!AD114=""),"-",A177&amp;"-"&amp;B177)</f>
        <v>0-2</v>
      </c>
      <c r="F177" s="415">
        <f t="shared" si="192"/>
        <v>0</v>
      </c>
      <c r="G177" s="415">
        <f ca="1">VLOOKUP(H177,Equipos!$Q$1:$R$25,2,0)</f>
        <v>20</v>
      </c>
      <c r="H177" s="454" t="str">
        <f>Idiomas!$D$260</f>
        <v>Dieciseisavos de final</v>
      </c>
      <c r="I177" s="49">
        <v>1</v>
      </c>
      <c r="J177" s="849"/>
      <c r="K177" s="62" t="str">
        <f ca="1">CONCATENATE(WORLDCUP!AA114,"-",WORLDCUP!AF114)</f>
        <v>Estados Unidos-Irán</v>
      </c>
      <c r="L177" s="59">
        <f>IF(OR(WORLDCUP!AC114="",WORLDCUP!AD114=""),"PD",IF(WORLDCUP!AC114&gt;WORLDCUP!AD114,1,IF(WORLDCUP!AC114&lt;WORLDCUP!AD114,2,0)))</f>
        <v>1</v>
      </c>
      <c r="M177" s="61" t="str">
        <f t="shared" si="193"/>
        <v>2-0</v>
      </c>
      <c r="N177" s="25">
        <f>WORLDCUP!AC114</f>
        <v>2</v>
      </c>
      <c r="O177" s="25">
        <f>WORLDCUP!AD114</f>
        <v>0</v>
      </c>
      <c r="P177" s="25">
        <f t="shared" si="194"/>
        <v>2</v>
      </c>
      <c r="Q177" s="25">
        <f t="shared" si="195"/>
        <v>-2</v>
      </c>
      <c r="R177" s="116"/>
      <c r="S177" s="80"/>
      <c r="T177" s="83">
        <f t="shared" ca="1" si="196"/>
        <v>0</v>
      </c>
      <c r="U177" s="116"/>
      <c r="V177" s="80"/>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s="80"/>
      <c r="Z177" s="83">
        <f t="shared" ca="1" si="197"/>
        <v>0</v>
      </c>
      <c r="AA177" s="116"/>
      <c r="AB177" s="80"/>
      <c r="AC177" s="83">
        <f t="shared" ca="1" si="197"/>
        <v>0</v>
      </c>
      <c r="AD177" s="116"/>
      <c r="AE177" s="80"/>
      <c r="AF177" s="83">
        <f t="shared" ca="1" si="197"/>
        <v>0</v>
      </c>
      <c r="AG177" s="116"/>
      <c r="AH177" s="116"/>
    </row>
    <row r="178" spans="1:34">
      <c r="A178" s="25">
        <f>WORLDCUP!AD115</f>
        <v>0</v>
      </c>
      <c r="B178" s="25">
        <f>WORLDCUP!AC115</f>
        <v>1</v>
      </c>
      <c r="C178" s="25" t="str">
        <f ca="1">CONCATENATE(WORLDCUP!AF115,"-",WORLDCUP!AA115)</f>
        <v>Uruguay-Argentina</v>
      </c>
      <c r="D178" s="25">
        <f>IF(WORLDCUP!AC115&gt;WORLDCUP!AD115,2,IF(WORLDCUP!AC115&lt;WORLDCUP!AD115,1,IF(AND(WORLDCUP!AC115=WORLDCUP!AD115,WORLDCUP!AC115&lt;&gt;"",WORLDCUP!AD115&lt;&gt;""),0,"PD")))</f>
        <v>2</v>
      </c>
      <c r="E178" s="25" t="str">
        <f>IF(OR(WORLDCUP!AC115="",WORLDCUP!AD115=""),"-",A178&amp;"-"&amp;B178)</f>
        <v>0-1</v>
      </c>
      <c r="F178" s="415">
        <f t="shared" si="192"/>
        <v>0</v>
      </c>
      <c r="G178" s="415">
        <f ca="1">VLOOKUP(H178,Equipos!$Q$1:$R$25,2,0)</f>
        <v>20</v>
      </c>
      <c r="H178" s="454" t="str">
        <f>Idiomas!$D$260</f>
        <v>Dieciseisavos de final</v>
      </c>
      <c r="I178" s="49">
        <v>1</v>
      </c>
      <c r="J178" s="849"/>
      <c r="K178" s="62" t="str">
        <f ca="1">CONCATENATE(WORLDCUP!AA115,"-",WORLDCUP!AF115)</f>
        <v>Argentina-Uruguay</v>
      </c>
      <c r="L178" s="59">
        <f>IF(OR(WORLDCUP!AC115="",WORLDCUP!AD115=""),"PD",IF(WORLDCUP!AC115&gt;WORLDCUP!AD115,1,IF(WORLDCUP!AC115&lt;WORLDCUP!AD115,2,0)))</f>
        <v>1</v>
      </c>
      <c r="M178" s="61" t="str">
        <f t="shared" si="193"/>
        <v>1-0</v>
      </c>
      <c r="N178" s="25">
        <f>WORLDCUP!AC115</f>
        <v>1</v>
      </c>
      <c r="O178" s="25">
        <f>WORLDCUP!AD115</f>
        <v>0</v>
      </c>
      <c r="P178" s="25">
        <f t="shared" si="194"/>
        <v>1</v>
      </c>
      <c r="Q178" s="25">
        <f t="shared" si="195"/>
        <v>-1</v>
      </c>
      <c r="R178" s="116"/>
      <c r="S178" s="80"/>
      <c r="T178" s="83">
        <f t="shared" ca="1" si="196"/>
        <v>0</v>
      </c>
      <c r="U178" s="116"/>
      <c r="V178" s="80"/>
      <c r="W178" s="83">
        <f t="shared" ca="1" si="197"/>
        <v>0</v>
      </c>
      <c r="X178" s="116"/>
      <c r="Y178" s="80"/>
      <c r="Z178" s="83">
        <f t="shared" ca="1" si="197"/>
        <v>0</v>
      </c>
      <c r="AA178" s="116"/>
      <c r="AB178" s="80"/>
      <c r="AC178" s="83">
        <f t="shared" ca="1" si="197"/>
        <v>0</v>
      </c>
      <c r="AD178" s="116"/>
      <c r="AE178" s="80"/>
      <c r="AF178" s="83">
        <f t="shared" ca="1" si="197"/>
        <v>0</v>
      </c>
      <c r="AG178" s="116"/>
      <c r="AH178" s="116"/>
    </row>
    <row r="179" spans="1:34">
      <c r="A179" s="25">
        <f>WORLDCUP!AD116</f>
        <v>0</v>
      </c>
      <c r="B179" s="25">
        <f>WORLDCUP!AC116</f>
        <v>2</v>
      </c>
      <c r="C179" s="25" t="str">
        <f ca="1">CONCATENATE(WORLDCUP!AF116,"-",WORLDCUP!AA116)</f>
        <v>Ghana-Portugal</v>
      </c>
      <c r="D179" s="25">
        <f>IF(WORLDCUP!AC116&gt;WORLDCUP!AD116,2,IF(WORLDCUP!AC116&lt;WORLDCUP!AD116,1,IF(AND(WORLDCUP!AC116=WORLDCUP!AD116,WORLDCUP!AC116&lt;&gt;"",WORLDCUP!AD116&lt;&gt;""),0,"PD")))</f>
        <v>2</v>
      </c>
      <c r="E179" s="25" t="str">
        <f>IF(OR(WORLDCUP!AC116="",WORLDCUP!AD116=""),"-",A179&amp;"-"&amp;B179)</f>
        <v>0-2</v>
      </c>
      <c r="F179" s="415">
        <f t="shared" si="192"/>
        <v>0</v>
      </c>
      <c r="G179" s="415">
        <f ca="1">VLOOKUP(H179,Equipos!$Q$1:$R$25,2,0)</f>
        <v>20</v>
      </c>
      <c r="H179" s="454" t="str">
        <f>Idiomas!$D$260</f>
        <v>Dieciseisavos de final</v>
      </c>
      <c r="I179" s="49">
        <v>1</v>
      </c>
      <c r="J179" s="849"/>
      <c r="K179" s="121" t="str">
        <f ca="1">CONCATENATE(WORLDCUP!AA116,"-",WORLDCUP!AF116)</f>
        <v>Portugal-Ghana</v>
      </c>
      <c r="L179" s="121">
        <f>IF(OR(WORLDCUP!AC116="",WORLDCUP!AD116=""),"PD",IF(WORLDCUP!AC116&gt;WORLDCUP!AD116,1,IF(WORLDCUP!AC116&lt;WORLDCUP!AD116,2,0)))</f>
        <v>1</v>
      </c>
      <c r="M179" s="122" t="str">
        <f t="shared" si="193"/>
        <v>2-0</v>
      </c>
      <c r="N179" s="25">
        <f>WORLDCUP!AC116</f>
        <v>2</v>
      </c>
      <c r="O179" s="25">
        <f>WORLDCUP!AD116</f>
        <v>0</v>
      </c>
      <c r="P179" s="25">
        <f t="shared" si="194"/>
        <v>2</v>
      </c>
      <c r="Q179" s="25">
        <f t="shared" si="195"/>
        <v>-2</v>
      </c>
      <c r="R179" s="116"/>
      <c r="S179" s="86"/>
      <c r="T179" s="87">
        <f t="shared" ca="1" si="196"/>
        <v>0</v>
      </c>
      <c r="U179" s="116"/>
      <c r="V179" s="86"/>
      <c r="W179" s="87">
        <f t="shared" ca="1" si="197"/>
        <v>0</v>
      </c>
      <c r="X179" s="116"/>
      <c r="Y179" s="86"/>
      <c r="Z179" s="87">
        <f t="shared" ca="1" si="197"/>
        <v>0</v>
      </c>
      <c r="AA179" s="116"/>
      <c r="AB179" s="86"/>
      <c r="AC179" s="87">
        <f t="shared" ca="1" si="197"/>
        <v>0</v>
      </c>
      <c r="AD179" s="116"/>
      <c r="AE179" s="86"/>
      <c r="AF179" s="87">
        <f t="shared" ca="1" si="197"/>
        <v>0</v>
      </c>
      <c r="AG179" s="116"/>
      <c r="AH179" s="116"/>
    </row>
    <row r="180" spans="1:34">
      <c r="A180" s="25"/>
      <c r="B180" s="25"/>
      <c r="C180" s="25"/>
      <c r="D180" s="25"/>
      <c r="E180" s="25"/>
      <c r="F180" s="415"/>
      <c r="G180" s="415"/>
      <c r="H180" s="454"/>
      <c r="I180" s="56"/>
      <c r="J180" s="100"/>
      <c r="K180" s="442" t="str">
        <f>Idiomas!D458</f>
        <v>Partidos 1/16</v>
      </c>
      <c r="L180" s="443"/>
      <c r="M180" s="442" t="str">
        <f>"Max: "&amp;SUM($D$16:$D$18)*SUM($I$164:$I$179)</f>
        <v>Max: 0</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c r="A182" s="25"/>
      <c r="B182" s="25"/>
      <c r="C182" s="25"/>
      <c r="D182" s="25"/>
      <c r="E182" s="25"/>
      <c r="F182" s="415">
        <f>$D$19</f>
        <v>0</v>
      </c>
      <c r="G182" s="415">
        <f ca="1">VLOOKUP(H182,Equipos!$Q$1:$R$25,2,0)</f>
        <v>20</v>
      </c>
      <c r="H182" s="454" t="str">
        <f>Idiomas!$D$260</f>
        <v>Dieciseisavos de final</v>
      </c>
      <c r="I182" s="56"/>
      <c r="J182" s="849" t="s">
        <v>88</v>
      </c>
      <c r="K182" s="59" t="str">
        <f>Idiomas!$D$199&amp;"-"&amp;ROWS($L$182:L182)</f>
        <v>Octavofinalista-1</v>
      </c>
      <c r="L182" s="59"/>
      <c r="M182" s="61" t="str">
        <f ca="1">WORLDCUP!AA120</f>
        <v>Corea del Sur</v>
      </c>
      <c r="N182" s="25"/>
      <c r="O182" s="25"/>
      <c r="P182" s="25"/>
      <c r="Q182" s="25"/>
      <c r="R182" s="116"/>
      <c r="S182" s="82"/>
      <c r="T182" s="83">
        <f t="shared" ref="T182:T197" ca="1" si="202">COUNTIF($M$182:$M$197,S182)*$D$19</f>
        <v>0</v>
      </c>
      <c r="U182" s="70"/>
      <c r="V182" s="82"/>
      <c r="W182" s="83">
        <f t="shared" ref="W182:W197" ca="1" si="203">COUNTIF($M$182:$M$197,V182)*$D$19</f>
        <v>0</v>
      </c>
      <c r="X182" s="70"/>
      <c r="Y182" s="82"/>
      <c r="Z182" s="83">
        <f t="shared" ref="Z182:Z197" ca="1" si="204">COUNTIF($M$182:$M$197,Y182)*$D$19</f>
        <v>0</v>
      </c>
      <c r="AA182" s="70"/>
      <c r="AB182" s="82"/>
      <c r="AC182" s="83">
        <f t="shared" ref="AC182:AC197" ca="1" si="205">COUNTIF($M$182:$M$197,AB182)*$D$19</f>
        <v>0</v>
      </c>
      <c r="AD182" s="70"/>
      <c r="AE182" s="82"/>
      <c r="AF182" s="83">
        <f t="shared" ref="AF182:AF197" ca="1" si="206">COUNTIF($M$182:$M$197,AE182)*$D$19</f>
        <v>0</v>
      </c>
      <c r="AG182" s="70"/>
      <c r="AH182" s="70"/>
    </row>
    <row r="183" spans="1:34">
      <c r="A183" s="25"/>
      <c r="B183" s="25"/>
      <c r="C183" s="25"/>
      <c r="D183" s="25"/>
      <c r="E183" s="25"/>
      <c r="F183" s="415">
        <f t="shared" ref="F183:F197" si="207">$D$19</f>
        <v>0</v>
      </c>
      <c r="G183" s="415">
        <f ca="1">VLOOKUP(H183,Equipos!$Q$1:$R$25,2,0)</f>
        <v>20</v>
      </c>
      <c r="H183" s="454" t="str">
        <f>Idiomas!$D$260</f>
        <v>Dieciseisavos de final</v>
      </c>
      <c r="I183" s="56"/>
      <c r="J183" s="849"/>
      <c r="K183" s="62" t="str">
        <f>Idiomas!$D$199&amp;"-"&amp;ROWS($L$182:L183)</f>
        <v>Octavofinalista-2</v>
      </c>
      <c r="L183" s="59"/>
      <c r="M183" s="61" t="str">
        <f ca="1">WORLDCUP!AA121</f>
        <v>Alemania</v>
      </c>
      <c r="N183" s="25"/>
      <c r="O183" s="25"/>
      <c r="P183" s="25"/>
      <c r="Q183" s="25"/>
      <c r="R183" s="116"/>
      <c r="S183" s="80"/>
      <c r="T183" s="79">
        <f t="shared" ca="1" si="202"/>
        <v>0</v>
      </c>
      <c r="U183" s="70"/>
      <c r="V183" s="80"/>
      <c r="W183" s="79">
        <f t="shared" ca="1" si="203"/>
        <v>0</v>
      </c>
      <c r="X183" s="70"/>
      <c r="Y183" s="80"/>
      <c r="Z183" s="79">
        <f t="shared" ca="1" si="204"/>
        <v>0</v>
      </c>
      <c r="AA183" s="70"/>
      <c r="AB183" s="80"/>
      <c r="AC183" s="79">
        <f t="shared" ca="1" si="205"/>
        <v>0</v>
      </c>
      <c r="AD183" s="70"/>
      <c r="AE183" s="80"/>
      <c r="AF183" s="79">
        <f t="shared" ca="1" si="206"/>
        <v>0</v>
      </c>
      <c r="AG183" s="70"/>
      <c r="AH183" s="70"/>
    </row>
    <row r="184" spans="1:34">
      <c r="A184" s="25"/>
      <c r="B184" s="25"/>
      <c r="C184" s="25"/>
      <c r="D184" s="25"/>
      <c r="E184" s="25"/>
      <c r="F184" s="415">
        <f t="shared" si="207"/>
        <v>0</v>
      </c>
      <c r="G184" s="415">
        <f ca="1">VLOOKUP(H184,Equipos!$Q$1:$R$25,2,0)</f>
        <v>20</v>
      </c>
      <c r="H184" s="454" t="str">
        <f>Idiomas!$D$260</f>
        <v>Dieciseisavos de final</v>
      </c>
      <c r="I184" s="56"/>
      <c r="J184" s="849"/>
      <c r="K184" s="62" t="str">
        <f>Idiomas!$D$199&amp;"-"&amp;ROWS($L$182:L184)</f>
        <v>Octavofinalista-3</v>
      </c>
      <c r="L184" s="59"/>
      <c r="M184" s="61" t="str">
        <f ca="1">WORLDCUP!AA122</f>
        <v>Brasil</v>
      </c>
      <c r="N184" s="25"/>
      <c r="O184" s="25"/>
      <c r="P184" s="25"/>
      <c r="Q184" s="25"/>
      <c r="R184" s="116"/>
      <c r="S184" s="80"/>
      <c r="T184" s="79">
        <f t="shared" ca="1" si="202"/>
        <v>0</v>
      </c>
      <c r="U184" s="70"/>
      <c r="V184" s="80"/>
      <c r="W184" s="79">
        <f t="shared" ca="1" si="203"/>
        <v>0</v>
      </c>
      <c r="X184" s="70"/>
      <c r="Y184" s="80"/>
      <c r="Z184" s="79">
        <f t="shared" ca="1" si="204"/>
        <v>0</v>
      </c>
      <c r="AA184" s="70"/>
      <c r="AB184" s="80"/>
      <c r="AC184" s="79">
        <f t="shared" ca="1" si="205"/>
        <v>0</v>
      </c>
      <c r="AD184" s="70"/>
      <c r="AE184" s="80"/>
      <c r="AF184" s="79">
        <f t="shared" ca="1" si="206"/>
        <v>0</v>
      </c>
      <c r="AG184" s="70"/>
      <c r="AH184" s="70"/>
    </row>
    <row r="185" spans="1:34">
      <c r="A185" s="25"/>
      <c r="B185" s="25"/>
      <c r="C185" s="25"/>
      <c r="D185" s="25"/>
      <c r="E185" s="25"/>
      <c r="F185" s="415">
        <f t="shared" si="207"/>
        <v>0</v>
      </c>
      <c r="G185" s="415">
        <f ca="1">VLOOKUP(H185,Equipos!$Q$1:$R$25,2,0)</f>
        <v>20</v>
      </c>
      <c r="H185" s="454" t="str">
        <f>Idiomas!$D$260</f>
        <v>Dieciseisavos de final</v>
      </c>
      <c r="I185" s="56"/>
      <c r="J185" s="849"/>
      <c r="K185" s="62" t="str">
        <f>Idiomas!$D$199&amp;"-"&amp;ROWS($L$182:L185)</f>
        <v>Octavofinalista-4</v>
      </c>
      <c r="L185" s="59"/>
      <c r="M185" s="61" t="str">
        <f ca="1">WORLDCUP!AA123</f>
        <v>México</v>
      </c>
      <c r="N185" s="25"/>
      <c r="O185" s="25"/>
      <c r="P185" s="25"/>
      <c r="Q185" s="25"/>
      <c r="R185" s="116"/>
      <c r="S185" s="80"/>
      <c r="T185" s="79">
        <f t="shared" ca="1" si="202"/>
        <v>0</v>
      </c>
      <c r="U185" s="70"/>
      <c r="V185" s="80"/>
      <c r="W185" s="79">
        <f t="shared" ca="1" si="203"/>
        <v>0</v>
      </c>
      <c r="X185" s="70"/>
      <c r="Y185" s="80"/>
      <c r="Z185" s="79">
        <f t="shared" ca="1" si="204"/>
        <v>0</v>
      </c>
      <c r="AA185" s="70"/>
      <c r="AB185" s="80"/>
      <c r="AC185" s="79">
        <f t="shared" ca="1" si="205"/>
        <v>0</v>
      </c>
      <c r="AD185" s="70"/>
      <c r="AE185" s="80"/>
      <c r="AF185" s="79">
        <f t="shared" ca="1" si="206"/>
        <v>0</v>
      </c>
      <c r="AG185" s="70"/>
      <c r="AH185" s="70"/>
    </row>
    <row r="186" spans="1:34">
      <c r="A186" s="25"/>
      <c r="B186" s="25"/>
      <c r="C186" s="25"/>
      <c r="D186" s="25"/>
      <c r="E186" s="25"/>
      <c r="F186" s="415">
        <f t="shared" si="207"/>
        <v>0</v>
      </c>
      <c r="G186" s="415">
        <f ca="1">VLOOKUP(H186,Equipos!$Q$1:$R$25,2,0)</f>
        <v>20</v>
      </c>
      <c r="H186" s="454" t="str">
        <f>Idiomas!$D$260</f>
        <v>Dieciseisavos de final</v>
      </c>
      <c r="I186" s="56"/>
      <c r="J186" s="849"/>
      <c r="K186" s="62" t="str">
        <f>Idiomas!$D$199&amp;"-"&amp;ROWS($L$182:L186)</f>
        <v>Octavofinalista-5</v>
      </c>
      <c r="L186" s="59"/>
      <c r="M186" s="61" t="str">
        <f ca="1">WORLDCUP!AA124</f>
        <v>Colombia</v>
      </c>
      <c r="N186" s="25"/>
      <c r="O186" s="25"/>
      <c r="P186" s="25"/>
      <c r="Q186" s="25"/>
      <c r="R186" s="116"/>
      <c r="S186" s="80"/>
      <c r="T186" s="79">
        <f t="shared" ca="1" si="202"/>
        <v>0</v>
      </c>
      <c r="U186" s="70"/>
      <c r="V186" s="80"/>
      <c r="W186" s="79">
        <f t="shared" ca="1" si="203"/>
        <v>0</v>
      </c>
      <c r="X186" s="70"/>
      <c r="Y186" s="80"/>
      <c r="Z186" s="79">
        <f t="shared" ca="1" si="204"/>
        <v>0</v>
      </c>
      <c r="AA186" s="70"/>
      <c r="AB186" s="80"/>
      <c r="AC186" s="79">
        <f t="shared" ca="1" si="205"/>
        <v>0</v>
      </c>
      <c r="AD186" s="70"/>
      <c r="AE186" s="80"/>
      <c r="AF186" s="79">
        <f t="shared" ca="1" si="206"/>
        <v>0</v>
      </c>
      <c r="AG186" s="70"/>
      <c r="AH186" s="70"/>
    </row>
    <row r="187" spans="1:34">
      <c r="A187" s="25"/>
      <c r="B187" s="25"/>
      <c r="C187" s="25"/>
      <c r="D187" s="25"/>
      <c r="E187" s="25"/>
      <c r="F187" s="415">
        <f t="shared" si="207"/>
        <v>0</v>
      </c>
      <c r="G187" s="415">
        <f ca="1">VLOOKUP(H187,Equipos!$Q$1:$R$25,2,0)</f>
        <v>20</v>
      </c>
      <c r="H187" s="454" t="str">
        <f>Idiomas!$D$260</f>
        <v>Dieciseisavos de final</v>
      </c>
      <c r="I187" s="56"/>
      <c r="J187" s="849"/>
      <c r="K187" s="62" t="str">
        <f>Idiomas!$D$199&amp;"-"&amp;ROWS($L$182:L187)</f>
        <v>Octavofinalista-6</v>
      </c>
      <c r="L187" s="59"/>
      <c r="M187" s="61" t="str">
        <f ca="1">WORLDCUP!AA125</f>
        <v>Senegal</v>
      </c>
      <c r="N187" s="25"/>
      <c r="O187" s="25"/>
      <c r="P187" s="25"/>
      <c r="Q187" s="25"/>
      <c r="R187" s="116"/>
      <c r="S187" s="80"/>
      <c r="T187" s="79">
        <f t="shared" ca="1" si="202"/>
        <v>0</v>
      </c>
      <c r="U187" s="70"/>
      <c r="V187" s="80"/>
      <c r="W187" s="79">
        <f t="shared" ca="1" si="203"/>
        <v>0</v>
      </c>
      <c r="X187" s="70"/>
      <c r="Y187" s="80"/>
      <c r="Z187" s="79">
        <f t="shared" ca="1" si="204"/>
        <v>0</v>
      </c>
      <c r="AA187" s="70"/>
      <c r="AB187" s="82"/>
      <c r="AC187" s="79">
        <f t="shared" ca="1" si="205"/>
        <v>0</v>
      </c>
      <c r="AD187" s="70"/>
      <c r="AE187" s="80"/>
      <c r="AF187" s="79">
        <f t="shared" ca="1" si="206"/>
        <v>0</v>
      </c>
      <c r="AG187" s="70"/>
      <c r="AH187" s="70"/>
    </row>
    <row r="188" spans="1:34">
      <c r="A188" s="25"/>
      <c r="B188" s="25"/>
      <c r="C188" s="25"/>
      <c r="D188" s="25"/>
      <c r="E188" s="25"/>
      <c r="F188" s="415">
        <f t="shared" si="207"/>
        <v>0</v>
      </c>
      <c r="G188" s="415">
        <f ca="1">VLOOKUP(H188,Equipos!$Q$1:$R$25,2,0)</f>
        <v>20</v>
      </c>
      <c r="H188" s="454" t="str">
        <f>Idiomas!$D$260</f>
        <v>Dieciseisavos de final</v>
      </c>
      <c r="I188" s="56"/>
      <c r="J188" s="849"/>
      <c r="K188" s="62" t="str">
        <f>Idiomas!$D$199&amp;"-"&amp;ROWS($L$182:L188)</f>
        <v>Octavofinalista-7</v>
      </c>
      <c r="L188" s="59"/>
      <c r="M188" s="61" t="str">
        <f ca="1">WORLDCUP!AA126</f>
        <v>Argentina</v>
      </c>
      <c r="N188" s="25"/>
      <c r="O188" s="25"/>
      <c r="P188" s="25"/>
      <c r="Q188" s="25"/>
      <c r="R188" s="116"/>
      <c r="S188" s="80"/>
      <c r="T188" s="79">
        <f t="shared" ca="1" si="202"/>
        <v>0</v>
      </c>
      <c r="U188" s="70"/>
      <c r="V188" s="80"/>
      <c r="W188" s="79">
        <f t="shared" ca="1" si="203"/>
        <v>0</v>
      </c>
      <c r="X188" s="70"/>
      <c r="Y188" s="80"/>
      <c r="Z188" s="79">
        <f t="shared" ca="1" si="204"/>
        <v>0</v>
      </c>
      <c r="AA188" s="70"/>
      <c r="AB188" s="80"/>
      <c r="AC188" s="79">
        <f t="shared" ca="1" si="205"/>
        <v>0</v>
      </c>
      <c r="AD188" s="70"/>
      <c r="AE188" s="80"/>
      <c r="AF188" s="79">
        <f t="shared" ca="1" si="206"/>
        <v>0</v>
      </c>
      <c r="AG188" s="70"/>
      <c r="AH188" s="70"/>
    </row>
    <row r="189" spans="1:34">
      <c r="A189" s="25"/>
      <c r="B189" s="25"/>
      <c r="C189" s="25"/>
      <c r="D189" s="25"/>
      <c r="E189" s="25"/>
      <c r="F189" s="415">
        <f t="shared" si="207"/>
        <v>0</v>
      </c>
      <c r="G189" s="415">
        <f ca="1">VLOOKUP(H189,Equipos!$Q$1:$R$25,2,0)</f>
        <v>20</v>
      </c>
      <c r="H189" s="454" t="str">
        <f>Idiomas!$D$260</f>
        <v>Dieciseisavos de final</v>
      </c>
      <c r="I189" s="56"/>
      <c r="J189" s="849"/>
      <c r="K189" s="62" t="str">
        <f>Idiomas!$D$199&amp;"-"&amp;ROWS($L$182:L189)</f>
        <v>Octavofinalista-8</v>
      </c>
      <c r="L189" s="59"/>
      <c r="M189" s="61" t="str">
        <f ca="1">WORLDCUP!AA127</f>
        <v>Suiza</v>
      </c>
      <c r="N189" s="25"/>
      <c r="O189" s="25"/>
      <c r="P189" s="25"/>
      <c r="Q189" s="25"/>
      <c r="R189" s="116"/>
      <c r="S189" s="80"/>
      <c r="T189" s="79">
        <f t="shared" ca="1" si="202"/>
        <v>0</v>
      </c>
      <c r="U189" s="70"/>
      <c r="V189" s="80"/>
      <c r="W189" s="79">
        <f t="shared" ca="1" si="203"/>
        <v>0</v>
      </c>
      <c r="X189" s="70"/>
      <c r="Y189" s="80"/>
      <c r="Z189" s="79">
        <f t="shared" ca="1" si="204"/>
        <v>0</v>
      </c>
      <c r="AA189" s="70"/>
      <c r="AB189" s="80"/>
      <c r="AC189" s="79">
        <f t="shared" ca="1" si="205"/>
        <v>0</v>
      </c>
      <c r="AD189" s="70"/>
      <c r="AE189" s="80"/>
      <c r="AF189" s="79">
        <f t="shared" ca="1" si="206"/>
        <v>0</v>
      </c>
      <c r="AG189" s="70"/>
      <c r="AH189" s="70"/>
    </row>
    <row r="190" spans="1:34">
      <c r="A190" s="25"/>
      <c r="B190" s="25"/>
      <c r="C190" s="25"/>
      <c r="D190" s="25"/>
      <c r="E190" s="25"/>
      <c r="F190" s="415">
        <f t="shared" si="207"/>
        <v>0</v>
      </c>
      <c r="G190" s="415">
        <f ca="1">VLOOKUP(H190,Equipos!$Q$1:$R$25,2,0)</f>
        <v>20</v>
      </c>
      <c r="H190" s="454" t="str">
        <f>Idiomas!$D$260</f>
        <v>Dieciseisavos de final</v>
      </c>
      <c r="I190" s="56"/>
      <c r="J190" s="849"/>
      <c r="K190" s="62" t="str">
        <f>Idiomas!$D$199&amp;"-"&amp;ROWS($L$182:L190)</f>
        <v>Octavofinalista-9</v>
      </c>
      <c r="L190" s="59"/>
      <c r="M190" s="61" t="str">
        <f ca="1">WORLDCUP!AF120</f>
        <v>Japón</v>
      </c>
      <c r="N190" s="25"/>
      <c r="O190" s="25"/>
      <c r="P190" s="25"/>
      <c r="Q190" s="25"/>
      <c r="R190" s="116"/>
      <c r="S190" s="80"/>
      <c r="T190" s="79">
        <f t="shared" ca="1" si="202"/>
        <v>0</v>
      </c>
      <c r="U190" s="70"/>
      <c r="V190" s="80"/>
      <c r="W190" s="79">
        <f t="shared" ca="1" si="203"/>
        <v>0</v>
      </c>
      <c r="X190" s="70"/>
      <c r="Y190" s="80"/>
      <c r="Z190" s="79">
        <f t="shared" ca="1" si="204"/>
        <v>0</v>
      </c>
      <c r="AA190" s="70"/>
      <c r="AB190" s="80"/>
      <c r="AC190" s="79">
        <f t="shared" ca="1" si="205"/>
        <v>0</v>
      </c>
      <c r="AD190" s="70"/>
      <c r="AE190" s="80"/>
      <c r="AF190" s="79">
        <f t="shared" ca="1" si="206"/>
        <v>0</v>
      </c>
      <c r="AG190" s="70"/>
      <c r="AH190" s="70"/>
    </row>
    <row r="191" spans="1:34">
      <c r="A191" s="25"/>
      <c r="B191" s="25"/>
      <c r="C191" s="25"/>
      <c r="D191" s="25"/>
      <c r="E191" s="25"/>
      <c r="F191" s="415">
        <f t="shared" si="207"/>
        <v>0</v>
      </c>
      <c r="G191" s="415">
        <f ca="1">VLOOKUP(H191,Equipos!$Q$1:$R$25,2,0)</f>
        <v>20</v>
      </c>
      <c r="H191" s="454" t="str">
        <f>Idiomas!$D$260</f>
        <v>Dieciseisavos de final</v>
      </c>
      <c r="I191" s="56"/>
      <c r="J191" s="849"/>
      <c r="K191" s="62" t="str">
        <f>Idiomas!$D$199&amp;"-"&amp;ROWS($L$182:L191)</f>
        <v>Octavofinalista-10</v>
      </c>
      <c r="L191" s="59"/>
      <c r="M191" s="61" t="str">
        <f ca="1">WORLDCUP!AF121</f>
        <v>Francia</v>
      </c>
      <c r="N191" s="25"/>
      <c r="O191" s="25"/>
      <c r="P191" s="25"/>
      <c r="Q191" s="25"/>
      <c r="R191" s="116"/>
      <c r="S191" s="80"/>
      <c r="T191" s="79">
        <f t="shared" ca="1" si="202"/>
        <v>0</v>
      </c>
      <c r="U191" s="70"/>
      <c r="V191" s="80"/>
      <c r="W191" s="79">
        <f t="shared" ca="1" si="203"/>
        <v>0</v>
      </c>
      <c r="X191" s="70"/>
      <c r="Y191" s="80"/>
      <c r="Z191" s="79">
        <f t="shared" ca="1" si="204"/>
        <v>0</v>
      </c>
      <c r="AA191" s="70"/>
      <c r="AB191" s="80"/>
      <c r="AC191" s="79">
        <f t="shared" ca="1" si="205"/>
        <v>0</v>
      </c>
      <c r="AD191" s="70"/>
      <c r="AE191" s="80"/>
      <c r="AF191" s="79">
        <f t="shared" ca="1" si="206"/>
        <v>0</v>
      </c>
      <c r="AG191" s="70"/>
      <c r="AH191" s="70"/>
    </row>
    <row r="192" spans="1:34">
      <c r="A192" s="25"/>
      <c r="B192" s="25"/>
      <c r="C192" s="25"/>
      <c r="D192" s="25"/>
      <c r="E192" s="25"/>
      <c r="F192" s="415">
        <f t="shared" si="207"/>
        <v>0</v>
      </c>
      <c r="G192" s="415">
        <f ca="1">VLOOKUP(H192,Equipos!$Q$1:$R$25,2,0)</f>
        <v>20</v>
      </c>
      <c r="H192" s="454" t="str">
        <f>Idiomas!$D$260</f>
        <v>Dieciseisavos de final</v>
      </c>
      <c r="I192" s="56"/>
      <c r="J192" s="849"/>
      <c r="K192" s="62" t="str">
        <f>Idiomas!$D$199&amp;"-"&amp;ROWS($L$182:L192)</f>
        <v>Octavofinalista-11</v>
      </c>
      <c r="L192" s="59"/>
      <c r="M192" s="61" t="str">
        <f ca="1">WORLDCUP!AF122</f>
        <v>Noruega</v>
      </c>
      <c r="N192" s="25"/>
      <c r="O192" s="25"/>
      <c r="P192" s="25"/>
      <c r="Q192" s="25"/>
      <c r="R192" s="116"/>
      <c r="S192" s="80"/>
      <c r="T192" s="79">
        <f t="shared" ca="1" si="202"/>
        <v>0</v>
      </c>
      <c r="U192" s="70"/>
      <c r="V192" s="80"/>
      <c r="W192" s="79">
        <f t="shared" ca="1" si="203"/>
        <v>0</v>
      </c>
      <c r="X192" s="70"/>
      <c r="Y192" s="80"/>
      <c r="Z192" s="79">
        <f t="shared" ca="1" si="204"/>
        <v>0</v>
      </c>
      <c r="AA192" s="70"/>
      <c r="AB192" s="80"/>
      <c r="AC192" s="79">
        <f t="shared" ca="1" si="205"/>
        <v>0</v>
      </c>
      <c r="AD192" s="70"/>
      <c r="AE192" s="80"/>
      <c r="AF192" s="79">
        <f t="shared" ca="1" si="206"/>
        <v>0</v>
      </c>
      <c r="AG192" s="70"/>
      <c r="AH192" s="70"/>
    </row>
    <row r="193" spans="1:34">
      <c r="A193" s="25"/>
      <c r="B193" s="25"/>
      <c r="C193" s="25"/>
      <c r="D193" s="25"/>
      <c r="E193" s="25"/>
      <c r="F193" s="415">
        <f t="shared" si="207"/>
        <v>0</v>
      </c>
      <c r="G193" s="415">
        <f ca="1">VLOOKUP(H193,Equipos!$Q$1:$R$25,2,0)</f>
        <v>20</v>
      </c>
      <c r="H193" s="454" t="str">
        <f>Idiomas!$D$260</f>
        <v>Dieciseisavos de final</v>
      </c>
      <c r="I193" s="56"/>
      <c r="J193" s="849"/>
      <c r="K193" s="62" t="str">
        <f>Idiomas!$D$199&amp;"-"&amp;ROWS($L$182:L193)</f>
        <v>Octavofinalista-12</v>
      </c>
      <c r="L193" s="59"/>
      <c r="M193" s="61" t="str">
        <f ca="1">WORLDCUP!AF123</f>
        <v>Inglaterra</v>
      </c>
      <c r="N193" s="25"/>
      <c r="O193" s="25"/>
      <c r="P193" s="25"/>
      <c r="Q193" s="25"/>
      <c r="R193" s="116"/>
      <c r="S193" s="80"/>
      <c r="T193" s="79">
        <f t="shared" ca="1" si="202"/>
        <v>0</v>
      </c>
      <c r="U193" s="70"/>
      <c r="V193" s="80"/>
      <c r="W193" s="79">
        <f t="shared" ca="1" si="203"/>
        <v>0</v>
      </c>
      <c r="X193" s="70"/>
      <c r="Y193" s="80"/>
      <c r="Z193" s="79">
        <f t="shared" ca="1" si="204"/>
        <v>0</v>
      </c>
      <c r="AA193" s="70"/>
      <c r="AB193" s="80"/>
      <c r="AC193" s="79">
        <f t="shared" ca="1" si="205"/>
        <v>0</v>
      </c>
      <c r="AD193" s="70"/>
      <c r="AE193" s="80"/>
      <c r="AF193" s="79">
        <f t="shared" ca="1" si="206"/>
        <v>0</v>
      </c>
      <c r="AG193" s="70"/>
      <c r="AH193" s="70"/>
    </row>
    <row r="194" spans="1:34">
      <c r="A194" s="25"/>
      <c r="B194" s="25"/>
      <c r="C194" s="25"/>
      <c r="D194" s="25"/>
      <c r="E194" s="25"/>
      <c r="F194" s="415">
        <f t="shared" si="207"/>
        <v>0</v>
      </c>
      <c r="G194" s="415">
        <f ca="1">VLOOKUP(H194,Equipos!$Q$1:$R$25,2,0)</f>
        <v>20</v>
      </c>
      <c r="H194" s="454" t="str">
        <f>Idiomas!$D$260</f>
        <v>Dieciseisavos de final</v>
      </c>
      <c r="I194" s="56"/>
      <c r="J194" s="849"/>
      <c r="K194" s="62" t="str">
        <f>Idiomas!$D$199&amp;"-"&amp;ROWS($L$182:L194)</f>
        <v>Octavofinalista-13</v>
      </c>
      <c r="L194" s="59"/>
      <c r="M194" s="61" t="str">
        <f ca="1">WORLDCUP!AF124</f>
        <v>España</v>
      </c>
      <c r="N194" s="25"/>
      <c r="O194" s="25"/>
      <c r="P194" s="25"/>
      <c r="Q194" s="25"/>
      <c r="R194" s="116"/>
      <c r="S194" s="80"/>
      <c r="T194" s="79">
        <f t="shared" ca="1" si="202"/>
        <v>0</v>
      </c>
      <c r="U194" s="70"/>
      <c r="V194" s="80"/>
      <c r="W194" s="79">
        <f t="shared" ca="1" si="203"/>
        <v>0</v>
      </c>
      <c r="X194" s="70"/>
      <c r="Y194" s="80"/>
      <c r="Z194" s="79">
        <f t="shared" ca="1" si="204"/>
        <v>0</v>
      </c>
      <c r="AA194" s="70"/>
      <c r="AB194" s="80"/>
      <c r="AC194" s="79">
        <f t="shared" ca="1" si="205"/>
        <v>0</v>
      </c>
      <c r="AD194" s="70"/>
      <c r="AE194" s="80"/>
      <c r="AF194" s="79">
        <f t="shared" ca="1" si="206"/>
        <v>0</v>
      </c>
      <c r="AG194" s="70"/>
      <c r="AH194" s="70"/>
    </row>
    <row r="195" spans="1:34">
      <c r="A195" s="25"/>
      <c r="B195" s="25"/>
      <c r="C195" s="25"/>
      <c r="D195" s="25"/>
      <c r="E195" s="25"/>
      <c r="F195" s="415">
        <f t="shared" si="207"/>
        <v>0</v>
      </c>
      <c r="G195" s="415">
        <f ca="1">VLOOKUP(H195,Equipos!$Q$1:$R$25,2,0)</f>
        <v>20</v>
      </c>
      <c r="H195" s="454" t="str">
        <f>Idiomas!$D$260</f>
        <v>Dieciseisavos de final</v>
      </c>
      <c r="I195" s="56"/>
      <c r="J195" s="849"/>
      <c r="K195" s="62" t="str">
        <f>Idiomas!$D$199&amp;"-"&amp;ROWS($L$182:L195)</f>
        <v>Octavofinalista-14</v>
      </c>
      <c r="L195" s="59"/>
      <c r="M195" s="61" t="str">
        <f ca="1">WORLDCUP!AF125</f>
        <v>Bélgica</v>
      </c>
      <c r="N195" s="25"/>
      <c r="O195" s="25"/>
      <c r="P195" s="25"/>
      <c r="Q195" s="25"/>
      <c r="R195" s="116"/>
      <c r="S195" s="80"/>
      <c r="T195" s="79">
        <f t="shared" ca="1" si="202"/>
        <v>0</v>
      </c>
      <c r="U195" s="70"/>
      <c r="V195" s="80"/>
      <c r="W195" s="79">
        <f t="shared" ca="1" si="203"/>
        <v>0</v>
      </c>
      <c r="X195" s="70"/>
      <c r="Y195" s="80"/>
      <c r="Z195" s="79">
        <f t="shared" ca="1" si="204"/>
        <v>0</v>
      </c>
      <c r="AA195" s="70"/>
      <c r="AB195" s="80"/>
      <c r="AC195" s="79">
        <f t="shared" ca="1" si="205"/>
        <v>0</v>
      </c>
      <c r="AD195" s="70"/>
      <c r="AE195" s="80"/>
      <c r="AF195" s="79">
        <f t="shared" ca="1" si="206"/>
        <v>0</v>
      </c>
      <c r="AG195" s="70"/>
      <c r="AH195" s="70"/>
    </row>
    <row r="196" spans="1:34">
      <c r="A196" s="25"/>
      <c r="B196" s="25"/>
      <c r="C196" s="25"/>
      <c r="D196" s="25"/>
      <c r="E196" s="25"/>
      <c r="F196" s="415">
        <f t="shared" si="207"/>
        <v>0</v>
      </c>
      <c r="G196" s="415">
        <f ca="1">VLOOKUP(H196,Equipos!$Q$1:$R$25,2,0)</f>
        <v>20</v>
      </c>
      <c r="H196" s="454" t="str">
        <f>Idiomas!$D$260</f>
        <v>Dieciseisavos de final</v>
      </c>
      <c r="I196" s="56"/>
      <c r="J196" s="849"/>
      <c r="K196" s="62" t="str">
        <f>Idiomas!$D$199&amp;"-"&amp;ROWS($L$182:L196)</f>
        <v>Octavofinalista-15</v>
      </c>
      <c r="L196" s="59"/>
      <c r="M196" s="61" t="str">
        <f ca="1">WORLDCUP!AF126</f>
        <v>Estados Unidos</v>
      </c>
      <c r="N196" s="25"/>
      <c r="O196" s="25"/>
      <c r="P196" s="25"/>
      <c r="Q196" s="25"/>
      <c r="R196" s="116"/>
      <c r="S196" s="80"/>
      <c r="T196" s="79">
        <f t="shared" ca="1" si="202"/>
        <v>0</v>
      </c>
      <c r="U196" s="70"/>
      <c r="V196" s="80"/>
      <c r="W196" s="79">
        <f t="shared" ca="1" si="203"/>
        <v>0</v>
      </c>
      <c r="X196" s="70"/>
      <c r="Y196" s="80"/>
      <c r="Z196" s="79">
        <f t="shared" ca="1" si="204"/>
        <v>0</v>
      </c>
      <c r="AA196" s="70"/>
      <c r="AB196" s="80"/>
      <c r="AC196" s="79">
        <f t="shared" ca="1" si="205"/>
        <v>0</v>
      </c>
      <c r="AD196" s="70"/>
      <c r="AE196" s="80"/>
      <c r="AF196" s="79">
        <f t="shared" ca="1" si="206"/>
        <v>0</v>
      </c>
      <c r="AG196" s="70"/>
      <c r="AH196" s="70"/>
    </row>
    <row r="197" spans="1:34">
      <c r="A197" s="25"/>
      <c r="B197" s="25"/>
      <c r="C197" s="25"/>
      <c r="D197" s="25"/>
      <c r="E197" s="25"/>
      <c r="F197" s="415">
        <f t="shared" si="207"/>
        <v>0</v>
      </c>
      <c r="G197" s="415">
        <f ca="1">VLOOKUP(H197,Equipos!$Q$1:$R$25,2,0)</f>
        <v>20</v>
      </c>
      <c r="H197" s="454" t="str">
        <f>Idiomas!$D$260</f>
        <v>Dieciseisavos de final</v>
      </c>
      <c r="I197" s="56"/>
      <c r="J197" s="849"/>
      <c r="K197" s="121" t="str">
        <f>Idiomas!$D$199&amp;"-"&amp;ROWS($L$182:L197)</f>
        <v>Octavofinalista-16</v>
      </c>
      <c r="L197" s="121"/>
      <c r="M197" s="122" t="str">
        <f ca="1">WORLDCUP!AF127</f>
        <v>Portugal</v>
      </c>
      <c r="N197" s="25"/>
      <c r="O197" s="25"/>
      <c r="P197" s="25"/>
      <c r="Q197" s="25"/>
      <c r="R197" s="116"/>
      <c r="S197" s="86"/>
      <c r="T197" s="87">
        <f t="shared" ca="1" si="202"/>
        <v>0</v>
      </c>
      <c r="U197" s="70"/>
      <c r="V197" s="86"/>
      <c r="W197" s="87">
        <f t="shared" ca="1" si="203"/>
        <v>0</v>
      </c>
      <c r="X197" s="70"/>
      <c r="Y197" s="86"/>
      <c r="Z197" s="87">
        <f t="shared" ca="1" si="204"/>
        <v>0</v>
      </c>
      <c r="AA197" s="70"/>
      <c r="AB197" s="86"/>
      <c r="AC197" s="87">
        <f t="shared" ca="1" si="205"/>
        <v>0</v>
      </c>
      <c r="AD197" s="70"/>
      <c r="AE197" s="86"/>
      <c r="AF197" s="87">
        <f t="shared" ca="1" si="206"/>
        <v>0</v>
      </c>
      <c r="AG197" s="70"/>
      <c r="AH197" s="70"/>
    </row>
    <row r="198" spans="1:34">
      <c r="A198" s="25"/>
      <c r="B198" s="25"/>
      <c r="C198" s="25"/>
      <c r="D198" s="25"/>
      <c r="E198" s="25"/>
      <c r="F198" s="415"/>
      <c r="G198" s="415"/>
      <c r="H198" s="71"/>
      <c r="I198" s="56"/>
      <c r="J198" s="100"/>
      <c r="K198" s="442" t="str">
        <f>Idiomas!D459</f>
        <v>Equipos 1/8</v>
      </c>
      <c r="L198" s="443"/>
      <c r="M198" s="442" t="str">
        <f ca="1">"Max: "&amp;$D$19*COUNT(T182:T197)</f>
        <v>Max: 0</v>
      </c>
      <c r="N198" s="25"/>
      <c r="O198" s="25"/>
      <c r="P198" s="25"/>
      <c r="Q198" s="25"/>
      <c r="R198" s="55"/>
      <c r="S198" s="90"/>
      <c r="T198" s="77">
        <f ca="1">SUM(T182:T197)</f>
        <v>0</v>
      </c>
      <c r="U198" s="71"/>
      <c r="V198" s="90"/>
      <c r="W198" s="77">
        <f t="shared" ref="W198" ca="1" si="208">SUM(W182:W197)</f>
        <v>0</v>
      </c>
      <c r="X198" s="71"/>
      <c r="Y198" s="90"/>
      <c r="Z198" s="77">
        <f t="shared" ref="Z198" ca="1" si="209">SUM(Z182:Z197)</f>
        <v>0</v>
      </c>
      <c r="AA198" s="71"/>
      <c r="AB198" s="90"/>
      <c r="AC198" s="77">
        <f t="shared" ref="AC198" ca="1" si="210">SUM(AC182:AC197)</f>
        <v>0</v>
      </c>
      <c r="AD198" s="71"/>
      <c r="AE198" s="90"/>
      <c r="AF198" s="77">
        <f t="shared" ref="AF198" ca="1" si="211">SUM(AF182:AF197)</f>
        <v>0</v>
      </c>
      <c r="AG198" s="71"/>
      <c r="AH198" s="71"/>
    </row>
    <row r="199" spans="1:34">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c r="A200" s="25">
        <f>WORLDCUP!AD120</f>
        <v>1</v>
      </c>
      <c r="B200" s="25">
        <f>WORLDCUP!AC120</f>
        <v>1</v>
      </c>
      <c r="C200" s="25" t="str">
        <f ca="1">CONCATENATE(WORLDCUP!AF120,"-",WORLDCUP!AA120)</f>
        <v>Japón-Corea del Sur</v>
      </c>
      <c r="D200" s="25">
        <f>IF(WORLDCUP!AC120&gt;WORLDCUP!AD120,2,IF(WORLDCUP!AC120&lt;WORLDCUP!AD120,1,IF(AND(WORLDCUP!AC120=WORLDCUP!AD120,WORLDCUP!AC120&lt;&gt;"",WORLDCUP!AD120&lt;&gt;""),0,"PD")))</f>
        <v>0</v>
      </c>
      <c r="E200" s="25" t="str">
        <f>IF(OR(WORLDCUP!AD120="",WORLDCUP!AC120=""),"-",A200&amp;"-"&amp;B200)</f>
        <v>1-1</v>
      </c>
      <c r="F200" s="415">
        <f>SUM($D$20:$D$22)*I200</f>
        <v>0</v>
      </c>
      <c r="G200" s="415">
        <f ca="1">VLOOKUP(H200,Equipos!$Q$1:$R$25,2,0)</f>
        <v>21</v>
      </c>
      <c r="H200" s="71" t="str">
        <f>Idiomas!$D$261</f>
        <v>Octavos de final</v>
      </c>
      <c r="I200" s="49">
        <v>1</v>
      </c>
      <c r="J200" s="849" t="s">
        <v>88</v>
      </c>
      <c r="K200" s="59" t="str">
        <f ca="1">CONCATENATE(WORLDCUP!AA120,"-",WORLDCUP!AF120)</f>
        <v>Corea del Sur-Japón</v>
      </c>
      <c r="L200" s="59">
        <f>IF(OR(WORLDCUP!AC120="",WORLDCUP!AD120=""),"PD",IF(WORLDCUP!AC120&gt;WORLDCUP!AD120,1,IF(WORLDCUP!AC120&lt;WORLDCUP!AD120,2,0)))</f>
        <v>0</v>
      </c>
      <c r="M200" s="61" t="str">
        <f t="shared" ref="M200:M207" si="212">IF(L200="PD","-",N200&amp;"-"&amp;O200)</f>
        <v>1-1</v>
      </c>
      <c r="N200" s="25">
        <f>WORLDCUP!AC120</f>
        <v>1</v>
      </c>
      <c r="O200" s="25">
        <f>WORLDCUP!AD120</f>
        <v>1</v>
      </c>
      <c r="P200" s="25">
        <f t="shared" ref="P200:P207" si="213">+N200-O200</f>
        <v>0</v>
      </c>
      <c r="Q200" s="25">
        <f t="shared" ref="Q200:Q207" si="214">+A200-B200</f>
        <v>0</v>
      </c>
      <c r="R200" s="116"/>
      <c r="S200" s="72" t="str">
        <f>Idiomas!$D$368</f>
        <v>Pegar Valores Octavos</v>
      </c>
      <c r="T200" s="91">
        <f ca="1">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s="72" t="str">
        <f>Idiomas!$D$368</f>
        <v>Pegar Valores Octavos</v>
      </c>
      <c r="W200" s="91">
        <f t="shared" ref="W200:AF207" ca="1"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s="72" t="str">
        <f>Idiomas!$D$368</f>
        <v>Pegar Valores Octavos</v>
      </c>
      <c r="Z200" s="91">
        <f t="shared" ref="Z200" ca="1"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s="72" t="str">
        <f>Idiomas!$D$368</f>
        <v>Pegar Valores Octavos</v>
      </c>
      <c r="AC200" s="91">
        <f t="shared" ref="AC200" ca="1"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s="72" t="str">
        <f>Idiomas!$D$368</f>
        <v>Pegar Valores Octavos</v>
      </c>
      <c r="AF200" s="91">
        <f t="shared" ref="AF200" ca="1"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c r="A201" s="25">
        <f>WORLDCUP!AD121</f>
        <v>3</v>
      </c>
      <c r="B201" s="25">
        <f>WORLDCUP!AC121</f>
        <v>2</v>
      </c>
      <c r="C201" s="25" t="str">
        <f ca="1">CONCATENATE(WORLDCUP!AF121,"-",WORLDCUP!AA121)</f>
        <v>Francia-Alemania</v>
      </c>
      <c r="D201" s="25">
        <f>IF(WORLDCUP!AC121&gt;WORLDCUP!AD121,2,IF(WORLDCUP!AC121&lt;WORLDCUP!AD121,1,IF(AND(WORLDCUP!AC121=WORLDCUP!AD121,WORLDCUP!AC121&lt;&gt;"",WORLDCUP!AD121&lt;&gt;""),0,"PD")))</f>
        <v>1</v>
      </c>
      <c r="E201" s="25" t="str">
        <f>IF(OR(WORLDCUP!AD121="",WORLDCUP!AC121=""),"-",A201&amp;"-"&amp;B201)</f>
        <v>3-2</v>
      </c>
      <c r="F201" s="415">
        <f t="shared" ref="F201:F207" si="219">SUM($D$20:$D$22)*I201</f>
        <v>0</v>
      </c>
      <c r="G201" s="415">
        <f ca="1">VLOOKUP(H201,Equipos!$Q$1:$R$25,2,0)</f>
        <v>21</v>
      </c>
      <c r="H201" s="71" t="str">
        <f>Idiomas!$D$261</f>
        <v>Octavos de final</v>
      </c>
      <c r="I201" s="49">
        <v>1</v>
      </c>
      <c r="J201" s="849"/>
      <c r="K201" s="62" t="str">
        <f ca="1">CONCATENATE(WORLDCUP!AA121,"-",WORLDCUP!AF121)</f>
        <v>Alemania-Francia</v>
      </c>
      <c r="L201" s="59">
        <f>IF(OR(WORLDCUP!AC121="",WORLDCUP!AD121=""),"PD",IF(WORLDCUP!AC121&gt;WORLDCUP!AD121,1,IF(WORLDCUP!AC121&lt;WORLDCUP!AD121,2,0)))</f>
        <v>2</v>
      </c>
      <c r="M201" s="61" t="str">
        <f t="shared" si="212"/>
        <v>2-3</v>
      </c>
      <c r="N201" s="25">
        <f>WORLDCUP!AC121</f>
        <v>2</v>
      </c>
      <c r="O201" s="25">
        <f>WORLDCUP!AD121</f>
        <v>3</v>
      </c>
      <c r="P201" s="25">
        <f t="shared" si="213"/>
        <v>-1</v>
      </c>
      <c r="Q201" s="25">
        <f t="shared" si="214"/>
        <v>1</v>
      </c>
      <c r="R201" s="116"/>
      <c r="S201" s="80"/>
      <c r="T201" s="79">
        <f t="shared" ref="T201:T207" ca="1"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s="86"/>
      <c r="W201" s="79">
        <f t="shared" ca="1" si="215"/>
        <v>0</v>
      </c>
      <c r="X201" s="116"/>
      <c r="Y201" s="86"/>
      <c r="Z201" s="79">
        <f t="shared" ca="1" si="215"/>
        <v>0</v>
      </c>
      <c r="AA201" s="116"/>
      <c r="AB201" s="86"/>
      <c r="AC201" s="79">
        <f t="shared" ca="1" si="215"/>
        <v>0</v>
      </c>
      <c r="AD201" s="116"/>
      <c r="AE201" s="86"/>
      <c r="AF201" s="79">
        <f t="shared" ca="1" si="215"/>
        <v>0</v>
      </c>
      <c r="AG201" s="116"/>
      <c r="AH201" s="116"/>
    </row>
    <row r="202" spans="1:34">
      <c r="A202" s="25">
        <f>WORLDCUP!AD122</f>
        <v>3</v>
      </c>
      <c r="B202" s="25">
        <f>WORLDCUP!AC122</f>
        <v>4</v>
      </c>
      <c r="C202" s="25" t="str">
        <f ca="1">CONCATENATE(WORLDCUP!AF122,"-",WORLDCUP!AA122)</f>
        <v>Noruega-Brasil</v>
      </c>
      <c r="D202" s="25">
        <f>IF(WORLDCUP!AC122&gt;WORLDCUP!AD122,2,IF(WORLDCUP!AC122&lt;WORLDCUP!AD122,1,IF(AND(WORLDCUP!AC122=WORLDCUP!AD122,WORLDCUP!AC122&lt;&gt;"",WORLDCUP!AD122&lt;&gt;""),0,"PD")))</f>
        <v>2</v>
      </c>
      <c r="E202" s="25" t="str">
        <f>IF(OR(WORLDCUP!AD122="",WORLDCUP!AC122=""),"-",A202&amp;"-"&amp;B202)</f>
        <v>3-4</v>
      </c>
      <c r="F202" s="415">
        <f t="shared" si="219"/>
        <v>0</v>
      </c>
      <c r="G202" s="415">
        <f ca="1">VLOOKUP(H202,Equipos!$Q$1:$R$25,2,0)</f>
        <v>21</v>
      </c>
      <c r="H202" s="71" t="str">
        <f>Idiomas!$D$261</f>
        <v>Octavos de final</v>
      </c>
      <c r="I202" s="49">
        <v>1</v>
      </c>
      <c r="J202" s="849"/>
      <c r="K202" s="62" t="str">
        <f ca="1">CONCATENATE(WORLDCUP!AA122,"-",WORLDCUP!AF122)</f>
        <v>Brasil-Noruega</v>
      </c>
      <c r="L202" s="59">
        <f>IF(OR(WORLDCUP!AC122="",WORLDCUP!AD122=""),"PD",IF(WORLDCUP!AC122&gt;WORLDCUP!AD122,1,IF(WORLDCUP!AC122&lt;WORLDCUP!AD122,2,0)))</f>
        <v>1</v>
      </c>
      <c r="M202" s="61" t="str">
        <f t="shared" si="212"/>
        <v>4-3</v>
      </c>
      <c r="N202" s="25">
        <f>WORLDCUP!AC122</f>
        <v>4</v>
      </c>
      <c r="O202" s="25">
        <f>WORLDCUP!AD122</f>
        <v>3</v>
      </c>
      <c r="P202" s="25">
        <f t="shared" si="213"/>
        <v>1</v>
      </c>
      <c r="Q202" s="25">
        <f t="shared" si="214"/>
        <v>-1</v>
      </c>
      <c r="R202" s="116"/>
      <c r="S202" s="80"/>
      <c r="T202" s="79">
        <f t="shared" ca="1" si="220"/>
        <v>0</v>
      </c>
      <c r="U202" s="116"/>
      <c r="V202" s="80"/>
      <c r="W202" s="79">
        <f t="shared" ca="1" si="215"/>
        <v>0</v>
      </c>
      <c r="X202" s="116"/>
      <c r="Y202" s="86"/>
      <c r="Z202" s="79">
        <f t="shared" ca="1" si="215"/>
        <v>0</v>
      </c>
      <c r="AA202" s="116"/>
      <c r="AB202" s="86"/>
      <c r="AC202" s="79">
        <f t="shared" ca="1" si="215"/>
        <v>0</v>
      </c>
      <c r="AD202" s="116"/>
      <c r="AE202" s="86"/>
      <c r="AF202" s="79">
        <f t="shared" ca="1" si="215"/>
        <v>0</v>
      </c>
      <c r="AG202" s="116"/>
      <c r="AH202" s="116"/>
    </row>
    <row r="203" spans="1:34">
      <c r="A203" s="25">
        <f>WORLDCUP!AD123</f>
        <v>2</v>
      </c>
      <c r="B203" s="25">
        <f>WORLDCUP!AC123</f>
        <v>1</v>
      </c>
      <c r="C203" s="25" t="str">
        <f ca="1">CONCATENATE(WORLDCUP!AF123,"-",WORLDCUP!AA123)</f>
        <v>Inglaterra-México</v>
      </c>
      <c r="D203" s="25">
        <f>IF(WORLDCUP!AC123&gt;WORLDCUP!AD123,2,IF(WORLDCUP!AC123&lt;WORLDCUP!AD123,1,IF(AND(WORLDCUP!AC123=WORLDCUP!AD123,WORLDCUP!AC123&lt;&gt;"",WORLDCUP!AD123&lt;&gt;""),0,"PD")))</f>
        <v>1</v>
      </c>
      <c r="E203" s="25" t="str">
        <f>IF(OR(WORLDCUP!AD123="",WORLDCUP!AC123=""),"-",A203&amp;"-"&amp;B203)</f>
        <v>2-1</v>
      </c>
      <c r="F203" s="415">
        <f t="shared" si="219"/>
        <v>0</v>
      </c>
      <c r="G203" s="415">
        <f ca="1">VLOOKUP(H203,Equipos!$Q$1:$R$25,2,0)</f>
        <v>21</v>
      </c>
      <c r="H203" s="71" t="str">
        <f>Idiomas!$D$261</f>
        <v>Octavos de final</v>
      </c>
      <c r="I203" s="49">
        <v>1</v>
      </c>
      <c r="J203" s="849"/>
      <c r="K203" s="62" t="str">
        <f ca="1">CONCATENATE(WORLDCUP!AA123,"-",WORLDCUP!AF123)</f>
        <v>México-Inglaterra</v>
      </c>
      <c r="L203" s="59">
        <f>IF(OR(WORLDCUP!AC123="",WORLDCUP!AD123=""),"PD",IF(WORLDCUP!AC123&gt;WORLDCUP!AD123,1,IF(WORLDCUP!AC123&lt;WORLDCUP!AD123,2,0)))</f>
        <v>2</v>
      </c>
      <c r="M203" s="61" t="str">
        <f t="shared" si="212"/>
        <v>1-2</v>
      </c>
      <c r="N203" s="25">
        <f>WORLDCUP!AC123</f>
        <v>1</v>
      </c>
      <c r="O203" s="25">
        <f>WORLDCUP!AD123</f>
        <v>2</v>
      </c>
      <c r="P203" s="25">
        <f t="shared" si="213"/>
        <v>-1</v>
      </c>
      <c r="Q203" s="25">
        <f t="shared" si="214"/>
        <v>1</v>
      </c>
      <c r="R203" s="116"/>
      <c r="S203" s="80"/>
      <c r="T203" s="79">
        <f t="shared" ca="1" si="220"/>
        <v>0</v>
      </c>
      <c r="U203" s="116"/>
      <c r="V203" s="80"/>
      <c r="W203" s="79">
        <f t="shared" ca="1" si="215"/>
        <v>0</v>
      </c>
      <c r="X203" s="116"/>
      <c r="Y203" s="86"/>
      <c r="Z203" s="79">
        <f t="shared" ca="1" si="215"/>
        <v>0</v>
      </c>
      <c r="AA203" s="116"/>
      <c r="AB203" s="86"/>
      <c r="AC203" s="79">
        <f t="shared" ca="1" si="215"/>
        <v>0</v>
      </c>
      <c r="AD203" s="116"/>
      <c r="AE203" s="86"/>
      <c r="AF203" s="79">
        <f t="shared" ca="1" si="215"/>
        <v>0</v>
      </c>
      <c r="AG203" s="116"/>
      <c r="AH203" s="116"/>
    </row>
    <row r="204" spans="1:34">
      <c r="A204" s="25">
        <f>WORLDCUP!AD124</f>
        <v>3</v>
      </c>
      <c r="B204" s="25">
        <f>WORLDCUP!AC124</f>
        <v>2</v>
      </c>
      <c r="C204" s="25" t="str">
        <f ca="1">CONCATENATE(WORLDCUP!AF124,"-",WORLDCUP!AA124)</f>
        <v>España-Colombia</v>
      </c>
      <c r="D204" s="25">
        <f>IF(WORLDCUP!AC124&gt;WORLDCUP!AD124,2,IF(WORLDCUP!AC124&lt;WORLDCUP!AD124,1,IF(AND(WORLDCUP!AC124=WORLDCUP!AD124,WORLDCUP!AC124&lt;&gt;"",WORLDCUP!AD124&lt;&gt;""),0,"PD")))</f>
        <v>1</v>
      </c>
      <c r="E204" s="25" t="str">
        <f>IF(OR(WORLDCUP!AD124="",WORLDCUP!AC124=""),"-",A204&amp;"-"&amp;B204)</f>
        <v>3-2</v>
      </c>
      <c r="F204" s="415">
        <f t="shared" si="219"/>
        <v>0</v>
      </c>
      <c r="G204" s="415">
        <f ca="1">VLOOKUP(H204,Equipos!$Q$1:$R$25,2,0)</f>
        <v>21</v>
      </c>
      <c r="H204" s="71" t="str">
        <f>Idiomas!$D$261</f>
        <v>Octavos de final</v>
      </c>
      <c r="I204" s="49">
        <v>1</v>
      </c>
      <c r="J204" s="849"/>
      <c r="K204" s="62" t="str">
        <f ca="1">CONCATENATE(WORLDCUP!AA124,"-",WORLDCUP!AF124)</f>
        <v>Colombia-España</v>
      </c>
      <c r="L204" s="59">
        <f>IF(OR(WORLDCUP!AC124="",WORLDCUP!AD124=""),"PD",IF(WORLDCUP!AC124&gt;WORLDCUP!AD124,1,IF(WORLDCUP!AC124&lt;WORLDCUP!AD124,2,0)))</f>
        <v>2</v>
      </c>
      <c r="M204" s="61" t="str">
        <f t="shared" si="212"/>
        <v>2-3</v>
      </c>
      <c r="N204" s="25">
        <f>WORLDCUP!AC124</f>
        <v>2</v>
      </c>
      <c r="O204" s="25">
        <f>WORLDCUP!AD124</f>
        <v>3</v>
      </c>
      <c r="P204" s="25">
        <f t="shared" si="213"/>
        <v>-1</v>
      </c>
      <c r="Q204" s="25">
        <f t="shared" si="214"/>
        <v>1</v>
      </c>
      <c r="R204" s="116"/>
      <c r="S204" s="80"/>
      <c r="T204" s="79">
        <f t="shared" ca="1" si="220"/>
        <v>0</v>
      </c>
      <c r="U204" s="116"/>
      <c r="V204" s="80"/>
      <c r="W204" s="79">
        <f t="shared" ca="1" si="215"/>
        <v>0</v>
      </c>
      <c r="X204" s="116"/>
      <c r="Y204" s="86"/>
      <c r="Z204" s="79">
        <f t="shared" ca="1" si="215"/>
        <v>0</v>
      </c>
      <c r="AA204" s="116"/>
      <c r="AB204" s="86"/>
      <c r="AC204" s="79">
        <f t="shared" ca="1" si="215"/>
        <v>0</v>
      </c>
      <c r="AD204" s="116"/>
      <c r="AE204" s="86"/>
      <c r="AF204" s="79">
        <f t="shared" ca="1" si="215"/>
        <v>0</v>
      </c>
      <c r="AG204" s="116"/>
      <c r="AH204" s="116"/>
    </row>
    <row r="205" spans="1:34">
      <c r="A205" s="25">
        <f>WORLDCUP!AD125</f>
        <v>2</v>
      </c>
      <c r="B205" s="25">
        <f>WORLDCUP!AC125</f>
        <v>0</v>
      </c>
      <c r="C205" s="25" t="str">
        <f ca="1">CONCATENATE(WORLDCUP!AF125,"-",WORLDCUP!AA125)</f>
        <v>Bélgica-Senegal</v>
      </c>
      <c r="D205" s="25">
        <f>IF(WORLDCUP!AC125&gt;WORLDCUP!AD125,2,IF(WORLDCUP!AC125&lt;WORLDCUP!AD125,1,IF(AND(WORLDCUP!AC125=WORLDCUP!AD125,WORLDCUP!AC125&lt;&gt;"",WORLDCUP!AD125&lt;&gt;""),0,"PD")))</f>
        <v>1</v>
      </c>
      <c r="E205" s="25" t="str">
        <f>IF(OR(WORLDCUP!AD125="",WORLDCUP!AC125=""),"-",A205&amp;"-"&amp;B205)</f>
        <v>2-0</v>
      </c>
      <c r="F205" s="415">
        <f t="shared" si="219"/>
        <v>0</v>
      </c>
      <c r="G205" s="415">
        <f ca="1">VLOOKUP(H205,Equipos!$Q$1:$R$25,2,0)</f>
        <v>21</v>
      </c>
      <c r="H205" s="71" t="str">
        <f>Idiomas!$D$261</f>
        <v>Octavos de final</v>
      </c>
      <c r="I205" s="49">
        <v>1</v>
      </c>
      <c r="J205" s="849"/>
      <c r="K205" s="62" t="str">
        <f ca="1">CONCATENATE(WORLDCUP!AA125,"-",WORLDCUP!AF125)</f>
        <v>Senegal-Bélgica</v>
      </c>
      <c r="L205" s="59">
        <f>IF(OR(WORLDCUP!AC125="",WORLDCUP!AD125=""),"PD",IF(WORLDCUP!AC125&gt;WORLDCUP!AD125,1,IF(WORLDCUP!AC125&lt;WORLDCUP!AD125,2,0)))</f>
        <v>2</v>
      </c>
      <c r="M205" s="61" t="str">
        <f t="shared" si="212"/>
        <v>0-2</v>
      </c>
      <c r="N205" s="25">
        <f>WORLDCUP!AC125</f>
        <v>0</v>
      </c>
      <c r="O205" s="25">
        <f>WORLDCUP!AD125</f>
        <v>2</v>
      </c>
      <c r="P205" s="25">
        <f t="shared" si="213"/>
        <v>-2</v>
      </c>
      <c r="Q205" s="25">
        <f t="shared" si="214"/>
        <v>2</v>
      </c>
      <c r="R205" s="116"/>
      <c r="S205" s="80"/>
      <c r="T205" s="79">
        <f t="shared" ca="1" si="220"/>
        <v>0</v>
      </c>
      <c r="U205" s="116"/>
      <c r="V205" s="80"/>
      <c r="W205" s="79">
        <f t="shared" ca="1" si="215"/>
        <v>0</v>
      </c>
      <c r="X205" s="116"/>
      <c r="Y205" s="86"/>
      <c r="Z205" s="79">
        <f t="shared" ca="1" si="215"/>
        <v>0</v>
      </c>
      <c r="AA205" s="116"/>
      <c r="AB205" s="86"/>
      <c r="AC205" s="79">
        <f t="shared" ca="1" si="215"/>
        <v>0</v>
      </c>
      <c r="AD205" s="116"/>
      <c r="AE205" s="86"/>
      <c r="AF205" s="79">
        <f t="shared" ca="1" si="215"/>
        <v>0</v>
      </c>
      <c r="AG205" s="116"/>
      <c r="AH205" s="116"/>
    </row>
    <row r="206" spans="1:34">
      <c r="A206" s="25">
        <f>WORLDCUP!AD126</f>
        <v>1</v>
      </c>
      <c r="B206" s="25">
        <f>WORLDCUP!AC126</f>
        <v>3</v>
      </c>
      <c r="C206" s="25" t="str">
        <f ca="1">CONCATENATE(WORLDCUP!AF126,"-",WORLDCUP!AA126)</f>
        <v>Estados Unidos-Argentina</v>
      </c>
      <c r="D206" s="25">
        <f>IF(WORLDCUP!AC126&gt;WORLDCUP!AD126,2,IF(WORLDCUP!AC126&lt;WORLDCUP!AD126,1,IF(AND(WORLDCUP!AC126=WORLDCUP!AD126,WORLDCUP!AC126&lt;&gt;"",WORLDCUP!AD126&lt;&gt;""),0,"PD")))</f>
        <v>2</v>
      </c>
      <c r="E206" s="25" t="str">
        <f>IF(OR(WORLDCUP!AD126="",WORLDCUP!AC126=""),"-",A206&amp;"-"&amp;B206)</f>
        <v>1-3</v>
      </c>
      <c r="F206" s="415">
        <f t="shared" si="219"/>
        <v>0</v>
      </c>
      <c r="G206" s="415">
        <f ca="1">VLOOKUP(H206,Equipos!$Q$1:$R$25,2,0)</f>
        <v>21</v>
      </c>
      <c r="H206" s="71" t="str">
        <f>Idiomas!$D$261</f>
        <v>Octavos de final</v>
      </c>
      <c r="I206" s="49">
        <v>1</v>
      </c>
      <c r="J206" s="849"/>
      <c r="K206" s="62" t="str">
        <f ca="1">CONCATENATE(WORLDCUP!AA126,"-",WORLDCUP!AF126)</f>
        <v>Argentina-Estados Unidos</v>
      </c>
      <c r="L206" s="59">
        <f>IF(OR(WORLDCUP!AC126="",WORLDCUP!AD126=""),"PD",IF(WORLDCUP!AC126&gt;WORLDCUP!AD126,1,IF(WORLDCUP!AC126&lt;WORLDCUP!AD126,2,0)))</f>
        <v>1</v>
      </c>
      <c r="M206" s="61" t="str">
        <f t="shared" si="212"/>
        <v>3-1</v>
      </c>
      <c r="N206" s="25">
        <f>WORLDCUP!AC126</f>
        <v>3</v>
      </c>
      <c r="O206" s="25">
        <f>WORLDCUP!AD126</f>
        <v>1</v>
      </c>
      <c r="P206" s="25">
        <f t="shared" si="213"/>
        <v>2</v>
      </c>
      <c r="Q206" s="25">
        <f t="shared" si="214"/>
        <v>-2</v>
      </c>
      <c r="R206" s="116"/>
      <c r="S206" s="80"/>
      <c r="T206" s="79">
        <f t="shared" ca="1" si="220"/>
        <v>0</v>
      </c>
      <c r="U206" s="116"/>
      <c r="V206" s="80"/>
      <c r="W206" s="79">
        <f t="shared" ca="1" si="215"/>
        <v>0</v>
      </c>
      <c r="X206" s="116"/>
      <c r="Y206" s="86"/>
      <c r="Z206" s="79">
        <f t="shared" ca="1" si="215"/>
        <v>0</v>
      </c>
      <c r="AA206" s="116"/>
      <c r="AB206" s="86"/>
      <c r="AC206" s="79">
        <f t="shared" ca="1" si="215"/>
        <v>0</v>
      </c>
      <c r="AD206" s="116"/>
      <c r="AE206" s="86"/>
      <c r="AF206" s="79">
        <f t="shared" ca="1" si="215"/>
        <v>0</v>
      </c>
      <c r="AG206" s="116"/>
      <c r="AH206" s="116"/>
    </row>
    <row r="207" spans="1:34">
      <c r="A207" s="25">
        <f>WORLDCUP!AD127</f>
        <v>4</v>
      </c>
      <c r="B207" s="25">
        <f>WORLDCUP!AC127</f>
        <v>1</v>
      </c>
      <c r="C207" s="25" t="str">
        <f ca="1">CONCATENATE(WORLDCUP!AF127,"-",WORLDCUP!AA127)</f>
        <v>Portugal-Suiza</v>
      </c>
      <c r="D207" s="25">
        <f>IF(WORLDCUP!AC127&gt;WORLDCUP!AD127,2,IF(WORLDCUP!AC127&lt;WORLDCUP!AD127,1,IF(AND(WORLDCUP!AC127=WORLDCUP!AD127,WORLDCUP!AC127&lt;&gt;"",WORLDCUP!AD127&lt;&gt;""),0,"PD")))</f>
        <v>1</v>
      </c>
      <c r="E207" s="25" t="str">
        <f>IF(OR(WORLDCUP!AD127="",WORLDCUP!AC127=""),"-",A207&amp;"-"&amp;B207)</f>
        <v>4-1</v>
      </c>
      <c r="F207" s="415">
        <f t="shared" si="219"/>
        <v>0</v>
      </c>
      <c r="G207" s="415">
        <f ca="1">VLOOKUP(H207,Equipos!$Q$1:$R$25,2,0)</f>
        <v>21</v>
      </c>
      <c r="H207" s="71" t="str">
        <f>Idiomas!$D$261</f>
        <v>Octavos de final</v>
      </c>
      <c r="I207" s="49">
        <v>1</v>
      </c>
      <c r="J207" s="849"/>
      <c r="K207" s="121" t="str">
        <f ca="1">CONCATENATE(WORLDCUP!AA127,"-",WORLDCUP!AF127)</f>
        <v>Suiza-Portugal</v>
      </c>
      <c r="L207" s="121">
        <f>IF(OR(WORLDCUP!AC127="",WORLDCUP!AD127=""),"PD",IF(WORLDCUP!AC127&gt;WORLDCUP!AD127,1,IF(WORLDCUP!AC127&lt;WORLDCUP!AD127,2,0)))</f>
        <v>2</v>
      </c>
      <c r="M207" s="122" t="str">
        <f t="shared" si="212"/>
        <v>1-4</v>
      </c>
      <c r="N207" s="25">
        <f>WORLDCUP!AC127</f>
        <v>1</v>
      </c>
      <c r="O207" s="25">
        <f>WORLDCUP!AD127</f>
        <v>4</v>
      </c>
      <c r="P207" s="25">
        <f t="shared" si="213"/>
        <v>-3</v>
      </c>
      <c r="Q207" s="25">
        <f t="shared" si="214"/>
        <v>3</v>
      </c>
      <c r="R207" s="116"/>
      <c r="S207" s="86"/>
      <c r="T207" s="91">
        <f t="shared" ca="1" si="220"/>
        <v>0</v>
      </c>
      <c r="U207" s="116"/>
      <c r="V207" s="80"/>
      <c r="W207" s="91">
        <f t="shared" ca="1" si="215"/>
        <v>0</v>
      </c>
      <c r="X207" s="116"/>
      <c r="Y207" s="86"/>
      <c r="Z207" s="91">
        <f t="shared" ca="1" si="215"/>
        <v>0</v>
      </c>
      <c r="AA207" s="116"/>
      <c r="AB207" s="86"/>
      <c r="AC207" s="91">
        <f t="shared" ca="1" si="215"/>
        <v>0</v>
      </c>
      <c r="AD207" s="116"/>
      <c r="AE207" s="86"/>
      <c r="AF207" s="91">
        <f t="shared" ca="1" si="215"/>
        <v>0</v>
      </c>
      <c r="AG207" s="116"/>
      <c r="AH207" s="116"/>
    </row>
    <row r="208" spans="1:34">
      <c r="A208" s="25"/>
      <c r="B208" s="25"/>
      <c r="C208" s="25"/>
      <c r="D208" s="25"/>
      <c r="E208" s="25"/>
      <c r="F208" s="415"/>
      <c r="G208" s="415"/>
      <c r="H208" s="71"/>
      <c r="I208" s="56"/>
      <c r="J208" s="100"/>
      <c r="K208" s="442" t="str">
        <f>Idiomas!D460</f>
        <v>Partidos 1/8</v>
      </c>
      <c r="L208" s="443"/>
      <c r="M208" s="442" t="str">
        <f>"Max: "&amp;SUM($D$20:$D$22)*SUM($I$200:$I$207)</f>
        <v>Max: 0</v>
      </c>
      <c r="N208" s="25"/>
      <c r="O208" s="25"/>
      <c r="P208" s="25"/>
      <c r="Q208" s="25"/>
      <c r="R208" s="55"/>
      <c r="S208" s="90"/>
      <c r="T208" s="77">
        <f ca="1">SUM(T200:T207)</f>
        <v>0</v>
      </c>
      <c r="U208" s="55"/>
      <c r="V208" s="90"/>
      <c r="W208" s="77">
        <f t="shared" ref="W208" ca="1" si="221">SUM(W200:W207)</f>
        <v>0</v>
      </c>
      <c r="X208" s="55"/>
      <c r="Y208" s="90"/>
      <c r="Z208" s="77">
        <f t="shared" ref="Z208" ca="1" si="222">SUM(Z200:Z207)</f>
        <v>0</v>
      </c>
      <c r="AA208" s="55"/>
      <c r="AB208" s="90"/>
      <c r="AC208" s="77">
        <f t="shared" ref="AC208" ca="1" si="223">SUM(AC200:AC207)</f>
        <v>0</v>
      </c>
      <c r="AD208" s="55"/>
      <c r="AE208" s="90"/>
      <c r="AF208" s="77">
        <f t="shared" ref="AF208" ca="1" si="224">SUM(AF200:AF207)</f>
        <v>0</v>
      </c>
      <c r="AG208" s="55"/>
      <c r="AH208" s="55"/>
    </row>
    <row r="209" spans="1:34">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c r="A210" s="25"/>
      <c r="B210" s="25"/>
      <c r="C210" s="25"/>
      <c r="D210" s="25"/>
      <c r="E210" s="25"/>
      <c r="F210" s="415">
        <f>+$D$23</f>
        <v>0</v>
      </c>
      <c r="G210" s="415">
        <f ca="1">VLOOKUP(H210,Equipos!$Q$1:$R$25,2,0)</f>
        <v>21</v>
      </c>
      <c r="H210" s="71" t="str">
        <f>Idiomas!$D$261</f>
        <v>Octavos de final</v>
      </c>
      <c r="I210" s="56"/>
      <c r="J210" s="849" t="s">
        <v>34</v>
      </c>
      <c r="K210" s="59" t="str">
        <f>Idiomas!$D$200&amp;"-"&amp;ROWS($L$210:L210)</f>
        <v>Cuartofinalista-1</v>
      </c>
      <c r="L210" s="59"/>
      <c r="M210" s="61" t="str">
        <f ca="1">WORLDCUP!AA131</f>
        <v>Francia</v>
      </c>
      <c r="N210" s="25"/>
      <c r="O210" s="25"/>
      <c r="P210" s="25"/>
      <c r="Q210" s="25"/>
      <c r="R210" s="116"/>
      <c r="S210" s="82"/>
      <c r="T210" s="83">
        <f t="shared" ref="T210:T217" ca="1" si="225">COUNTIF($M$210:$M$217,S210)*$D$23</f>
        <v>0</v>
      </c>
      <c r="U210" s="116"/>
      <c r="V210" s="82"/>
      <c r="W210" s="83">
        <f t="shared" ref="W210:W217" ca="1" si="226">COUNTIF($M$210:$M$217,V210)*$D$23</f>
        <v>0</v>
      </c>
      <c r="X210" s="116"/>
      <c r="Y210" s="82"/>
      <c r="Z210" s="83">
        <f t="shared" ref="Z210:Z217" ca="1" si="227">COUNTIF($M$210:$M$217,Y210)*$D$23</f>
        <v>0</v>
      </c>
      <c r="AA210" s="116"/>
      <c r="AB210" s="82"/>
      <c r="AC210" s="83">
        <f t="shared" ref="AC210:AC217" ca="1" si="228">COUNTIF($M$210:$M$217,AB210)*$D$23</f>
        <v>0</v>
      </c>
      <c r="AD210" s="116"/>
      <c r="AE210" s="82"/>
      <c r="AF210" s="83">
        <f t="shared" ref="AF210:AF217" ca="1" si="229">COUNTIF($M$210:$M$217,AE210)*$D$23</f>
        <v>0</v>
      </c>
      <c r="AG210" s="116"/>
      <c r="AH210" s="116"/>
    </row>
    <row r="211" spans="1:34">
      <c r="A211" s="25"/>
      <c r="B211" s="25"/>
      <c r="C211" s="25"/>
      <c r="D211" s="25"/>
      <c r="E211" s="25"/>
      <c r="F211" s="415">
        <f t="shared" ref="F211:F217" si="230">+$D$23</f>
        <v>0</v>
      </c>
      <c r="G211" s="415">
        <f ca="1">VLOOKUP(H211,Equipos!$Q$1:$R$25,2,0)</f>
        <v>21</v>
      </c>
      <c r="H211" s="71" t="str">
        <f>Idiomas!$D$261</f>
        <v>Octavos de final</v>
      </c>
      <c r="I211" s="56"/>
      <c r="J211" s="849"/>
      <c r="K211" s="62" t="str">
        <f>Idiomas!$D$200&amp;"-"&amp;ROWS($L$210:L211)</f>
        <v>Cuartofinalista-2</v>
      </c>
      <c r="L211" s="59"/>
      <c r="M211" s="61" t="str">
        <f ca="1">WORLDCUP!AA132</f>
        <v>España</v>
      </c>
      <c r="N211" s="25"/>
      <c r="O211" s="25"/>
      <c r="P211" s="25"/>
      <c r="Q211" s="25"/>
      <c r="R211" s="116"/>
      <c r="S211" s="80"/>
      <c r="T211" s="79">
        <f t="shared" ca="1" si="225"/>
        <v>0</v>
      </c>
      <c r="U211" s="116"/>
      <c r="V211" s="80"/>
      <c r="W211" s="79">
        <f t="shared" ca="1" si="226"/>
        <v>0</v>
      </c>
      <c r="X211" s="116"/>
      <c r="Y211" s="80"/>
      <c r="Z211" s="79">
        <f t="shared" ca="1" si="227"/>
        <v>0</v>
      </c>
      <c r="AA211" s="116"/>
      <c r="AB211" s="80"/>
      <c r="AC211" s="79">
        <f t="shared" ca="1" si="228"/>
        <v>0</v>
      </c>
      <c r="AD211" s="116"/>
      <c r="AE211" s="80"/>
      <c r="AF211" s="79">
        <f t="shared" ca="1" si="229"/>
        <v>0</v>
      </c>
      <c r="AG211" s="116"/>
      <c r="AH211" s="116"/>
    </row>
    <row r="212" spans="1:34">
      <c r="A212" s="25"/>
      <c r="B212" s="25"/>
      <c r="C212" s="25"/>
      <c r="D212" s="25"/>
      <c r="E212" s="25"/>
      <c r="F212" s="415">
        <f t="shared" si="230"/>
        <v>0</v>
      </c>
      <c r="G212" s="415">
        <f ca="1">VLOOKUP(H212,Equipos!$Q$1:$R$25,2,0)</f>
        <v>21</v>
      </c>
      <c r="H212" s="71" t="str">
        <f>Idiomas!$D$261</f>
        <v>Octavos de final</v>
      </c>
      <c r="I212" s="56"/>
      <c r="J212" s="849"/>
      <c r="K212" s="62" t="str">
        <f>Idiomas!$D$200&amp;"-"&amp;ROWS($L$210:L212)</f>
        <v>Cuartofinalista-3</v>
      </c>
      <c r="L212" s="59"/>
      <c r="M212" s="61" t="str">
        <f ca="1">WORLDCUP!AA133</f>
        <v>Brasil</v>
      </c>
      <c r="N212" s="25"/>
      <c r="O212" s="25"/>
      <c r="P212" s="25"/>
      <c r="Q212" s="25"/>
      <c r="R212" s="116"/>
      <c r="S212" s="80"/>
      <c r="T212" s="79">
        <f t="shared" ca="1" si="225"/>
        <v>0</v>
      </c>
      <c r="U212" s="116"/>
      <c r="V212" s="80"/>
      <c r="W212" s="79">
        <f t="shared" ca="1" si="226"/>
        <v>0</v>
      </c>
      <c r="X212" s="116"/>
      <c r="Y212" s="80"/>
      <c r="Z212" s="79">
        <f t="shared" ca="1" si="227"/>
        <v>0</v>
      </c>
      <c r="AA212" s="116"/>
      <c r="AB212" s="80"/>
      <c r="AC212" s="79">
        <f t="shared" ca="1" si="228"/>
        <v>0</v>
      </c>
      <c r="AD212" s="116"/>
      <c r="AE212" s="80"/>
      <c r="AF212" s="79">
        <f t="shared" ca="1" si="229"/>
        <v>0</v>
      </c>
      <c r="AG212" s="116"/>
      <c r="AH212" s="116"/>
    </row>
    <row r="213" spans="1:34">
      <c r="A213" s="25"/>
      <c r="B213" s="25"/>
      <c r="C213" s="25"/>
      <c r="D213" s="25"/>
      <c r="E213" s="25"/>
      <c r="F213" s="415">
        <f t="shared" si="230"/>
        <v>0</v>
      </c>
      <c r="G213" s="415">
        <f ca="1">VLOOKUP(H213,Equipos!$Q$1:$R$25,2,0)</f>
        <v>21</v>
      </c>
      <c r="H213" s="71" t="str">
        <f>Idiomas!$D$261</f>
        <v>Octavos de final</v>
      </c>
      <c r="I213" s="56"/>
      <c r="J213" s="849"/>
      <c r="K213" s="62" t="str">
        <f>Idiomas!$D$200&amp;"-"&amp;ROWS($L$210:L213)</f>
        <v>Cuartofinalista-4</v>
      </c>
      <c r="L213" s="59"/>
      <c r="M213" s="61" t="str">
        <f ca="1">WORLDCUP!AA134</f>
        <v>Argentina</v>
      </c>
      <c r="N213" s="25"/>
      <c r="O213" s="25"/>
      <c r="P213" s="25"/>
      <c r="Q213" s="25"/>
      <c r="R213" s="116"/>
      <c r="S213" s="80"/>
      <c r="T213" s="79">
        <f t="shared" ca="1" si="225"/>
        <v>0</v>
      </c>
      <c r="U213" s="116"/>
      <c r="V213" s="80"/>
      <c r="W213" s="79">
        <f t="shared" ca="1" si="226"/>
        <v>0</v>
      </c>
      <c r="X213" s="116"/>
      <c r="Y213" s="80"/>
      <c r="Z213" s="79">
        <f t="shared" ca="1" si="227"/>
        <v>0</v>
      </c>
      <c r="AA213" s="116"/>
      <c r="AB213" s="80"/>
      <c r="AC213" s="79">
        <f t="shared" ca="1" si="228"/>
        <v>0</v>
      </c>
      <c r="AD213" s="116"/>
      <c r="AE213" s="80"/>
      <c r="AF213" s="79">
        <f t="shared" ca="1" si="229"/>
        <v>0</v>
      </c>
      <c r="AG213" s="116"/>
      <c r="AH213" s="116"/>
    </row>
    <row r="214" spans="1:34">
      <c r="A214" s="25"/>
      <c r="B214" s="25"/>
      <c r="C214" s="95"/>
      <c r="D214" s="25"/>
      <c r="E214" s="25"/>
      <c r="F214" s="415">
        <f t="shared" si="230"/>
        <v>0</v>
      </c>
      <c r="G214" s="415">
        <f ca="1">VLOOKUP(H214,Equipos!$Q$1:$R$25,2,0)</f>
        <v>21</v>
      </c>
      <c r="H214" s="71" t="str">
        <f>Idiomas!$D$261</f>
        <v>Octavos de final</v>
      </c>
      <c r="I214" s="56"/>
      <c r="J214" s="849"/>
      <c r="K214" s="62" t="str">
        <f>Idiomas!$D$200&amp;"-"&amp;ROWS($L$210:L214)</f>
        <v>Cuartofinalista-5</v>
      </c>
      <c r="L214" s="59"/>
      <c r="M214" s="61" t="str">
        <f ca="1">WORLDCUP!AF131</f>
        <v>Japón</v>
      </c>
      <c r="N214" s="25"/>
      <c r="O214" s="25"/>
      <c r="P214" s="25"/>
      <c r="Q214" s="25"/>
      <c r="R214" s="116"/>
      <c r="S214" s="80"/>
      <c r="T214" s="79">
        <f t="shared" ca="1" si="225"/>
        <v>0</v>
      </c>
      <c r="U214" s="116"/>
      <c r="V214" s="80"/>
      <c r="W214" s="79">
        <f t="shared" ca="1" si="226"/>
        <v>0</v>
      </c>
      <c r="X214" s="116"/>
      <c r="Y214" s="80"/>
      <c r="Z214" s="79">
        <f t="shared" ca="1" si="227"/>
        <v>0</v>
      </c>
      <c r="AA214" s="116"/>
      <c r="AB214" s="80"/>
      <c r="AC214" s="79">
        <f t="shared" ca="1" si="228"/>
        <v>0</v>
      </c>
      <c r="AD214" s="116"/>
      <c r="AE214" s="80"/>
      <c r="AF214" s="79">
        <f t="shared" ca="1" si="229"/>
        <v>0</v>
      </c>
      <c r="AG214" s="116"/>
      <c r="AH214" s="116"/>
    </row>
    <row r="215" spans="1:34">
      <c r="A215" s="25"/>
      <c r="B215" s="25"/>
      <c r="C215" s="95"/>
      <c r="D215" s="25"/>
      <c r="E215" s="25"/>
      <c r="F215" s="415">
        <f t="shared" si="230"/>
        <v>0</v>
      </c>
      <c r="G215" s="415">
        <f ca="1">VLOOKUP(H215,Equipos!$Q$1:$R$25,2,0)</f>
        <v>21</v>
      </c>
      <c r="H215" s="71" t="str">
        <f>Idiomas!$D$261</f>
        <v>Octavos de final</v>
      </c>
      <c r="I215" s="56"/>
      <c r="J215" s="849"/>
      <c r="K215" s="62" t="str">
        <f>Idiomas!$D$200&amp;"-"&amp;ROWS($L$210:L215)</f>
        <v>Cuartofinalista-6</v>
      </c>
      <c r="L215" s="59"/>
      <c r="M215" s="61" t="str">
        <f ca="1">WORLDCUP!AF132</f>
        <v>Bélgica</v>
      </c>
      <c r="N215" s="25"/>
      <c r="O215" s="25"/>
      <c r="P215" s="25"/>
      <c r="Q215" s="25"/>
      <c r="R215" s="116"/>
      <c r="S215" s="80"/>
      <c r="T215" s="79">
        <f t="shared" ca="1" si="225"/>
        <v>0</v>
      </c>
      <c r="U215" s="116"/>
      <c r="V215" s="80"/>
      <c r="W215" s="79">
        <f t="shared" ca="1" si="226"/>
        <v>0</v>
      </c>
      <c r="X215" s="116"/>
      <c r="Y215" s="80"/>
      <c r="Z215" s="79">
        <f t="shared" ca="1" si="227"/>
        <v>0</v>
      </c>
      <c r="AA215" s="116"/>
      <c r="AB215" s="80"/>
      <c r="AC215" s="79">
        <f t="shared" ca="1" si="228"/>
        <v>0</v>
      </c>
      <c r="AD215" s="116"/>
      <c r="AE215" s="80"/>
      <c r="AF215" s="79">
        <f t="shared" ca="1" si="229"/>
        <v>0</v>
      </c>
      <c r="AG215" s="116"/>
      <c r="AH215" s="116"/>
    </row>
    <row r="216" spans="1:34">
      <c r="A216" s="25"/>
      <c r="B216" s="25"/>
      <c r="C216" s="25"/>
      <c r="D216" s="25"/>
      <c r="E216" s="25"/>
      <c r="F216" s="415">
        <f t="shared" si="230"/>
        <v>0</v>
      </c>
      <c r="G216" s="415">
        <f ca="1">VLOOKUP(H216,Equipos!$Q$1:$R$25,2,0)</f>
        <v>21</v>
      </c>
      <c r="H216" s="71" t="str">
        <f>Idiomas!$D$261</f>
        <v>Octavos de final</v>
      </c>
      <c r="I216" s="56"/>
      <c r="J216" s="849"/>
      <c r="K216" s="62" t="str">
        <f>Idiomas!$D$200&amp;"-"&amp;ROWS($L$210:L216)</f>
        <v>Cuartofinalista-7</v>
      </c>
      <c r="L216" s="59"/>
      <c r="M216" s="61" t="str">
        <f ca="1">WORLDCUP!AF133</f>
        <v>Inglaterra</v>
      </c>
      <c r="N216" s="25"/>
      <c r="O216" s="25"/>
      <c r="P216" s="25"/>
      <c r="Q216" s="25"/>
      <c r="R216" s="116"/>
      <c r="S216" s="80"/>
      <c r="T216" s="79">
        <f t="shared" ca="1" si="225"/>
        <v>0</v>
      </c>
      <c r="U216" s="116"/>
      <c r="V216" s="80"/>
      <c r="W216" s="79">
        <f t="shared" ca="1" si="226"/>
        <v>0</v>
      </c>
      <c r="X216" s="116"/>
      <c r="Y216" s="80"/>
      <c r="Z216" s="79">
        <f t="shared" ca="1" si="227"/>
        <v>0</v>
      </c>
      <c r="AA216" s="116"/>
      <c r="AB216" s="80"/>
      <c r="AC216" s="79">
        <f t="shared" ca="1" si="228"/>
        <v>0</v>
      </c>
      <c r="AD216" s="116"/>
      <c r="AE216" s="80"/>
      <c r="AF216" s="79">
        <f t="shared" ca="1" si="229"/>
        <v>0</v>
      </c>
      <c r="AG216" s="116"/>
      <c r="AH216" s="116"/>
    </row>
    <row r="217" spans="1:34">
      <c r="A217" s="25"/>
      <c r="B217" s="25"/>
      <c r="C217" s="25"/>
      <c r="D217" s="25"/>
      <c r="E217" s="25"/>
      <c r="F217" s="415">
        <f t="shared" si="230"/>
        <v>0</v>
      </c>
      <c r="G217" s="415">
        <f ca="1">VLOOKUP(H217,Equipos!$Q$1:$R$25,2,0)</f>
        <v>21</v>
      </c>
      <c r="H217" s="71" t="str">
        <f>Idiomas!$D$261</f>
        <v>Octavos de final</v>
      </c>
      <c r="I217" s="56"/>
      <c r="J217" s="849"/>
      <c r="K217" s="121" t="str">
        <f>Idiomas!$D$200&amp;"-"&amp;ROWS($L$210:L217)</f>
        <v>Cuartofinalista-8</v>
      </c>
      <c r="L217" s="121"/>
      <c r="M217" s="122" t="str">
        <f ca="1">WORLDCUP!AF134</f>
        <v>Portugal</v>
      </c>
      <c r="N217" s="25"/>
      <c r="O217" s="25"/>
      <c r="P217" s="25"/>
      <c r="Q217" s="25"/>
      <c r="R217" s="116"/>
      <c r="S217" s="86"/>
      <c r="T217" s="87">
        <f t="shared" ca="1" si="225"/>
        <v>0</v>
      </c>
      <c r="U217" s="116"/>
      <c r="V217" s="86"/>
      <c r="W217" s="87">
        <f t="shared" ca="1" si="226"/>
        <v>0</v>
      </c>
      <c r="X217" s="116"/>
      <c r="Y217" s="86"/>
      <c r="Z217" s="87">
        <f t="shared" ca="1" si="227"/>
        <v>0</v>
      </c>
      <c r="AA217" s="116"/>
      <c r="AB217" s="86"/>
      <c r="AC217" s="87">
        <f t="shared" ca="1" si="228"/>
        <v>0</v>
      </c>
      <c r="AD217" s="116"/>
      <c r="AE217" s="86"/>
      <c r="AF217" s="87">
        <f t="shared" ca="1" si="229"/>
        <v>0</v>
      </c>
      <c r="AG217" s="116"/>
      <c r="AH217" s="116"/>
    </row>
    <row r="218" spans="1:34">
      <c r="A218" s="25"/>
      <c r="B218" s="25"/>
      <c r="C218" s="25" t="s">
        <v>1930</v>
      </c>
      <c r="D218" s="25"/>
      <c r="E218" s="25"/>
      <c r="F218" s="415"/>
      <c r="G218" s="415"/>
      <c r="H218" s="71"/>
      <c r="I218" s="56"/>
      <c r="J218" s="100"/>
      <c r="K218" s="442" t="str">
        <f>Idiomas!D461</f>
        <v>Equipos 1/4</v>
      </c>
      <c r="L218" s="443"/>
      <c r="M218" s="442" t="str">
        <f ca="1">"Max: "&amp;$D$23*COUNT(T210:T217)</f>
        <v>Max: 0</v>
      </c>
      <c r="N218" s="25"/>
      <c r="O218" s="25"/>
      <c r="P218" s="25"/>
      <c r="Q218" s="25"/>
      <c r="R218" s="55"/>
      <c r="S218" s="90"/>
      <c r="T218" s="77">
        <f ca="1">SUM(T210:T217)</f>
        <v>0</v>
      </c>
      <c r="U218" s="55"/>
      <c r="V218" s="90"/>
      <c r="W218" s="77">
        <f t="shared" ref="W218" ca="1" si="231">SUM(W210:W217)</f>
        <v>0</v>
      </c>
      <c r="X218" s="55"/>
      <c r="Y218" s="90"/>
      <c r="Z218" s="77">
        <f t="shared" ref="Z218" ca="1" si="232">SUM(Z210:Z217)</f>
        <v>0</v>
      </c>
      <c r="AA218" s="55"/>
      <c r="AB218" s="90"/>
      <c r="AC218" s="77">
        <f t="shared" ref="AC218" ca="1" si="233">SUM(AC210:AC217)</f>
        <v>0</v>
      </c>
      <c r="AD218" s="55"/>
      <c r="AE218" s="90"/>
      <c r="AF218" s="77">
        <f t="shared" ref="AF218" ca="1" si="234">SUM(AF210:AF217)</f>
        <v>0</v>
      </c>
      <c r="AG218" s="55"/>
      <c r="AH218" s="55"/>
    </row>
    <row r="219" spans="1:34">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c r="A220" s="25">
        <f>WORLDCUP!AD131</f>
        <v>0</v>
      </c>
      <c r="B220" s="25">
        <f>WORLDCUP!AC131</f>
        <v>1</v>
      </c>
      <c r="C220" s="25" t="str">
        <f ca="1">CONCATENATE(WORLDCUP!AF131,"-",WORLDCUP!AA131)</f>
        <v>Japón-Francia</v>
      </c>
      <c r="D220" s="25">
        <f>IF(WORLDCUP!AC131&gt;WORLDCUP!AD131,2,IF(WORLDCUP!AC131&lt;WORLDCUP!AD131,1,IF(AND(WORLDCUP!AC131=WORLDCUP!AD131,WORLDCUP!AC131&lt;&gt;"",WORLDCUP!AD131&lt;&gt;""),0,"PD")))</f>
        <v>2</v>
      </c>
      <c r="E220" s="25" t="str">
        <f>IF(OR(WORLDCUP!AD131="",WORLDCUP!AC131=""),"-",A220&amp;"-"&amp;B220)</f>
        <v>0-1</v>
      </c>
      <c r="F220" s="415">
        <f>SUM($D$24:$D$26)*I220</f>
        <v>0</v>
      </c>
      <c r="G220" s="415">
        <f ca="1">VLOOKUP(H220,Equipos!$Q$1:$R$25,2,0)</f>
        <v>22</v>
      </c>
      <c r="H220" s="71" t="str">
        <f>Idiomas!$D$262</f>
        <v>Cuartos de final</v>
      </c>
      <c r="I220" s="49">
        <v>1</v>
      </c>
      <c r="J220" s="849" t="s">
        <v>34</v>
      </c>
      <c r="K220" s="59" t="str">
        <f ca="1">CONCATENATE(WORLDCUP!AA131,"-",WORLDCUP!AF131)</f>
        <v>Francia-Japón</v>
      </c>
      <c r="L220" s="59">
        <f>IF(OR(WORLDCUP!AC131="",WORLDCUP!AD131=""),"PD",IF(WORLDCUP!AC131&gt;WORLDCUP!AD131,1,IF(WORLDCUP!AC131&lt;WORLDCUP!AD131,2,0)))</f>
        <v>1</v>
      </c>
      <c r="M220" s="61" t="str">
        <f t="shared" ref="M220:M223" si="235">IF(L220="PD","-",N220&amp;"-"&amp;O220)</f>
        <v>1-0</v>
      </c>
      <c r="N220" s="25">
        <f>WORLDCUP!AC131</f>
        <v>1</v>
      </c>
      <c r="O220" s="25">
        <f>WORLDCUP!AD131</f>
        <v>0</v>
      </c>
      <c r="P220" s="25">
        <f t="shared" ref="P220:P223" si="236">+N220-O220</f>
        <v>1</v>
      </c>
      <c r="Q220" s="25">
        <f>+A220-B220</f>
        <v>-1</v>
      </c>
      <c r="R220" s="116"/>
      <c r="S220" s="82" t="str">
        <f>Idiomas!$D$369</f>
        <v>Pegar valores Cuartos</v>
      </c>
      <c r="T220" s="83">
        <f ca="1">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s="82" t="str">
        <f>Idiomas!$D$369</f>
        <v>Pegar valores Cuartos</v>
      </c>
      <c r="W220" s="83">
        <f t="shared" ref="W220:AF223" ca="1"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s="82" t="str">
        <f>Idiomas!$D$369</f>
        <v>Pegar valores Cuartos</v>
      </c>
      <c r="Z220" s="83">
        <f t="shared" ref="Z220" ca="1"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s="82" t="str">
        <f>Idiomas!$D$369</f>
        <v>Pegar valores Cuartos</v>
      </c>
      <c r="AC220" s="83">
        <f t="shared" ref="AC220" ca="1"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s="82" t="str">
        <f>Idiomas!$D$369</f>
        <v>Pegar valores Cuartos</v>
      </c>
      <c r="AF220" s="83">
        <f t="shared" ref="AF220" ca="1"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c r="A221" s="25">
        <f>WORLDCUP!AD132</f>
        <v>1</v>
      </c>
      <c r="B221" s="25">
        <f>WORLDCUP!AC132</f>
        <v>2</v>
      </c>
      <c r="C221" s="25" t="str">
        <f ca="1">CONCATENATE(WORLDCUP!AF132,"-",WORLDCUP!AA132)</f>
        <v>Bélgica-España</v>
      </c>
      <c r="D221" s="25">
        <f>IF(WORLDCUP!AC132&gt;WORLDCUP!AD132,2,IF(WORLDCUP!AC132&lt;WORLDCUP!AD132,1,IF(AND(WORLDCUP!AC132=WORLDCUP!AD132,WORLDCUP!AC132&lt;&gt;"",WORLDCUP!AD132&lt;&gt;""),0,"PD")))</f>
        <v>2</v>
      </c>
      <c r="E221" s="25" t="str">
        <f>IF(OR(WORLDCUP!AD132="",WORLDCUP!AC132=""),"-",A221&amp;"-"&amp;B221)</f>
        <v>1-2</v>
      </c>
      <c r="F221" s="415">
        <f t="shared" ref="F221:F223" si="241">SUM($D$24:$D$26)*I221</f>
        <v>0</v>
      </c>
      <c r="G221" s="415">
        <f ca="1">VLOOKUP(H221,Equipos!$Q$1:$R$25,2,0)</f>
        <v>22</v>
      </c>
      <c r="H221" s="71" t="str">
        <f>Idiomas!$D$262</f>
        <v>Cuartos de final</v>
      </c>
      <c r="I221" s="49">
        <v>1</v>
      </c>
      <c r="J221" s="849"/>
      <c r="K221" s="62" t="str">
        <f ca="1">CONCATENATE(WORLDCUP!AA132,"-",WORLDCUP!AF132)</f>
        <v>España-Bélgica</v>
      </c>
      <c r="L221" s="59">
        <f>IF(OR(WORLDCUP!AC132="",WORLDCUP!AD132=""),"PD",IF(WORLDCUP!AC132&gt;WORLDCUP!AD132,1,IF(WORLDCUP!AC132&lt;WORLDCUP!AD132,2,0)))</f>
        <v>1</v>
      </c>
      <c r="M221" s="61" t="str">
        <f t="shared" si="235"/>
        <v>2-1</v>
      </c>
      <c r="N221" s="25">
        <f>WORLDCUP!AC132</f>
        <v>2</v>
      </c>
      <c r="O221" s="25">
        <f>WORLDCUP!AD132</f>
        <v>1</v>
      </c>
      <c r="P221" s="25">
        <f t="shared" si="236"/>
        <v>1</v>
      </c>
      <c r="Q221" s="25">
        <f>+A221-B221</f>
        <v>-1</v>
      </c>
      <c r="R221" s="116"/>
      <c r="S221" s="80"/>
      <c r="T221" s="83">
        <f t="shared" ref="T221:T223" ca="1"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s="80"/>
      <c r="W221" s="83">
        <f t="shared" ca="1" si="237"/>
        <v>0</v>
      </c>
      <c r="X221" s="116"/>
      <c r="Y221" s="80"/>
      <c r="Z221" s="83">
        <f t="shared" ca="1" si="237"/>
        <v>0</v>
      </c>
      <c r="AA221" s="116"/>
      <c r="AB221" s="80"/>
      <c r="AC221" s="83">
        <f t="shared" ca="1" si="237"/>
        <v>0</v>
      </c>
      <c r="AD221" s="116"/>
      <c r="AE221" s="80"/>
      <c r="AF221" s="83">
        <f t="shared" ca="1" si="237"/>
        <v>0</v>
      </c>
      <c r="AG221" s="116"/>
      <c r="AH221" s="116"/>
    </row>
    <row r="222" spans="1:34">
      <c r="A222" s="25">
        <f>WORLDCUP!AD133</f>
        <v>1</v>
      </c>
      <c r="B222" s="25">
        <f>WORLDCUP!AC133</f>
        <v>1</v>
      </c>
      <c r="C222" s="25" t="str">
        <f ca="1">CONCATENATE(WORLDCUP!AF133,"-",WORLDCUP!AA133)</f>
        <v>Inglaterra-Brasil</v>
      </c>
      <c r="D222" s="25">
        <f>IF(WORLDCUP!AC133&gt;WORLDCUP!AD133,2,IF(WORLDCUP!AC133&lt;WORLDCUP!AD133,1,IF(AND(WORLDCUP!AC133=WORLDCUP!AD133,WORLDCUP!AC133&lt;&gt;"",WORLDCUP!AD133&lt;&gt;""),0,"PD")))</f>
        <v>0</v>
      </c>
      <c r="E222" s="25" t="str">
        <f>IF(OR(WORLDCUP!AD133="",WORLDCUP!AC133=""),"-",A222&amp;"-"&amp;B222)</f>
        <v>1-1</v>
      </c>
      <c r="F222" s="415">
        <f t="shared" si="241"/>
        <v>0</v>
      </c>
      <c r="G222" s="415">
        <f ca="1">VLOOKUP(H222,Equipos!$Q$1:$R$25,2,0)</f>
        <v>22</v>
      </c>
      <c r="H222" s="71" t="str">
        <f>Idiomas!$D$262</f>
        <v>Cuartos de final</v>
      </c>
      <c r="I222" s="49">
        <v>1</v>
      </c>
      <c r="J222" s="849"/>
      <c r="K222" s="62" t="str">
        <f ca="1">CONCATENATE(WORLDCUP!AA133,"-",WORLDCUP!AF133)</f>
        <v>Brasil-Inglaterra</v>
      </c>
      <c r="L222" s="59">
        <f>IF(OR(WORLDCUP!AC133="",WORLDCUP!AD133=""),"PD",IF(WORLDCUP!AC133&gt;WORLDCUP!AD133,1,IF(WORLDCUP!AC133&lt;WORLDCUP!AD133,2,0)))</f>
        <v>0</v>
      </c>
      <c r="M222" s="61" t="str">
        <f t="shared" si="235"/>
        <v>1-1</v>
      </c>
      <c r="N222" s="25">
        <f>WORLDCUP!AC133</f>
        <v>1</v>
      </c>
      <c r="O222" s="25">
        <f>WORLDCUP!AD133</f>
        <v>1</v>
      </c>
      <c r="P222" s="25">
        <f t="shared" si="236"/>
        <v>0</v>
      </c>
      <c r="Q222" s="25">
        <f>+A222-B222</f>
        <v>0</v>
      </c>
      <c r="R222" s="116"/>
      <c r="S222" s="80"/>
      <c r="T222" s="83">
        <f t="shared" ca="1" si="242"/>
        <v>0</v>
      </c>
      <c r="U222" s="116"/>
      <c r="V222" s="80"/>
      <c r="W222" s="83">
        <f t="shared" ca="1" si="237"/>
        <v>0</v>
      </c>
      <c r="X222" s="116"/>
      <c r="Y222" s="80"/>
      <c r="Z222" s="83">
        <f t="shared" ca="1" si="237"/>
        <v>0</v>
      </c>
      <c r="AA222" s="116"/>
      <c r="AB222" s="80"/>
      <c r="AC222" s="83">
        <f t="shared" ca="1" si="237"/>
        <v>0</v>
      </c>
      <c r="AD222" s="116"/>
      <c r="AE222" s="80"/>
      <c r="AF222" s="83">
        <f t="shared" ca="1" si="237"/>
        <v>0</v>
      </c>
      <c r="AG222" s="116"/>
      <c r="AH222" s="116"/>
    </row>
    <row r="223" spans="1:34">
      <c r="A223" s="25">
        <f>WORLDCUP!AD134</f>
        <v>1</v>
      </c>
      <c r="B223" s="25">
        <f>WORLDCUP!AC134</f>
        <v>1</v>
      </c>
      <c r="C223" s="25" t="str">
        <f ca="1">CONCATENATE(WORLDCUP!AF134,"-",WORLDCUP!AA134)</f>
        <v>Portugal-Argentina</v>
      </c>
      <c r="D223" s="25">
        <f>IF(WORLDCUP!AC134&gt;WORLDCUP!AD134,2,IF(WORLDCUP!AC134&lt;WORLDCUP!AD134,1,IF(AND(WORLDCUP!AC134=WORLDCUP!AD134,WORLDCUP!AC134&lt;&gt;"",WORLDCUP!AD134&lt;&gt;""),0,"PD")))</f>
        <v>0</v>
      </c>
      <c r="E223" s="25" t="str">
        <f>IF(OR(WORLDCUP!AD134="",WORLDCUP!AC134=""),"-",A223&amp;"-"&amp;B223)</f>
        <v>1-1</v>
      </c>
      <c r="F223" s="415">
        <f t="shared" si="241"/>
        <v>0</v>
      </c>
      <c r="G223" s="415">
        <f ca="1">VLOOKUP(H223,Equipos!$Q$1:$R$25,2,0)</f>
        <v>22</v>
      </c>
      <c r="H223" s="71" t="str">
        <f>Idiomas!$D$262</f>
        <v>Cuartos de final</v>
      </c>
      <c r="I223" s="49">
        <v>1</v>
      </c>
      <c r="J223" s="849"/>
      <c r="K223" s="121" t="str">
        <f ca="1">CONCATENATE(WORLDCUP!AA134,"-",WORLDCUP!AF134)</f>
        <v>Argentina-Portugal</v>
      </c>
      <c r="L223" s="121">
        <f>IF(OR(WORLDCUP!AC134="",WORLDCUP!AD134=""),"PD",IF(WORLDCUP!AC134&gt;WORLDCUP!AD134,1,IF(WORLDCUP!AC134&lt;WORLDCUP!AD134,2,0)))</f>
        <v>0</v>
      </c>
      <c r="M223" s="122" t="str">
        <f t="shared" si="235"/>
        <v>1-1</v>
      </c>
      <c r="N223" s="25">
        <f>WORLDCUP!AC134</f>
        <v>1</v>
      </c>
      <c r="O223" s="25">
        <f>WORLDCUP!AD134</f>
        <v>1</v>
      </c>
      <c r="P223" s="25">
        <f t="shared" si="236"/>
        <v>0</v>
      </c>
      <c r="Q223" s="25">
        <f>+A223-B223</f>
        <v>0</v>
      </c>
      <c r="R223" s="116"/>
      <c r="S223" s="86"/>
      <c r="T223" s="87">
        <f t="shared" ca="1" si="242"/>
        <v>0</v>
      </c>
      <c r="U223" s="116"/>
      <c r="V223" s="86"/>
      <c r="W223" s="87">
        <f t="shared" ca="1" si="237"/>
        <v>0</v>
      </c>
      <c r="X223" s="116"/>
      <c r="Y223" s="86"/>
      <c r="Z223" s="87">
        <f t="shared" ca="1" si="237"/>
        <v>0</v>
      </c>
      <c r="AA223" s="116"/>
      <c r="AB223" s="86"/>
      <c r="AC223" s="87">
        <f t="shared" ca="1" si="237"/>
        <v>0</v>
      </c>
      <c r="AD223" s="116"/>
      <c r="AE223" s="86"/>
      <c r="AF223" s="87">
        <f t="shared" ca="1" si="237"/>
        <v>0</v>
      </c>
      <c r="AG223" s="116"/>
      <c r="AH223" s="116"/>
    </row>
    <row r="224" spans="1:34">
      <c r="A224" s="25"/>
      <c r="B224" s="25"/>
      <c r="C224" s="25"/>
      <c r="D224" s="25"/>
      <c r="E224" s="25"/>
      <c r="F224" s="415"/>
      <c r="G224" s="415"/>
      <c r="H224" s="71"/>
      <c r="I224" s="56"/>
      <c r="J224" s="100"/>
      <c r="K224" s="442" t="str">
        <f>Idiomas!D462</f>
        <v>Partidos 1/4</v>
      </c>
      <c r="L224" s="443"/>
      <c r="M224" s="442" t="str">
        <f>"Max: "&amp;SUM($D$24:$D$26)*SUM($I$220:$I$223)</f>
        <v>Max: 0</v>
      </c>
      <c r="N224" s="25"/>
      <c r="O224" s="25"/>
      <c r="P224" s="25"/>
      <c r="Q224" s="25"/>
      <c r="R224" s="55"/>
      <c r="S224" s="90"/>
      <c r="T224" s="77">
        <f ca="1">SUM(T220:T223)</f>
        <v>0</v>
      </c>
      <c r="U224" s="71"/>
      <c r="V224" s="90"/>
      <c r="W224" s="77">
        <f t="shared" ref="W224" ca="1" si="243">SUM(W220:W223)</f>
        <v>0</v>
      </c>
      <c r="X224" s="71"/>
      <c r="Y224" s="90"/>
      <c r="Z224" s="77">
        <f t="shared" ref="Z224" ca="1" si="244">SUM(Z220:Z223)</f>
        <v>0</v>
      </c>
      <c r="AA224" s="71"/>
      <c r="AB224" s="90"/>
      <c r="AC224" s="77">
        <f t="shared" ref="AC224" ca="1" si="245">SUM(AC220:AC223)</f>
        <v>0</v>
      </c>
      <c r="AD224" s="71"/>
      <c r="AE224" s="90"/>
      <c r="AF224" s="77">
        <f t="shared" ref="AF224" ca="1" si="246">SUM(AF220:AF223)</f>
        <v>0</v>
      </c>
      <c r="AG224" s="71"/>
      <c r="AH224" s="71"/>
    </row>
    <row r="225" spans="1:34">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c r="A226" s="25"/>
      <c r="B226" s="25"/>
      <c r="C226" s="25"/>
      <c r="D226" s="25"/>
      <c r="E226" s="25"/>
      <c r="F226" s="415">
        <f>$D$27</f>
        <v>0</v>
      </c>
      <c r="G226" s="415">
        <f ca="1">VLOOKUP(H226,Equipos!$Q$1:$R$25,2,0)</f>
        <v>22</v>
      </c>
      <c r="H226" s="71" t="str">
        <f>Idiomas!$D$262</f>
        <v>Cuartos de final</v>
      </c>
      <c r="I226" s="56"/>
      <c r="J226" s="849" t="s">
        <v>35</v>
      </c>
      <c r="K226" s="59" t="str">
        <f>Idiomas!$D$201&amp;"-"&amp;ROWS($L$226:L226)</f>
        <v>Semifinalista-1</v>
      </c>
      <c r="L226" s="59"/>
      <c r="M226" s="61" t="str">
        <f ca="1">WORLDCUP!AA138</f>
        <v>Francia</v>
      </c>
      <c r="N226" s="25"/>
      <c r="O226" s="25"/>
      <c r="P226" s="25"/>
      <c r="Q226" s="25"/>
      <c r="R226" s="116"/>
      <c r="S226" s="82"/>
      <c r="T226" s="83">
        <f ca="1">COUNTIF($M$226:$M$229,S226)*$D$27</f>
        <v>0</v>
      </c>
      <c r="U226" s="70"/>
      <c r="V226" s="82"/>
      <c r="W226" s="83">
        <f t="shared" ref="W226" ca="1" si="247">COUNTIF($M$226:$M$229,V226)*$D$27</f>
        <v>0</v>
      </c>
      <c r="X226" s="70"/>
      <c r="Y226" s="82"/>
      <c r="Z226" s="83">
        <f t="shared" ref="Z226" ca="1" si="248">COUNTIF($M$226:$M$229,Y226)*$D$27</f>
        <v>0</v>
      </c>
      <c r="AA226" s="70"/>
      <c r="AB226" s="82"/>
      <c r="AC226" s="83">
        <f t="shared" ref="AC226" ca="1" si="249">COUNTIF($M$226:$M$229,AB226)*$D$27</f>
        <v>0</v>
      </c>
      <c r="AD226" s="70"/>
      <c r="AE226" s="82"/>
      <c r="AF226" s="83">
        <f t="shared" ref="AF226" ca="1" si="250">COUNTIF($M$226:$M$229,AE226)*$D$27</f>
        <v>0</v>
      </c>
      <c r="AG226" s="70"/>
      <c r="AH226" s="70"/>
    </row>
    <row r="227" spans="1:34">
      <c r="A227" s="25"/>
      <c r="B227" s="25"/>
      <c r="C227" s="25"/>
      <c r="D227" s="25"/>
      <c r="E227" s="25"/>
      <c r="F227" s="415">
        <f t="shared" ref="F227:F229" si="251">$D$27</f>
        <v>0</v>
      </c>
      <c r="G227" s="415">
        <f ca="1">VLOOKUP(H227,Equipos!$Q$1:$R$25,2,0)</f>
        <v>22</v>
      </c>
      <c r="H227" s="71" t="str">
        <f>Idiomas!$D$262</f>
        <v>Cuartos de final</v>
      </c>
      <c r="I227" s="56"/>
      <c r="J227" s="849"/>
      <c r="K227" s="62" t="str">
        <f>Idiomas!$D$201&amp;"-"&amp;ROWS($L$226:L227)</f>
        <v>Semifinalista-2</v>
      </c>
      <c r="L227" s="59"/>
      <c r="M227" s="61" t="str">
        <f ca="1">WORLDCUP!AA139</f>
        <v>Inglaterra</v>
      </c>
      <c r="N227" s="25"/>
      <c r="O227" s="25"/>
      <c r="P227" s="25"/>
      <c r="Q227" s="25"/>
      <c r="R227" s="116"/>
      <c r="S227" s="80"/>
      <c r="T227" s="79">
        <f ca="1">COUNTIF($M$226:$M$229,S227)*$D$27</f>
        <v>0</v>
      </c>
      <c r="U227" s="70"/>
      <c r="V227" s="80"/>
      <c r="W227" s="79">
        <f t="shared" ref="W227" ca="1" si="252">COUNTIF($M$226:$M$229,V227)*$D$27</f>
        <v>0</v>
      </c>
      <c r="X227" s="70"/>
      <c r="Y227" s="80"/>
      <c r="Z227" s="79">
        <f t="shared" ref="Z227" ca="1" si="253">COUNTIF($M$226:$M$229,Y227)*$D$27</f>
        <v>0</v>
      </c>
      <c r="AA227" s="70"/>
      <c r="AB227" s="80"/>
      <c r="AC227" s="79">
        <f t="shared" ref="AC227" ca="1" si="254">COUNTIF($M$226:$M$229,AB227)*$D$27</f>
        <v>0</v>
      </c>
      <c r="AD227" s="70"/>
      <c r="AE227" s="80"/>
      <c r="AF227" s="79">
        <f t="shared" ref="AF227" ca="1" si="255">COUNTIF($M$226:$M$229,AE227)*$D$27</f>
        <v>0</v>
      </c>
      <c r="AG227" s="70"/>
      <c r="AH227" s="70"/>
    </row>
    <row r="228" spans="1:34">
      <c r="A228" s="25"/>
      <c r="B228" s="25"/>
      <c r="C228" s="25"/>
      <c r="D228" s="25"/>
      <c r="E228" s="25"/>
      <c r="F228" s="415">
        <f t="shared" si="251"/>
        <v>0</v>
      </c>
      <c r="G228" s="415">
        <f ca="1">VLOOKUP(H228,Equipos!$Q$1:$R$25,2,0)</f>
        <v>22</v>
      </c>
      <c r="H228" s="71" t="str">
        <f>Idiomas!$D$262</f>
        <v>Cuartos de final</v>
      </c>
      <c r="I228" s="56"/>
      <c r="J228" s="849"/>
      <c r="K228" s="62" t="str">
        <f>Idiomas!$D$201&amp;"-"&amp;ROWS($L$226:L228)</f>
        <v>Semifinalista-3</v>
      </c>
      <c r="L228" s="59"/>
      <c r="M228" s="61" t="str">
        <f ca="1">WORLDCUP!AF138</f>
        <v>España</v>
      </c>
      <c r="N228" s="25"/>
      <c r="O228" s="25"/>
      <c r="P228" s="25"/>
      <c r="Q228" s="25"/>
      <c r="R228" s="116"/>
      <c r="S228" s="80"/>
      <c r="T228" s="79">
        <f ca="1">COUNTIF($M$226:$M$229,S228)*$D$27</f>
        <v>0</v>
      </c>
      <c r="U228" s="70"/>
      <c r="V228" s="80"/>
      <c r="W228" s="79">
        <f t="shared" ref="W228" ca="1" si="256">COUNTIF($M$226:$M$229,V228)*$D$27</f>
        <v>0</v>
      </c>
      <c r="X228" s="70"/>
      <c r="Y228" s="80"/>
      <c r="Z228" s="79">
        <f t="shared" ref="Z228" ca="1" si="257">COUNTIF($M$226:$M$229,Y228)*$D$27</f>
        <v>0</v>
      </c>
      <c r="AA228" s="70"/>
      <c r="AB228" s="80"/>
      <c r="AC228" s="79">
        <f t="shared" ref="AC228" ca="1" si="258">COUNTIF($M$226:$M$229,AB228)*$D$27</f>
        <v>0</v>
      </c>
      <c r="AD228" s="70"/>
      <c r="AE228" s="80"/>
      <c r="AF228" s="79">
        <f t="shared" ref="AF228" ca="1" si="259">COUNTIF($M$226:$M$229,AE228)*$D$27</f>
        <v>0</v>
      </c>
      <c r="AG228" s="70"/>
      <c r="AH228" s="70"/>
    </row>
    <row r="229" spans="1:34">
      <c r="A229" s="25"/>
      <c r="B229" s="25"/>
      <c r="C229" s="25"/>
      <c r="D229" s="25"/>
      <c r="E229" s="25"/>
      <c r="F229" s="415">
        <f t="shared" si="251"/>
        <v>0</v>
      </c>
      <c r="G229" s="415">
        <f ca="1">VLOOKUP(H229,Equipos!$Q$1:$R$25,2,0)</f>
        <v>22</v>
      </c>
      <c r="H229" s="71" t="str">
        <f>Idiomas!$D$262</f>
        <v>Cuartos de final</v>
      </c>
      <c r="I229" s="56"/>
      <c r="J229" s="849"/>
      <c r="K229" s="62" t="str">
        <f>Idiomas!$D$201&amp;"-"&amp;ROWS($L$226:L229)</f>
        <v>Semifinalista-4</v>
      </c>
      <c r="L229" s="59"/>
      <c r="M229" s="61" t="str">
        <f ca="1">WORLDCUP!AF139</f>
        <v>Portugal</v>
      </c>
      <c r="N229" s="25"/>
      <c r="O229" s="25"/>
      <c r="P229" s="25"/>
      <c r="Q229" s="25"/>
      <c r="R229" s="116"/>
      <c r="S229" s="86"/>
      <c r="T229" s="87">
        <f ca="1">COUNTIF($M$226:$M$229,S229)*$D$27</f>
        <v>0</v>
      </c>
      <c r="U229" s="70"/>
      <c r="V229" s="86"/>
      <c r="W229" s="87">
        <f t="shared" ref="W229" ca="1" si="260">COUNTIF($M$226:$M$229,V229)*$D$27</f>
        <v>0</v>
      </c>
      <c r="X229" s="70"/>
      <c r="Y229" s="86"/>
      <c r="Z229" s="87">
        <f t="shared" ref="Z229" ca="1" si="261">COUNTIF($M$226:$M$229,Y229)*$D$27</f>
        <v>0</v>
      </c>
      <c r="AA229" s="70"/>
      <c r="AB229" s="86"/>
      <c r="AC229" s="87">
        <f t="shared" ref="AC229" ca="1" si="262">COUNTIF($M$226:$M$229,AB229)*$D$27</f>
        <v>0</v>
      </c>
      <c r="AD229" s="70"/>
      <c r="AE229" s="86"/>
      <c r="AF229" s="87">
        <f t="shared" ref="AF229" ca="1" si="263">COUNTIF($M$226:$M$229,AE229)*$D$27</f>
        <v>0</v>
      </c>
      <c r="AG229" s="70"/>
      <c r="AH229" s="70"/>
    </row>
    <row r="230" spans="1:34">
      <c r="A230" s="25"/>
      <c r="B230" s="25"/>
      <c r="C230" s="25"/>
      <c r="D230" s="25"/>
      <c r="E230" s="25"/>
      <c r="F230" s="415"/>
      <c r="G230" s="415"/>
      <c r="H230" s="71"/>
      <c r="I230" s="56"/>
      <c r="J230" s="100"/>
      <c r="K230" s="442" t="str">
        <f>Idiomas!D463</f>
        <v>Equipos 1/2</v>
      </c>
      <c r="L230" s="443"/>
      <c r="M230" s="442" t="str">
        <f ca="1">"Max: "&amp;$D$27*COUNT(T226:T229)</f>
        <v>Max: 0</v>
      </c>
      <c r="N230" s="25"/>
      <c r="O230" s="25"/>
      <c r="P230" s="25"/>
      <c r="Q230" s="25"/>
      <c r="R230" s="55"/>
      <c r="S230" s="90"/>
      <c r="T230" s="77">
        <f ca="1">SUM(T226:T229)</f>
        <v>0</v>
      </c>
      <c r="U230" s="71"/>
      <c r="V230" s="90"/>
      <c r="W230" s="77">
        <f t="shared" ref="W230" ca="1" si="264">SUM(W226:W229)</f>
        <v>0</v>
      </c>
      <c r="X230" s="71"/>
      <c r="Y230" s="90"/>
      <c r="Z230" s="77">
        <f t="shared" ref="Z230" ca="1" si="265">SUM(Z226:Z229)</f>
        <v>0</v>
      </c>
      <c r="AA230" s="71"/>
      <c r="AB230" s="90"/>
      <c r="AC230" s="77">
        <f t="shared" ref="AC230" ca="1" si="266">SUM(AC226:AC229)</f>
        <v>0</v>
      </c>
      <c r="AD230" s="71"/>
      <c r="AE230" s="90"/>
      <c r="AF230" s="77">
        <f t="shared" ref="AF230" ca="1" si="267">SUM(AF226:AF229)</f>
        <v>0</v>
      </c>
      <c r="AG230" s="71"/>
      <c r="AH230" s="71"/>
    </row>
    <row r="231" spans="1:34">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c r="A232" s="25">
        <f>WORLDCUP!AD138</f>
        <v>2</v>
      </c>
      <c r="B232" s="25">
        <f>WORLDCUP!AC138</f>
        <v>1</v>
      </c>
      <c r="C232" s="25" t="str">
        <f ca="1">CONCATENATE(WORLDCUP!AF138,"-",WORLDCUP!AA138)</f>
        <v>España-Francia</v>
      </c>
      <c r="D232" s="25">
        <f>IF(WORLDCUP!AC138&gt;WORLDCUP!AD138,2,IF(WORLDCUP!AC138&lt;WORLDCUP!AD138,1,IF(AND(WORLDCUP!AC138=WORLDCUP!AD138,WORLDCUP!AC138&lt;&gt;"",WORLDCUP!AD138&lt;&gt;""),0,"PD")))</f>
        <v>1</v>
      </c>
      <c r="E232" s="25" t="str">
        <f>IF(OR(WORLDCUP!AD138="",WORLDCUP!AC138=""),"-",A232&amp;"-"&amp;B232)</f>
        <v>2-1</v>
      </c>
      <c r="F232" s="415">
        <f>SUM($D$28:$D$30)*I232</f>
        <v>0</v>
      </c>
      <c r="G232" s="415">
        <f ca="1">VLOOKUP(H232,Equipos!$Q$1:$R$25,2,0)</f>
        <v>23</v>
      </c>
      <c r="H232" s="71" t="str">
        <f>Idiomas!$D$263</f>
        <v>Semifinales</v>
      </c>
      <c r="I232" s="49">
        <v>1</v>
      </c>
      <c r="J232" s="850" t="s">
        <v>35</v>
      </c>
      <c r="K232" s="59" t="str">
        <f ca="1">CONCATENATE(WORLDCUP!AA138,"-",WORLDCUP!AF138)</f>
        <v>Francia-España</v>
      </c>
      <c r="L232" s="59">
        <f>IF(OR(WORLDCUP!AC138="",WORLDCUP!AD138=""),"PD",IF(WORLDCUP!AC138&gt;WORLDCUP!AD138,1,IF(WORLDCUP!AC138&lt;WORLDCUP!AD138,2,0)))</f>
        <v>2</v>
      </c>
      <c r="M232" s="61" t="str">
        <f t="shared" ref="M232:M233" si="268">IF(L232="PD","-",N232&amp;"-"&amp;O232)</f>
        <v>1-2</v>
      </c>
      <c r="N232" s="25">
        <f>WORLDCUP!AC138</f>
        <v>1</v>
      </c>
      <c r="O232" s="25">
        <f>WORLDCUP!AD138</f>
        <v>2</v>
      </c>
      <c r="P232" s="25">
        <f>+N232-O232</f>
        <v>-1</v>
      </c>
      <c r="Q232" s="25">
        <f>+A232-B232</f>
        <v>1</v>
      </c>
      <c r="R232" s="116"/>
      <c r="S232" s="82" t="str">
        <f>Idiomas!$D$370</f>
        <v>Pegar valores Semifinales</v>
      </c>
      <c r="T232" s="83">
        <f ca="1">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s="82" t="str">
        <f>Idiomas!$D$370</f>
        <v>Pegar valores Semifinales</v>
      </c>
      <c r="W232" s="83">
        <f t="shared" ref="W232" ca="1"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s="82" t="str">
        <f>Idiomas!$D$370</f>
        <v>Pegar valores Semifinales</v>
      </c>
      <c r="Z232" s="83">
        <f t="shared" ref="Z232" ca="1"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s="82" t="str">
        <f>Idiomas!$D$370</f>
        <v>Pegar valores Semifinales</v>
      </c>
      <c r="AC232" s="83">
        <f t="shared" ref="AC232" ca="1"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s="82" t="str">
        <f>Idiomas!$D$370</f>
        <v>Pegar valores Semifinales</v>
      </c>
      <c r="AF232" s="83">
        <f t="shared" ref="AF232" ca="1"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c r="A233" s="25">
        <f>WORLDCUP!AD139</f>
        <v>3</v>
      </c>
      <c r="B233" s="25">
        <f>WORLDCUP!AC139</f>
        <v>2</v>
      </c>
      <c r="C233" s="25" t="str">
        <f ca="1">CONCATENATE(WORLDCUP!AF139,"-",WORLDCUP!AA139)</f>
        <v>Portugal-Inglaterra</v>
      </c>
      <c r="D233" s="25">
        <f>IF(WORLDCUP!AC139&gt;WORLDCUP!AD139,2,IF(WORLDCUP!AC139&lt;WORLDCUP!AD139,1,IF(AND(WORLDCUP!AC139=WORLDCUP!AD139,WORLDCUP!AC139&lt;&gt;"",WORLDCUP!AD139&lt;&gt;""),0,"PD")))</f>
        <v>1</v>
      </c>
      <c r="E233" s="25" t="str">
        <f>IF(OR(WORLDCUP!AD139="",WORLDCUP!AC139=""),"-",A233&amp;"-"&amp;B233)</f>
        <v>3-2</v>
      </c>
      <c r="F233" s="415">
        <f>SUM($D$28:$D$30)*I233</f>
        <v>0</v>
      </c>
      <c r="G233" s="415">
        <f ca="1">VLOOKUP(H233,Equipos!$Q$1:$R$25,2,0)</f>
        <v>23</v>
      </c>
      <c r="H233" s="71" t="str">
        <f>Idiomas!$D$263</f>
        <v>Semifinales</v>
      </c>
      <c r="I233" s="49">
        <v>1</v>
      </c>
      <c r="J233" s="850"/>
      <c r="K233" s="62" t="str">
        <f ca="1">CONCATENATE(WORLDCUP!AA139,"-",WORLDCUP!AF139)</f>
        <v>Inglaterra-Portugal</v>
      </c>
      <c r="L233" s="59">
        <f>IF(OR(WORLDCUP!AC139="",WORLDCUP!AD139=""),"PD",IF(WORLDCUP!AC139&gt;WORLDCUP!AD139,1,IF(WORLDCUP!AC139&lt;WORLDCUP!AD139,2,0)))</f>
        <v>2</v>
      </c>
      <c r="M233" s="61" t="str">
        <f t="shared" si="268"/>
        <v>2-3</v>
      </c>
      <c r="N233" s="25">
        <f>WORLDCUP!AC139</f>
        <v>2</v>
      </c>
      <c r="O233" s="25">
        <f>WORLDCUP!AD139</f>
        <v>3</v>
      </c>
      <c r="P233" s="25">
        <f>+N233-O233</f>
        <v>-1</v>
      </c>
      <c r="Q233" s="25">
        <f>+A233-B233</f>
        <v>1</v>
      </c>
      <c r="R233" s="116"/>
      <c r="S233" s="86"/>
      <c r="T233" s="87">
        <f ca="1">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s="86"/>
      <c r="W233" s="87">
        <f t="shared" ref="W233" ca="1"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s="86"/>
      <c r="Z233" s="87">
        <f t="shared" ref="Z233" ca="1"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s="86"/>
      <c r="AC233" s="87">
        <f t="shared" ref="AC233" ca="1"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s="86"/>
      <c r="AF233" s="87">
        <f t="shared" ref="AF233" ca="1"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c r="A234" s="25"/>
      <c r="B234" s="25"/>
      <c r="C234" s="25"/>
      <c r="D234" s="25"/>
      <c r="E234" s="25"/>
      <c r="F234" s="415"/>
      <c r="G234" s="415"/>
      <c r="H234" s="71"/>
      <c r="I234" s="56"/>
      <c r="J234" s="100"/>
      <c r="K234" s="442" t="str">
        <f>Idiomas!D464</f>
        <v>Partidos 1/2</v>
      </c>
      <c r="L234" s="443"/>
      <c r="M234" s="442" t="str">
        <f>"Max: "&amp;SUM($D$28:$D$30)*SUM($I$232:$I$233)</f>
        <v>Max: 0</v>
      </c>
      <c r="N234" s="25"/>
      <c r="O234" s="25"/>
      <c r="P234" s="25"/>
      <c r="Q234" s="25"/>
      <c r="R234" s="17"/>
      <c r="S234" s="90"/>
      <c r="T234" s="77">
        <f ca="1">SUM(T232:T233)</f>
        <v>0</v>
      </c>
      <c r="U234" s="55"/>
      <c r="V234" s="90"/>
      <c r="W234" s="77">
        <f t="shared" ref="W234" ca="1" si="277">SUM(W232:W233)</f>
        <v>0</v>
      </c>
      <c r="X234" s="55"/>
      <c r="Y234" s="90"/>
      <c r="Z234" s="77">
        <f t="shared" ref="Z234" ca="1" si="278">SUM(Z232:Z233)</f>
        <v>0</v>
      </c>
      <c r="AA234" s="55"/>
      <c r="AB234" s="90"/>
      <c r="AC234" s="77">
        <f t="shared" ref="AC234" ca="1" si="279">SUM(AC232:AC233)</f>
        <v>0</v>
      </c>
      <c r="AD234" s="117"/>
      <c r="AE234" s="90"/>
      <c r="AF234" s="77">
        <f t="shared" ref="AF234" ca="1" si="280">SUM(AF232:AF233)</f>
        <v>0</v>
      </c>
      <c r="AG234" s="55"/>
      <c r="AH234" s="55"/>
    </row>
    <row r="235" spans="1:34">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c r="A236" s="25"/>
      <c r="B236" s="25"/>
      <c r="C236" s="25"/>
      <c r="D236" s="25"/>
      <c r="E236" s="25"/>
      <c r="F236" s="415">
        <f>$D$31</f>
        <v>0</v>
      </c>
      <c r="G236" s="415">
        <f ca="1">VLOOKUP(H236,Equipos!$Q$1:$R$25,2,0)</f>
        <v>23</v>
      </c>
      <c r="H236" s="71" t="str">
        <f>Idiomas!$D$263</f>
        <v>Semifinales</v>
      </c>
      <c r="I236" s="56"/>
      <c r="J236" s="850" t="s">
        <v>493</v>
      </c>
      <c r="K236" s="59" t="str">
        <f>Idiomas!D202&amp;"-"&amp;ROWS($L$236:L236)</f>
        <v>3º y 4º puesto-1</v>
      </c>
      <c r="L236" s="59"/>
      <c r="M236" s="61" t="str">
        <f ca="1">WORLDCUP!AA143</f>
        <v>Francia</v>
      </c>
      <c r="N236" s="25"/>
      <c r="O236" s="25"/>
      <c r="P236" s="25"/>
      <c r="Q236" s="25"/>
      <c r="R236" s="17"/>
      <c r="S236" s="82"/>
      <c r="T236" s="83">
        <f ca="1">COUNTIF($M$236:$M$237,S236)*$D$31</f>
        <v>0</v>
      </c>
      <c r="U236" s="116"/>
      <c r="V236" s="82"/>
      <c r="W236" s="83">
        <f t="shared" ref="W236" ca="1" si="281">COUNTIF($M$236:$M$237,V236)*$D$31</f>
        <v>0</v>
      </c>
      <c r="X236" s="116"/>
      <c r="Y236" s="82"/>
      <c r="Z236" s="83">
        <f t="shared" ref="Z236" ca="1" si="282">COUNTIF($M$236:$M$237,Y236)*$D$31</f>
        <v>0</v>
      </c>
      <c r="AA236" s="116"/>
      <c r="AB236" s="82"/>
      <c r="AC236" s="83">
        <f t="shared" ref="AC236" ca="1" si="283">COUNTIF($M$236:$M$237,AB236)*$D$31</f>
        <v>0</v>
      </c>
      <c r="AD236" s="116"/>
      <c r="AE236" s="82"/>
      <c r="AF236" s="83">
        <f t="shared" ref="AF236" ca="1" si="284">COUNTIF($M$236:$M$237,AE236)*$D$31</f>
        <v>0</v>
      </c>
      <c r="AG236" s="116"/>
      <c r="AH236" s="116"/>
    </row>
    <row r="237" spans="1:34">
      <c r="A237" s="25"/>
      <c r="B237" s="25"/>
      <c r="C237" s="25"/>
      <c r="D237" s="25"/>
      <c r="E237" s="25"/>
      <c r="F237" s="415">
        <f>$D$31</f>
        <v>0</v>
      </c>
      <c r="G237" s="415">
        <f ca="1">VLOOKUP(H237,Equipos!$Q$1:$R$25,2,0)</f>
        <v>23</v>
      </c>
      <c r="H237" s="71" t="str">
        <f>Idiomas!$D$263</f>
        <v>Semifinales</v>
      </c>
      <c r="I237" s="56"/>
      <c r="J237" s="850"/>
      <c r="K237" s="121" t="str">
        <f>Idiomas!D203&amp;"-"&amp;ROWS($L$236:L237)</f>
        <v>Finalista-2</v>
      </c>
      <c r="L237" s="121"/>
      <c r="M237" s="122" t="str">
        <f ca="1">WORLDCUP!AF143</f>
        <v>Inglaterra</v>
      </c>
      <c r="N237" s="25"/>
      <c r="O237" s="25"/>
      <c r="P237" s="25"/>
      <c r="Q237" s="25"/>
      <c r="R237" s="17"/>
      <c r="S237" s="86"/>
      <c r="T237" s="87">
        <f ca="1">COUNTIF($M$236:$M$237,S237)*$D$31</f>
        <v>0</v>
      </c>
      <c r="U237" s="116"/>
      <c r="V237" s="86"/>
      <c r="W237" s="87">
        <f t="shared" ref="W237" ca="1" si="285">COUNTIF($M$236:$M$237,V237)*$D$31</f>
        <v>0</v>
      </c>
      <c r="X237" s="116"/>
      <c r="Y237" s="86"/>
      <c r="Z237" s="87">
        <f t="shared" ref="Z237" ca="1" si="286">COUNTIF($M$236:$M$237,Y237)*$D$31</f>
        <v>0</v>
      </c>
      <c r="AA237" s="116"/>
      <c r="AB237" s="86"/>
      <c r="AC237" s="87">
        <f t="shared" ref="AC237" ca="1" si="287">COUNTIF($M$236:$M$237,AB237)*$D$31</f>
        <v>0</v>
      </c>
      <c r="AD237" s="116"/>
      <c r="AE237" s="86"/>
      <c r="AF237" s="87">
        <f t="shared" ref="AF237" ca="1" si="288">COUNTIF($M$236:$M$237,AE237)*$D$31</f>
        <v>0</v>
      </c>
      <c r="AG237" s="116"/>
      <c r="AH237" s="116"/>
    </row>
    <row r="238" spans="1:34">
      <c r="A238" s="25"/>
      <c r="B238" s="25"/>
      <c r="C238" s="25"/>
      <c r="D238" s="25"/>
      <c r="E238" s="25"/>
      <c r="F238" s="415"/>
      <c r="G238" s="415"/>
      <c r="H238" s="71"/>
      <c r="I238" s="56"/>
      <c r="J238" s="100"/>
      <c r="K238" s="442" t="str">
        <f>Idiomas!D465</f>
        <v>Equipos 3-4</v>
      </c>
      <c r="L238" s="443"/>
      <c r="M238" s="442" t="str">
        <f ca="1">"Max: "&amp;$D$31*COUNT(T236:T237)</f>
        <v>Max: 0</v>
      </c>
      <c r="N238" s="25"/>
      <c r="O238" s="25"/>
      <c r="P238" s="25"/>
      <c r="Q238" s="25"/>
      <c r="R238" s="17"/>
      <c r="S238" s="90"/>
      <c r="T238" s="77">
        <f ca="1">SUM(T236:T237)</f>
        <v>0</v>
      </c>
      <c r="U238" s="55"/>
      <c r="V238" s="90"/>
      <c r="W238" s="77">
        <f t="shared" ref="W238" ca="1" si="289">SUM(W236:W237)</f>
        <v>0</v>
      </c>
      <c r="X238" s="55"/>
      <c r="Y238" s="90"/>
      <c r="Z238" s="77">
        <f t="shared" ref="Z238" ca="1" si="290">SUM(Z236:Z237)</f>
        <v>0</v>
      </c>
      <c r="AA238" s="55"/>
      <c r="AB238" s="90"/>
      <c r="AC238" s="77">
        <f t="shared" ref="AC238" ca="1" si="291">SUM(AC236:AC237)</f>
        <v>0</v>
      </c>
      <c r="AD238" s="55"/>
      <c r="AE238" s="90"/>
      <c r="AF238" s="77">
        <f t="shared" ref="AF238" ca="1" si="292">SUM(AF236:AF237)</f>
        <v>0</v>
      </c>
      <c r="AG238" s="55"/>
      <c r="AH238" s="55"/>
    </row>
    <row r="239" spans="1:34">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c r="A240" s="25"/>
      <c r="B240" s="25"/>
      <c r="C240" s="25"/>
      <c r="D240" s="25"/>
      <c r="E240" s="25"/>
      <c r="F240" s="415">
        <f>$D$32</f>
        <v>0</v>
      </c>
      <c r="G240" s="415">
        <f ca="1">VLOOKUP(H240,Equipos!$Q$1:$R$25,2,0)</f>
        <v>23</v>
      </c>
      <c r="H240" s="71" t="str">
        <f>Idiomas!$D$263</f>
        <v>Semifinales</v>
      </c>
      <c r="I240" s="56"/>
      <c r="J240" s="850" t="s">
        <v>4</v>
      </c>
      <c r="K240" s="59" t="str">
        <f>Idiomas!$D$203&amp;"-"&amp;ROWS($L$240:L240)</f>
        <v>Finalista-1</v>
      </c>
      <c r="L240" s="59"/>
      <c r="M240" s="61" t="str">
        <f ca="1">WORLDCUP!AA147</f>
        <v>España</v>
      </c>
      <c r="N240" s="25"/>
      <c r="O240" s="25"/>
      <c r="P240" s="25"/>
      <c r="Q240" s="25"/>
      <c r="R240" s="17"/>
      <c r="S240" s="82"/>
      <c r="T240" s="83">
        <f ca="1">COUNTIF($M$240:$M$241,S240)*$D$32</f>
        <v>0</v>
      </c>
      <c r="U240" s="116"/>
      <c r="V240" s="82"/>
      <c r="W240" s="83">
        <f t="shared" ref="W240" ca="1" si="293">COUNTIF($M$240:$M$241,V240)*$D$32</f>
        <v>0</v>
      </c>
      <c r="X240" s="116"/>
      <c r="Y240" s="82"/>
      <c r="Z240" s="83">
        <f t="shared" ref="Z240" ca="1" si="294">COUNTIF($M$240:$M$241,Y240)*$D$32</f>
        <v>0</v>
      </c>
      <c r="AA240" s="116"/>
      <c r="AB240" s="82"/>
      <c r="AC240" s="83">
        <f t="shared" ref="AC240" ca="1" si="295">COUNTIF($M$240:$M$241,AB240)*$D$32</f>
        <v>0</v>
      </c>
      <c r="AD240" s="116"/>
      <c r="AE240" s="82"/>
      <c r="AF240" s="83">
        <f t="shared" ref="AF240" ca="1" si="296">COUNTIF($M$240:$M$241,AE240)*$D$32</f>
        <v>0</v>
      </c>
      <c r="AG240" s="116"/>
      <c r="AH240" s="116"/>
    </row>
    <row r="241" spans="1:34">
      <c r="A241" s="25"/>
      <c r="B241" s="25"/>
      <c r="C241" s="25"/>
      <c r="D241" s="25"/>
      <c r="E241" s="25"/>
      <c r="F241" s="415">
        <f>$D$32</f>
        <v>0</v>
      </c>
      <c r="G241" s="415">
        <f ca="1">VLOOKUP(H241,Equipos!$Q$1:$R$25,2,0)</f>
        <v>23</v>
      </c>
      <c r="H241" s="71" t="str">
        <f>Idiomas!$D$263</f>
        <v>Semifinales</v>
      </c>
      <c r="I241" s="56"/>
      <c r="J241" s="850"/>
      <c r="K241" s="121" t="str">
        <f>Idiomas!$D$203&amp;"-"&amp;ROWS($L$240:L241)</f>
        <v>Finalista-2</v>
      </c>
      <c r="L241" s="121"/>
      <c r="M241" s="122" t="str">
        <f ca="1">WORLDCUP!AF147</f>
        <v>Portugal</v>
      </c>
      <c r="N241" s="25"/>
      <c r="O241" s="25"/>
      <c r="P241" s="25"/>
      <c r="Q241" s="25"/>
      <c r="R241" s="17"/>
      <c r="S241" s="86"/>
      <c r="T241" s="87">
        <f ca="1">COUNTIF($M$240:$M$241,S241)*$D$32</f>
        <v>0</v>
      </c>
      <c r="U241" s="116"/>
      <c r="V241" s="86"/>
      <c r="W241" s="87">
        <f t="shared" ref="W241" ca="1" si="297">COUNTIF($M$240:$M$241,V241)*$D$32</f>
        <v>0</v>
      </c>
      <c r="X241" s="116"/>
      <c r="Y241" s="86"/>
      <c r="Z241" s="87">
        <f t="shared" ref="Z241" ca="1" si="298">COUNTIF($M$240:$M$241,Y241)*$D$32</f>
        <v>0</v>
      </c>
      <c r="AA241" s="116"/>
      <c r="AB241" s="86"/>
      <c r="AC241" s="87">
        <f t="shared" ref="AC241" ca="1" si="299">COUNTIF($M$240:$M$241,AB241)*$D$32</f>
        <v>0</v>
      </c>
      <c r="AD241" s="116"/>
      <c r="AE241" s="86"/>
      <c r="AF241" s="87">
        <f t="shared" ref="AF241" ca="1" si="300">COUNTIF($M$240:$M$241,AE241)*$D$32</f>
        <v>0</v>
      </c>
      <c r="AG241" s="116"/>
      <c r="AH241" s="116"/>
    </row>
    <row r="242" spans="1:34">
      <c r="A242" s="25"/>
      <c r="B242" s="25"/>
      <c r="C242" s="25"/>
      <c r="D242" s="25"/>
      <c r="E242" s="25"/>
      <c r="F242" s="415"/>
      <c r="G242" s="415"/>
      <c r="H242" s="71"/>
      <c r="I242" s="56"/>
      <c r="J242" s="100"/>
      <c r="K242" s="442" t="str">
        <f>Idiomas!D466</f>
        <v>Equipos Final</v>
      </c>
      <c r="L242" s="443"/>
      <c r="M242" s="442" t="str">
        <f ca="1">"Max: "&amp;$D$32*COUNT(T240:T241)</f>
        <v>Max: 0</v>
      </c>
      <c r="N242" s="25"/>
      <c r="O242" s="25"/>
      <c r="P242" s="25"/>
      <c r="Q242" s="25"/>
      <c r="R242" s="17"/>
      <c r="S242" s="90"/>
      <c r="T242" s="77">
        <f ca="1">SUM(T240:T241)</f>
        <v>0</v>
      </c>
      <c r="U242" s="55"/>
      <c r="V242" s="90"/>
      <c r="W242" s="77">
        <f t="shared" ref="W242" ca="1" si="301">SUM(W240:W241)</f>
        <v>0</v>
      </c>
      <c r="X242" s="55"/>
      <c r="Y242" s="90"/>
      <c r="Z242" s="77">
        <f t="shared" ref="Z242" ca="1" si="302">SUM(Z240:Z241)</f>
        <v>0</v>
      </c>
      <c r="AA242" s="55"/>
      <c r="AB242" s="90"/>
      <c r="AC242" s="77">
        <f t="shared" ref="AC242" ca="1" si="303">SUM(AC240:AC241)</f>
        <v>0</v>
      </c>
      <c r="AD242" s="55"/>
      <c r="AE242" s="90"/>
      <c r="AF242" s="77">
        <f t="shared" ref="AF242" ca="1" si="304">SUM(AF240:AF241)</f>
        <v>0</v>
      </c>
      <c r="AG242" s="55"/>
      <c r="AH242" s="55"/>
    </row>
    <row r="243" spans="1:34">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0">
      <c r="A244" s="25">
        <f>WORLDCUP!AD143</f>
        <v>0</v>
      </c>
      <c r="B244" s="25">
        <f>WORLDCUP!AC143</f>
        <v>2</v>
      </c>
      <c r="C244" s="25" t="str">
        <f ca="1">CONCATENATE(WORLDCUP!AF143,"-",WORLDCUP!AA143)</f>
        <v>Inglaterra-Francia</v>
      </c>
      <c r="D244" s="25">
        <f>IF(WORLDCUP!AC143&gt;WORLDCUP!AD143,2,IF(WORLDCUP!AC143&lt;WORLDCUP!AD143,1,IF(AND(WORLDCUP!AC143=WORLDCUP!AD143,WORLDCUP!AC143&lt;&gt;"",WORLDCUP!AD143&lt;&gt;""),0,"PD")))</f>
        <v>2</v>
      </c>
      <c r="E244" s="25" t="str">
        <f>IF(OR(WORLDCUP!AD143="",WORLDCUP!AC143=""),"-",A244&amp;"-"&amp;B244)</f>
        <v>0-2</v>
      </c>
      <c r="F244" s="415">
        <f>SUM($D$33:$D$35)*$I$244</f>
        <v>0</v>
      </c>
      <c r="G244" s="415">
        <f ca="1">VLOOKUP(H244,Equipos!$Q$1:$R$25,2,0)</f>
        <v>24</v>
      </c>
      <c r="H244" s="71" t="str">
        <f>Idiomas!$D$264</f>
        <v>3-4 &amp; Final</v>
      </c>
      <c r="I244" s="49">
        <v>1</v>
      </c>
      <c r="J244" s="104" t="s">
        <v>493</v>
      </c>
      <c r="K244" s="120" t="str">
        <f ca="1">CONCATENATE(WORLDCUP!AA143,"-",WORLDCUP!AF143)</f>
        <v>Francia-Inglaterra</v>
      </c>
      <c r="L244" s="120">
        <f>IF(OR(WORLDCUP!AC143="",WORLDCUP!AD143=""),"PD",IF(WORLDCUP!AC143&gt;WORLDCUP!AD143,1,IF(WORLDCUP!AC143&lt;WORLDCUP!AD143,2,0)))</f>
        <v>1</v>
      </c>
      <c r="M244" s="123" t="str">
        <f>IF(L244="PD","-",N244&amp;"-"&amp;O244)</f>
        <v>2-0</v>
      </c>
      <c r="N244" s="25">
        <f>WORLDCUP!AC143</f>
        <v>2</v>
      </c>
      <c r="O244" s="25">
        <f>WORLDCUP!AD143</f>
        <v>0</v>
      </c>
      <c r="P244" s="25">
        <f>+N244-O244</f>
        <v>2</v>
      </c>
      <c r="Q244" s="25">
        <f>+A244-B244</f>
        <v>-2</v>
      </c>
      <c r="R244" s="17"/>
      <c r="S244" s="72" t="str">
        <f>Idiomas!$D$371</f>
        <v>Pegar valores 3º-4º puesto y Final</v>
      </c>
      <c r="T244" s="91">
        <f ca="1">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s="72" t="str">
        <f>Idiomas!$D$371</f>
        <v>Pegar valores 3º-4º puesto y Final</v>
      </c>
      <c r="W244" s="91">
        <f t="shared" ref="W244" ca="1"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s="72" t="str">
        <f>Idiomas!$D$371</f>
        <v>Pegar valores 3º-4º puesto y Final</v>
      </c>
      <c r="Z244" s="91">
        <f t="shared" ref="Z244" ca="1"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s="72" t="str">
        <f>Idiomas!$D$371</f>
        <v>Pegar valores 3º-4º puesto y Final</v>
      </c>
      <c r="AC244" s="91">
        <f t="shared" ref="AC244" ca="1"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s="72" t="str">
        <f>Idiomas!$D$371</f>
        <v>Pegar valores 3º-4º puesto y Final</v>
      </c>
      <c r="AF244" s="91">
        <f t="shared" ref="AF244" ca="1"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c r="A245" s="25"/>
      <c r="B245" s="25"/>
      <c r="C245" s="25"/>
      <c r="D245" s="25"/>
      <c r="E245" s="25"/>
      <c r="F245" s="415"/>
      <c r="G245" s="415"/>
      <c r="H245" s="71"/>
      <c r="I245" s="56"/>
      <c r="J245" s="105"/>
      <c r="K245" s="442" t="str">
        <f>Idiomas!D467</f>
        <v>Partido 3-4</v>
      </c>
      <c r="L245" s="443"/>
      <c r="M245" s="442" t="str">
        <f>"Max: "&amp;SUM($D$33:$D$35)*$I$244</f>
        <v>Max: 0</v>
      </c>
      <c r="N245" s="25"/>
      <c r="O245" s="25"/>
      <c r="P245" s="25"/>
      <c r="Q245" s="25"/>
      <c r="R245" s="17"/>
      <c r="S245" s="90"/>
      <c r="T245" s="89">
        <f ca="1">T244</f>
        <v>0</v>
      </c>
      <c r="U245" s="116"/>
      <c r="V245" s="90"/>
      <c r="W245" s="89">
        <f t="shared" ref="W245" ca="1" si="309">W244</f>
        <v>0</v>
      </c>
      <c r="X245" s="116"/>
      <c r="Y245" s="90"/>
      <c r="Z245" s="89">
        <f t="shared" ref="Z245" ca="1" si="310">Z244</f>
        <v>0</v>
      </c>
      <c r="AA245" s="116"/>
      <c r="AB245" s="88"/>
      <c r="AC245" s="89">
        <f t="shared" ref="AC245" ca="1" si="311">AC244</f>
        <v>0</v>
      </c>
      <c r="AD245" s="116"/>
      <c r="AE245" s="90"/>
      <c r="AF245" s="89">
        <f t="shared" ref="AF245" ca="1" si="312">AF244</f>
        <v>0</v>
      </c>
      <c r="AG245" s="116"/>
      <c r="AH245" s="116"/>
    </row>
    <row r="246" spans="1:34">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0">
      <c r="A247" s="25">
        <f>WORLDCUP!AD147</f>
        <v>1</v>
      </c>
      <c r="B247" s="25">
        <f>WORLDCUP!AC147</f>
        <v>2</v>
      </c>
      <c r="C247" s="25" t="str">
        <f ca="1">CONCATENATE(WORLDCUP!AF147,"-",WORLDCUP!AA147)</f>
        <v>Portugal-España</v>
      </c>
      <c r="D247" s="25">
        <f>IF(WORLDCUP!AC147&gt;WORLDCUP!AD147,2,IF(WORLDCUP!AC147&lt;WORLDCUP!AD147,1,IF(AND(WORLDCUP!AC147=WORLDCUP!AD147,WORLDCUP!AC147&lt;&gt;"",WORLDCUP!AD147&lt;&gt;""),0,"PD")))</f>
        <v>2</v>
      </c>
      <c r="E247" s="25" t="str">
        <f>IF(OR(WORLDCUP!AD147="",WORLDCUP!AC147=""),"-",A247&amp;"-"&amp;B247)</f>
        <v>1-2</v>
      </c>
      <c r="F247" s="415">
        <f>SUM($D$36:$D$38)*$I$247</f>
        <v>0</v>
      </c>
      <c r="G247" s="415">
        <f ca="1">VLOOKUP(H247,Equipos!$Q$1:$R$25,2,0)</f>
        <v>24</v>
      </c>
      <c r="H247" s="71" t="str">
        <f>Idiomas!$D$264</f>
        <v>3-4 &amp; Final</v>
      </c>
      <c r="I247" s="49">
        <v>1</v>
      </c>
      <c r="J247" s="104" t="s">
        <v>4</v>
      </c>
      <c r="K247" s="120" t="str">
        <f ca="1">CONCATENATE(WORLDCUP!AA147,"-",WORLDCUP!AF147)</f>
        <v>España-Portugal</v>
      </c>
      <c r="L247" s="120">
        <f>IF(OR(WORLDCUP!AC147="",WORLDCUP!AD147=""),"PD",IF(WORLDCUP!AC147&gt;WORLDCUP!AD147,1,IF(WORLDCUP!AC147&lt;WORLDCUP!AD147,2,0)))</f>
        <v>1</v>
      </c>
      <c r="M247" s="123" t="str">
        <f>IF(L247="PD","-",N247&amp;"-"&amp;O247)</f>
        <v>2-1</v>
      </c>
      <c r="N247" s="25">
        <f>WORLDCUP!AC147</f>
        <v>2</v>
      </c>
      <c r="O247" s="25">
        <f>WORLDCUP!AD147</f>
        <v>1</v>
      </c>
      <c r="P247" s="25">
        <f>+N247-O247</f>
        <v>1</v>
      </c>
      <c r="Q247" s="25">
        <f>+A247-B247</f>
        <v>-1</v>
      </c>
      <c r="R247" s="17"/>
      <c r="S247" s="72"/>
      <c r="T247" s="91">
        <f ca="1">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s="72"/>
      <c r="W247" s="91">
        <f ca="1">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s="72"/>
      <c r="Z247" s="91">
        <f t="shared" ref="Z247" ca="1"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s="72"/>
      <c r="AC247" s="91">
        <f t="shared" ref="AC247" ca="1"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s="72"/>
      <c r="AF247" s="91">
        <f t="shared" ref="AF247" ca="1"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c r="A248" s="25"/>
      <c r="B248" s="25"/>
      <c r="C248" s="25"/>
      <c r="D248" s="25"/>
      <c r="E248" s="25"/>
      <c r="F248" s="415"/>
      <c r="G248" s="415"/>
      <c r="H248" s="71"/>
      <c r="I248" s="56"/>
      <c r="J248" s="100"/>
      <c r="K248" s="442" t="str">
        <f>Idiomas!D468</f>
        <v>Partido Final</v>
      </c>
      <c r="L248" s="443"/>
      <c r="M248" s="442" t="str">
        <f>"Max: "&amp;SUM($D$36:$D$38)*$I$247</f>
        <v>Max: 0</v>
      </c>
      <c r="N248" s="25"/>
      <c r="O248" s="25"/>
      <c r="P248" s="25"/>
      <c r="Q248" s="25"/>
      <c r="R248" s="17"/>
      <c r="S248" s="90"/>
      <c r="T248" s="77">
        <f ca="1">T247</f>
        <v>0</v>
      </c>
      <c r="U248" s="71"/>
      <c r="V248" s="90"/>
      <c r="W248" s="77">
        <f t="shared" ref="W248" ca="1" si="316">W247</f>
        <v>0</v>
      </c>
      <c r="X248" s="71"/>
      <c r="Y248" s="90"/>
      <c r="Z248" s="77">
        <f t="shared" ref="Z248" ca="1" si="317">Z247</f>
        <v>0</v>
      </c>
      <c r="AA248" s="71"/>
      <c r="AB248" s="90"/>
      <c r="AC248" s="77">
        <f t="shared" ref="AC248" ca="1" si="318">AC247</f>
        <v>0</v>
      </c>
      <c r="AD248" s="71"/>
      <c r="AE248" s="90"/>
      <c r="AF248" s="77">
        <f t="shared" ref="AF248" ca="1" si="319">AF247</f>
        <v>0</v>
      </c>
      <c r="AG248" s="71"/>
      <c r="AH248" s="71"/>
    </row>
    <row r="249" spans="1:34">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c r="A250" s="17"/>
      <c r="B250" s="17"/>
      <c r="C250" s="17"/>
      <c r="D250" s="17"/>
      <c r="E250" s="95"/>
      <c r="F250" s="415">
        <f t="shared" ref="F250:F258" si="320">D39</f>
        <v>0</v>
      </c>
      <c r="G250" s="415">
        <f ca="1">VLOOKUP(H250,Equipos!$Q$1:$R$25,2,0)</f>
        <v>24</v>
      </c>
      <c r="H250" s="71" t="str">
        <f>Idiomas!$D$264</f>
        <v>3-4 &amp; Final</v>
      </c>
      <c r="I250" s="56"/>
      <c r="J250" s="106"/>
      <c r="K250" s="59" t="str">
        <f>WORLDCUP!W150</f>
        <v>🥇Campeón</v>
      </c>
      <c r="L250" s="59"/>
      <c r="M250" s="61" t="str">
        <f ca="1">WORLDCUP!AA150</f>
        <v>España</v>
      </c>
      <c r="N250" s="25"/>
      <c r="O250" s="25"/>
      <c r="P250" s="25"/>
      <c r="Q250" s="25"/>
      <c r="R250" s="17"/>
      <c r="S250" s="82"/>
      <c r="T250" s="83">
        <f ca="1">COUNTIF($M$250,S250)*$D$39</f>
        <v>0</v>
      </c>
      <c r="U250" s="70"/>
      <c r="V250" s="82"/>
      <c r="W250" s="83">
        <f t="shared" ref="W250" ca="1" si="321">COUNTIF($M$250,V250)*$D$39</f>
        <v>0</v>
      </c>
      <c r="X250" s="70"/>
      <c r="Y250" s="82"/>
      <c r="Z250" s="83">
        <f t="shared" ref="Z250" ca="1" si="322">COUNTIF($M$250,Y250)*$D$39</f>
        <v>0</v>
      </c>
      <c r="AA250" s="70"/>
      <c r="AB250" s="82"/>
      <c r="AC250" s="83">
        <f t="shared" ref="AC250" ca="1" si="323">COUNTIF($M$250,AB250)*$D$39</f>
        <v>0</v>
      </c>
      <c r="AD250" s="70"/>
      <c r="AE250" s="82"/>
      <c r="AF250" s="83">
        <f t="shared" ref="AF250" ca="1" si="324">COUNTIF($M$250,AE250)*$D$39</f>
        <v>0</v>
      </c>
      <c r="AG250" s="70"/>
      <c r="AH250" s="70"/>
    </row>
    <row r="251" spans="1:34" ht="16" customHeight="1">
      <c r="A251" s="17"/>
      <c r="B251" s="17"/>
      <c r="C251" s="17"/>
      <c r="D251" s="17"/>
      <c r="E251" s="95"/>
      <c r="F251" s="415">
        <f t="shared" si="320"/>
        <v>0</v>
      </c>
      <c r="G251" s="415">
        <f ca="1">VLOOKUP(H251,Equipos!$Q$1:$R$25,2,0)</f>
        <v>24</v>
      </c>
      <c r="H251" s="71" t="str">
        <f>Idiomas!$D$264</f>
        <v>3-4 &amp; Final</v>
      </c>
      <c r="I251" s="56"/>
      <c r="J251" s="107"/>
      <c r="K251" s="62" t="str">
        <f>WORLDCUP!W151</f>
        <v>🥈Subcampeón</v>
      </c>
      <c r="L251" s="59"/>
      <c r="M251" s="61" t="str">
        <f ca="1">WORLDCUP!AA151</f>
        <v>Portugal</v>
      </c>
      <c r="N251" s="25"/>
      <c r="O251" s="25"/>
      <c r="P251" s="25"/>
      <c r="Q251" s="25"/>
      <c r="R251" s="17"/>
      <c r="S251" s="80"/>
      <c r="T251" s="79">
        <f ca="1">COUNTIF($M$251,S251)*$D$40</f>
        <v>0</v>
      </c>
      <c r="U251" s="70"/>
      <c r="V251" s="80"/>
      <c r="W251" s="79">
        <f t="shared" ref="W251" ca="1" si="325">COUNTIF($M$251,V251)*$D$40</f>
        <v>0</v>
      </c>
      <c r="X251" s="70"/>
      <c r="Y251" s="80"/>
      <c r="Z251" s="79">
        <f t="shared" ref="Z251" ca="1" si="326">COUNTIF($M$251,Y251)*$D$40</f>
        <v>0</v>
      </c>
      <c r="AA251" s="70"/>
      <c r="AB251" s="80"/>
      <c r="AC251" s="79">
        <f t="shared" ref="AC251" ca="1" si="327">COUNTIF($M$251,AB251)*$D$40</f>
        <v>0</v>
      </c>
      <c r="AD251" s="70"/>
      <c r="AE251" s="80"/>
      <c r="AF251" s="79">
        <f t="shared" ref="AF251" ca="1" si="328">COUNTIF($M$251,AE251)*$D$40</f>
        <v>0</v>
      </c>
      <c r="AG251" s="70"/>
      <c r="AH251" s="70"/>
    </row>
    <row r="252" spans="1:34" ht="16" customHeight="1">
      <c r="A252" s="17"/>
      <c r="B252" s="17"/>
      <c r="C252" s="17"/>
      <c r="D252" s="17"/>
      <c r="E252" s="95"/>
      <c r="F252" s="415">
        <f t="shared" si="320"/>
        <v>0</v>
      </c>
      <c r="G252" s="415">
        <f ca="1">VLOOKUP(H252,Equipos!$Q$1:$R$25,2,0)</f>
        <v>24</v>
      </c>
      <c r="H252" s="71" t="str">
        <f>Idiomas!$D$264</f>
        <v>3-4 &amp; Final</v>
      </c>
      <c r="I252" s="56"/>
      <c r="J252" s="107"/>
      <c r="K252" s="62" t="str">
        <f>WORLDCUP!W152</f>
        <v>🥉3º puesto</v>
      </c>
      <c r="L252" s="59"/>
      <c r="M252" s="61" t="str">
        <f ca="1">WORLDCUP!AA152</f>
        <v>Francia</v>
      </c>
      <c r="N252" s="25"/>
      <c r="O252" s="25"/>
      <c r="P252" s="25"/>
      <c r="Q252" s="25"/>
      <c r="R252" s="17"/>
      <c r="S252" s="80"/>
      <c r="T252" s="79">
        <f ca="1">COUNTIF($M$252,S252)*$D$41</f>
        <v>0</v>
      </c>
      <c r="U252" s="70"/>
      <c r="V252" s="80"/>
      <c r="W252" s="79">
        <f t="shared" ref="W252" ca="1" si="329">COUNTIF($M$252,V252)*$D$41</f>
        <v>0</v>
      </c>
      <c r="X252" s="70"/>
      <c r="Y252" s="80"/>
      <c r="Z252" s="79">
        <f t="shared" ref="Z252" ca="1" si="330">COUNTIF($M$252,Y252)*$D$41</f>
        <v>0</v>
      </c>
      <c r="AA252" s="70"/>
      <c r="AB252" s="80"/>
      <c r="AC252" s="79">
        <f t="shared" ref="AC252" ca="1" si="331">COUNTIF($M$252,AB252)*$D$41</f>
        <v>0</v>
      </c>
      <c r="AD252" s="70"/>
      <c r="AE252" s="80"/>
      <c r="AF252" s="79">
        <f t="shared" ref="AF252" ca="1" si="332">COUNTIF($M$252,AE252)*$D$41</f>
        <v>0</v>
      </c>
      <c r="AG252" s="70"/>
      <c r="AH252" s="70"/>
    </row>
    <row r="253" spans="1:34" ht="16" customHeight="1">
      <c r="A253" s="17"/>
      <c r="B253" s="17"/>
      <c r="C253" s="17"/>
      <c r="D253" s="17"/>
      <c r="E253" s="95"/>
      <c r="F253" s="415">
        <f t="shared" si="320"/>
        <v>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tr">
        <f>Idiomas!$D$373</f>
        <v>Pegar Valores Cuadro de Honor</v>
      </c>
      <c r="T253" s="79">
        <f>COUNTIF($M$253,S253)*$D$42</f>
        <v>0</v>
      </c>
      <c r="U253" s="70"/>
      <c r="V253" s="80" t="str">
        <f>Idiomas!$D$373</f>
        <v>Pegar Valores Cuadro de Honor</v>
      </c>
      <c r="W253" s="79">
        <f t="shared" ref="W253" si="333">COUNTIF($M$253,V253)*$D$42</f>
        <v>0</v>
      </c>
      <c r="X253" s="70"/>
      <c r="Y253" s="80" t="str">
        <f>Idiomas!$D$373</f>
        <v>Pegar Valores Cuadro de Honor</v>
      </c>
      <c r="Z253" s="79">
        <f t="shared" ref="Z253" si="334">COUNTIF($M$253,Y253)*$D$42</f>
        <v>0</v>
      </c>
      <c r="AA253" s="70"/>
      <c r="AB253" s="80" t="str">
        <f>Idiomas!$D$373</f>
        <v>Pegar Valores Cuadro de Honor</v>
      </c>
      <c r="AC253" s="79">
        <f t="shared" ref="AC253" si="335">COUNTIF($M$253,AB253)*$D$42</f>
        <v>0</v>
      </c>
      <c r="AD253" s="70"/>
      <c r="AE253" s="80" t="str">
        <f>Idiomas!$D$373</f>
        <v>Pegar Valores Cuadro de Honor</v>
      </c>
      <c r="AF253" s="79">
        <f t="shared" ref="AF253" si="336">COUNTIF($M$253,AE253)*$D$42</f>
        <v>0</v>
      </c>
      <c r="AG253" s="70"/>
      <c r="AH253" s="70"/>
    </row>
    <row r="254" spans="1:34" ht="16" customHeight="1">
      <c r="A254" s="17"/>
      <c r="B254" s="17"/>
      <c r="C254" s="17"/>
      <c r="D254" s="17"/>
      <c r="E254" s="95"/>
      <c r="F254" s="415">
        <f t="shared" si="320"/>
        <v>0</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c r="T254" s="79">
        <f>COUNTIF($M$254,S254)*$D$43</f>
        <v>0</v>
      </c>
      <c r="U254" s="70"/>
      <c r="V254" s="80"/>
      <c r="W254" s="79">
        <f t="shared" ref="W254" si="337">COUNTIF($M$254,V254)*$D$43</f>
        <v>0</v>
      </c>
      <c r="X254" s="70"/>
      <c r="Y254" s="80"/>
      <c r="Z254" s="79">
        <f t="shared" ref="Z254" si="338">COUNTIF($M$254,Y254)*$D$43</f>
        <v>0</v>
      </c>
      <c r="AA254" s="70"/>
      <c r="AB254" s="80"/>
      <c r="AC254" s="79">
        <f t="shared" ref="AC254" si="339">COUNTIF($M$254,AB254)*$D$43</f>
        <v>0</v>
      </c>
      <c r="AD254" s="70"/>
      <c r="AE254" s="80"/>
      <c r="AF254" s="79">
        <f t="shared" ref="AF254" si="340">COUNTIF($M$254,AE254)*$D$43</f>
        <v>0</v>
      </c>
      <c r="AG254" s="70"/>
      <c r="AH254" s="70"/>
    </row>
    <row r="255" spans="1:34" ht="16" customHeight="1">
      <c r="A255" s="17"/>
      <c r="B255" s="17"/>
      <c r="C255" s="17"/>
      <c r="D255" s="17"/>
      <c r="E255" s="95"/>
      <c r="F255" s="415">
        <f t="shared" si="320"/>
        <v>0</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c r="T255" s="79">
        <f>COUNTIF($M$255,S255)*$D$44</f>
        <v>0</v>
      </c>
      <c r="U255" s="70"/>
      <c r="V255" s="80"/>
      <c r="W255" s="79">
        <f t="shared" ref="W255" si="341">COUNTIF($M$255,V255)*$D$44</f>
        <v>0</v>
      </c>
      <c r="X255" s="70"/>
      <c r="Y255" s="80"/>
      <c r="Z255" s="79">
        <f t="shared" ref="Z255" si="342">COUNTIF($M$255,Y255)*$D$44</f>
        <v>0</v>
      </c>
      <c r="AA255" s="70"/>
      <c r="AB255" s="80"/>
      <c r="AC255" s="79">
        <f t="shared" ref="AC255" si="343">COUNTIF($M$255,AB255)*$D$44</f>
        <v>0</v>
      </c>
      <c r="AD255" s="70"/>
      <c r="AE255" s="80"/>
      <c r="AF255" s="79">
        <f t="shared" ref="AF255" si="344">COUNTIF($M$255,AE255)*$D$44</f>
        <v>0</v>
      </c>
      <c r="AG255" s="70"/>
      <c r="AH255" s="70"/>
    </row>
    <row r="256" spans="1:34" ht="16" customHeight="1">
      <c r="A256" s="17"/>
      <c r="B256" s="17"/>
      <c r="C256" s="17"/>
      <c r="D256" s="17"/>
      <c r="E256" s="95"/>
      <c r="F256" s="415">
        <f t="shared" si="320"/>
        <v>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c r="T256" s="79">
        <f>COUNTIF($M$256,S256)*$D$45</f>
        <v>0</v>
      </c>
      <c r="U256" s="70"/>
      <c r="V256" s="80"/>
      <c r="W256" s="79">
        <f t="shared" ref="W256" si="345">COUNTIF($M$256,V256)*$D$45</f>
        <v>0</v>
      </c>
      <c r="X256" s="70"/>
      <c r="Y256" s="80"/>
      <c r="Z256" s="79">
        <f t="shared" ref="Z256" si="346">COUNTIF($M$256,Y256)*$D$45</f>
        <v>0</v>
      </c>
      <c r="AA256" s="70"/>
      <c r="AB256" s="80"/>
      <c r="AC256" s="79">
        <f t="shared" ref="AC256" si="347">COUNTIF($M$256,AB256)*$D$45</f>
        <v>0</v>
      </c>
      <c r="AD256" s="70"/>
      <c r="AE256" s="80"/>
      <c r="AF256" s="79">
        <f t="shared" ref="AF256" si="348">COUNTIF($M$256,AE256)*$D$45</f>
        <v>0</v>
      </c>
      <c r="AG256" s="70"/>
      <c r="AH256" s="70"/>
    </row>
    <row r="257" spans="1:34" ht="16" customHeight="1">
      <c r="A257" s="17"/>
      <c r="B257" s="17"/>
      <c r="C257" s="17"/>
      <c r="D257" s="17"/>
      <c r="E257" s="95"/>
      <c r="F257" s="415">
        <f t="shared" si="320"/>
        <v>0</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c r="T257" s="79">
        <f>COUNTIF($M$257,S257)*$D$46</f>
        <v>0</v>
      </c>
      <c r="U257" s="70"/>
      <c r="V257" s="80"/>
      <c r="W257" s="79">
        <f t="shared" ref="W257" si="349">COUNTIF($M$257,V257)*$D$46</f>
        <v>0</v>
      </c>
      <c r="X257" s="70"/>
      <c r="Y257" s="80"/>
      <c r="Z257" s="79">
        <f t="shared" ref="Z257" si="350">COUNTIF($M$257,Y257)*$D$46</f>
        <v>0</v>
      </c>
      <c r="AA257" s="70"/>
      <c r="AB257" s="80"/>
      <c r="AC257" s="79">
        <f t="shared" ref="AC257" si="351">COUNTIF($M$257,AB257)*$D$46</f>
        <v>0</v>
      </c>
      <c r="AD257" s="70"/>
      <c r="AE257" s="80"/>
      <c r="AF257" s="79">
        <f t="shared" ref="AF257" si="352">COUNTIF($M$257,AE257)*$D$46</f>
        <v>0</v>
      </c>
      <c r="AG257" s="70"/>
      <c r="AH257" s="70"/>
    </row>
    <row r="258" spans="1:34" ht="16" customHeight="1">
      <c r="A258" s="17"/>
      <c r="B258" s="17"/>
      <c r="C258" s="17"/>
      <c r="D258" s="17"/>
      <c r="E258" s="95"/>
      <c r="F258" s="415">
        <f t="shared" si="320"/>
        <v>0</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c r="T258" s="87">
        <f>COUNTIF($M$258,S258)*$D$47</f>
        <v>0</v>
      </c>
      <c r="U258" s="70"/>
      <c r="V258" s="86"/>
      <c r="W258" s="87">
        <f t="shared" ref="W258" si="353">COUNTIF($M$258,V258)*$D$47</f>
        <v>0</v>
      </c>
      <c r="X258" s="70"/>
      <c r="Y258" s="86"/>
      <c r="Z258" s="87">
        <f t="shared" ref="Z258" si="354">COUNTIF($M$258,Y258)*$D$47</f>
        <v>0</v>
      </c>
      <c r="AA258" s="70"/>
      <c r="AB258" s="86"/>
      <c r="AC258" s="87">
        <f t="shared" ref="AC258" si="355">COUNTIF($M$258,AB258)*$D$47</f>
        <v>0</v>
      </c>
      <c r="AD258" s="70"/>
      <c r="AE258" s="86"/>
      <c r="AF258" s="87">
        <f t="shared" ref="AF258" si="356">COUNTIF($M$258,AE258)*$D$47</f>
        <v>0</v>
      </c>
      <c r="AG258" s="70"/>
      <c r="AH258" s="70"/>
    </row>
    <row r="259" spans="1:34">
      <c r="A259" s="55"/>
      <c r="B259" s="55"/>
      <c r="C259" s="55"/>
      <c r="D259" s="55"/>
      <c r="E259" s="117"/>
      <c r="F259" s="742"/>
      <c r="G259" s="743"/>
      <c r="H259" s="55"/>
      <c r="I259" s="56"/>
      <c r="J259" s="100"/>
      <c r="K259" s="442" t="str">
        <f>Idiomas!D469</f>
        <v xml:space="preserve">Cuadro de Honor </v>
      </c>
      <c r="L259" s="443"/>
      <c r="M259" s="442" t="str">
        <f>"Max: "&amp;SUM($D$39:$D$47)</f>
        <v>Max: 0</v>
      </c>
      <c r="N259" s="19"/>
      <c r="O259" s="19"/>
      <c r="P259" s="19"/>
      <c r="Q259" s="19"/>
      <c r="R259" s="303"/>
      <c r="S259" s="77"/>
      <c r="T259" s="77">
        <f ca="1">SUM(T250:T258)</f>
        <v>0</v>
      </c>
      <c r="U259" s="71"/>
      <c r="V259" s="77"/>
      <c r="W259" s="77">
        <f t="shared" ref="W259" ca="1" si="357">SUM(W250:W258)</f>
        <v>0</v>
      </c>
      <c r="X259" s="71"/>
      <c r="Y259" s="77"/>
      <c r="Z259" s="77">
        <f t="shared" ref="Z259" ca="1" si="358">SUM(Z250:Z258)</f>
        <v>0</v>
      </c>
      <c r="AA259" s="71"/>
      <c r="AB259" s="77"/>
      <c r="AC259" s="77">
        <f t="shared" ref="AC259" ca="1" si="359">SUM(AC250:AC258)</f>
        <v>0</v>
      </c>
      <c r="AD259" s="71"/>
      <c r="AE259" s="77"/>
      <c r="AF259" s="77">
        <f t="shared" ref="AF259" ca="1" si="360">SUM(AF250:AF258)</f>
        <v>0</v>
      </c>
      <c r="AG259" s="71"/>
      <c r="AH259" s="71"/>
    </row>
    <row r="260" spans="1:34">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c r="A263" s="17"/>
      <c r="B263" s="17"/>
      <c r="C263" s="17"/>
      <c r="D263" s="17"/>
      <c r="E263" s="95"/>
      <c r="F263" s="741"/>
      <c r="G263" s="741"/>
      <c r="H263" s="741"/>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f ca="1">RANK(AB264,OFFSET($S$264,0,0,1,$D$5*3),0)</f>
        <v>4</v>
      </c>
      <c r="AC263" s="25"/>
      <c r="AD263" s="25"/>
      <c r="AE263" s="25">
        <f ca="1">RANK(AE264,OFFSET($S$264,0,0,1,$D$5*3),0)</f>
        <v>5</v>
      </c>
      <c r="AF263" s="25"/>
      <c r="AG263" s="25"/>
      <c r="AH263" s="17"/>
    </row>
    <row r="264" spans="1:34" customFormat="1">
      <c r="A264" s="17"/>
      <c r="B264" s="17"/>
      <c r="C264" s="17"/>
      <c r="D264" s="17"/>
      <c r="E264" s="95"/>
      <c r="F264" s="741"/>
      <c r="G264" s="741"/>
      <c r="H264" s="741"/>
      <c r="I264" s="17"/>
      <c r="J264" s="25"/>
      <c r="K264" s="25"/>
      <c r="L264" s="25"/>
      <c r="M264" s="25" t="s">
        <v>1709</v>
      </c>
      <c r="N264" s="25"/>
      <c r="O264" s="25"/>
      <c r="P264" s="25"/>
      <c r="Q264" s="25"/>
      <c r="R264" s="25"/>
      <c r="S264" s="25">
        <f ca="1">S266-(COLUMN()/10000)</f>
        <v>-1.9E-3</v>
      </c>
      <c r="T264" s="25"/>
      <c r="U264" s="25"/>
      <c r="V264" s="25">
        <f t="shared" ref="V264" ca="1" si="361">V266-(COLUMN()/10000)</f>
        <v>-2.2000000000000001E-3</v>
      </c>
      <c r="W264" s="25"/>
      <c r="X264" s="25"/>
      <c r="Y264" s="25">
        <f t="shared" ref="Y264" ca="1" si="362">Y266-(COLUMN()/10000)</f>
        <v>-2.5000000000000001E-3</v>
      </c>
      <c r="Z264" s="25"/>
      <c r="AA264" s="25"/>
      <c r="AB264" s="25">
        <f t="shared" ref="AB264" ca="1" si="363">AB266-(COLUMN()/10000)</f>
        <v>-2.8E-3</v>
      </c>
      <c r="AC264" s="25"/>
      <c r="AD264" s="25"/>
      <c r="AE264" s="25">
        <f t="shared" ref="AE264" ca="1" si="364">AE266-(COLUMN()/10000)</f>
        <v>-3.0999999999999999E-3</v>
      </c>
      <c r="AF264" s="25"/>
      <c r="AG264" s="25"/>
      <c r="AH264" s="17"/>
    </row>
    <row r="265" spans="1:34" customFormat="1">
      <c r="A265" s="17"/>
      <c r="B265" s="17"/>
      <c r="C265" s="17"/>
      <c r="D265" s="17"/>
      <c r="E265" s="95"/>
      <c r="F265" s="741"/>
      <c r="G265" s="741"/>
      <c r="H265" s="741"/>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1</v>
      </c>
      <c r="Z265" s="25"/>
      <c r="AA265" s="25"/>
      <c r="AB265" s="25">
        <f ca="1">RANK(AB266,OFFSET($S$266,0,0,1,$D$5*3),0)</f>
        <v>1</v>
      </c>
      <c r="AC265" s="25"/>
      <c r="AD265" s="25"/>
      <c r="AE265" s="25">
        <f ca="1">RANK(AE266,OFFSET($S$266,0,0,1,$D$5*3),0)</f>
        <v>1</v>
      </c>
      <c r="AF265" s="25"/>
      <c r="AG265" s="25"/>
      <c r="AH265" s="17"/>
    </row>
    <row r="266" spans="1:34" customFormat="1">
      <c r="A266" s="17"/>
      <c r="B266" s="17"/>
      <c r="C266" s="17"/>
      <c r="D266" s="17"/>
      <c r="E266" s="95"/>
      <c r="F266" s="741"/>
      <c r="G266" s="741"/>
      <c r="H266" s="741"/>
      <c r="I266" s="17"/>
      <c r="J266" s="25"/>
      <c r="K266" s="25"/>
      <c r="L266" s="25"/>
      <c r="M266" s="25" t="s">
        <v>614</v>
      </c>
      <c r="N266" s="25"/>
      <c r="O266" s="25"/>
      <c r="P266" s="25"/>
      <c r="Q266" s="25"/>
      <c r="R266" s="25"/>
      <c r="S266" s="25">
        <f ca="1">SUMIFS((T6:T259),$H$6:$H$259,$M$262)</f>
        <v>0</v>
      </c>
      <c r="T266" s="25"/>
      <c r="U266" s="25"/>
      <c r="V266" s="25">
        <f ca="1">SUMIFS((W6:W259),$H$6:$H$259,$M$262)</f>
        <v>0</v>
      </c>
      <c r="W266" s="25"/>
      <c r="X266" s="25"/>
      <c r="Y266" s="25">
        <f ca="1">SUMIFS((Z6:Z259),$H$6:$H$259,$M$262)</f>
        <v>0</v>
      </c>
      <c r="Z266" s="25"/>
      <c r="AA266" s="25"/>
      <c r="AB266" s="25">
        <f ca="1">SUMIFS((AC6:AC259),$H$6:$H$259,$M$262)</f>
        <v>0</v>
      </c>
      <c r="AC266" s="25"/>
      <c r="AD266" s="25"/>
      <c r="AE266" s="25">
        <f ca="1">SUMIFS((AF6:AF259),$H$6:$H$259,$M$262)</f>
        <v>0</v>
      </c>
      <c r="AF266" s="25"/>
      <c r="AG266" s="25"/>
      <c r="AH266" s="17"/>
    </row>
    <row r="267" spans="1:34" customFormat="1">
      <c r="A267" s="17"/>
      <c r="B267" s="17"/>
      <c r="C267" s="17"/>
      <c r="D267" s="17"/>
      <c r="E267" s="95"/>
      <c r="F267" s="741"/>
      <c r="G267" s="741"/>
      <c r="H267" s="741"/>
      <c r="I267" s="17"/>
      <c r="J267" s="25"/>
      <c r="K267" s="25"/>
      <c r="L267" s="25"/>
      <c r="M267" s="25" t="s">
        <v>268</v>
      </c>
      <c r="N267" s="25"/>
      <c r="O267" s="25"/>
      <c r="P267" s="25"/>
      <c r="Q267" s="25"/>
      <c r="R267" s="25"/>
      <c r="S267" s="25" t="str">
        <f>S5</f>
        <v>Pegar Valores Nombre J1</v>
      </c>
      <c r="T267" s="25"/>
      <c r="U267" s="25"/>
      <c r="V267" s="25" t="str">
        <f t="shared" ref="V267" si="365">V5</f>
        <v>Pegar Valores Nombre J2</v>
      </c>
      <c r="W267" s="25"/>
      <c r="X267" s="25"/>
      <c r="Y267" s="25" t="str">
        <f t="shared" ref="Y267" si="366">Y5</f>
        <v>Pegar Valores Nombre J3</v>
      </c>
      <c r="Z267" s="25"/>
      <c r="AA267" s="25"/>
      <c r="AB267" s="25" t="str">
        <f t="shared" ref="AB267" si="367">AB5</f>
        <v>Pegar Valores Nombre J4</v>
      </c>
      <c r="AC267" s="25"/>
      <c r="AD267" s="25"/>
      <c r="AE267" s="25" t="str">
        <f t="shared" ref="AE267" si="368">AE5</f>
        <v>Pegar Valores Nombre J5</v>
      </c>
      <c r="AF267" s="25"/>
      <c r="AG267" s="25"/>
      <c r="AH267" s="17"/>
    </row>
    <row r="268" spans="1:34" customFormat="1">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9" priority="1">
      <formula>IF($I6=3,1,0)</formula>
    </cfRule>
    <cfRule type="expression" dxfId="28"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zoomScaleNormal="100" workbookViewId="0">
      <selection activeCell="C14" sqref="C14:C15"/>
    </sheetView>
  </sheetViews>
  <sheetFormatPr baseColWidth="10" defaultColWidth="0" defaultRowHeight="14.5"/>
  <cols>
    <col min="1" max="1" width="4.7265625" style="7" customWidth="1"/>
    <col min="2" max="2" width="4.7265625" style="1" bestFit="1" customWidth="1"/>
    <col min="3" max="3" width="22.7265625" style="1" customWidth="1"/>
    <col min="4" max="21" width="10.81640625" style="1" customWidth="1"/>
    <col min="22" max="16384" width="10.81640625" style="1" hidden="1"/>
  </cols>
  <sheetData>
    <row r="1" spans="1:21" ht="45" thickBot="1">
      <c r="A1" s="96"/>
      <c r="B1" s="851" t="str">
        <f>Idiomas!D451&amp;" "&amp;Home!C10</f>
        <v>CLASIFICACIÓN MUNDIAL 2026 NombreGrupo</v>
      </c>
      <c r="C1" s="852"/>
      <c r="D1" s="852"/>
      <c r="E1" s="852"/>
      <c r="F1" s="852"/>
      <c r="G1" s="852"/>
      <c r="H1" s="852"/>
      <c r="I1" s="852"/>
      <c r="J1" s="852"/>
      <c r="K1" s="852"/>
      <c r="L1" s="852"/>
      <c r="M1" s="852"/>
      <c r="N1" s="852"/>
      <c r="O1" s="852"/>
      <c r="P1" s="852"/>
      <c r="Q1" s="852"/>
      <c r="R1" s="852"/>
      <c r="S1" s="852"/>
      <c r="T1" s="303"/>
      <c r="U1" s="303"/>
    </row>
    <row r="2" spans="1:21" ht="9" customHeight="1">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c r="A3" s="96"/>
      <c r="B3" s="111"/>
      <c r="C3" s="111"/>
      <c r="D3" s="111"/>
      <c r="E3" s="112" t="str">
        <f ca="1">+INDEX(ADMIN!$M$5:$M$259,MATCH(CLAS!E4,ADMIN!$K$5:$K$259,0))</f>
        <v>Max: 0</v>
      </c>
      <c r="F3" s="112" t="str">
        <f ca="1">+INDEX(ADMIN!$M$5:$M$259,MATCH(CLAS!F4,ADMIN!$K$5:$K$259,0))</f>
        <v>Max: 0</v>
      </c>
      <c r="G3" s="112" t="str">
        <f ca="1">+INDEX(ADMIN!$M$5:$M$259,MATCH(CLAS!G4,ADMIN!$K$5:$K$259,0))</f>
        <v>Max: 0</v>
      </c>
      <c r="H3" s="112" t="str">
        <f ca="1">+INDEX(ADMIN!$M$5:$M$259,MATCH(CLAS!H4,ADMIN!$K$5:$K$259,0))</f>
        <v>Max: 0</v>
      </c>
      <c r="I3" s="112" t="str">
        <f ca="1">+INDEX(ADMIN!$M$5:$M$259,MATCH(CLAS!I4,ADMIN!$K$5:$K$259,0))</f>
        <v>Max: 0</v>
      </c>
      <c r="J3" s="112" t="str">
        <f ca="1">+INDEX(ADMIN!$M$5:$M$259,MATCH(CLAS!J4,ADMIN!$K$5:$K$259,0))</f>
        <v>Max: 0</v>
      </c>
      <c r="K3" s="112" t="str">
        <f ca="1">+INDEX(ADMIN!$M$5:$M$259,MATCH(CLAS!K4,ADMIN!$K$5:$K$259,0))</f>
        <v>Max: 0</v>
      </c>
      <c r="L3" s="112" t="str">
        <f ca="1">+INDEX(ADMIN!$M$5:$M$259,MATCH(CLAS!L4,ADMIN!$K$5:$K$259,0))</f>
        <v>Max: 0</v>
      </c>
      <c r="M3" s="112" t="str">
        <f ca="1">+INDEX(ADMIN!$M$5:$M$259,MATCH(CLAS!M4,ADMIN!$K$5:$K$259,0))</f>
        <v>Max: 0</v>
      </c>
      <c r="N3" s="112" t="str">
        <f ca="1">+INDEX(ADMIN!$M$5:$M$259,MATCH(CLAS!N4,ADMIN!$K$5:$K$259,0))</f>
        <v>Max: 0</v>
      </c>
      <c r="O3" s="112" t="str">
        <f ca="1">+INDEX(ADMIN!$M$5:$M$259,MATCH(CLAS!O4,ADMIN!$K$5:$K$259,0))</f>
        <v>Max: 0</v>
      </c>
      <c r="P3" s="112" t="str">
        <f ca="1">+INDEX(ADMIN!$M$5:$M$259,MATCH(CLAS!P4,ADMIN!$K$5:$K$259,0))</f>
        <v>Max: 0</v>
      </c>
      <c r="Q3" s="112" t="str">
        <f ca="1">+INDEX(ADMIN!$M$5:$M$259,MATCH(CLAS!Q4,ADMIN!$K$5:$K$259,0))</f>
        <v>Max: 0</v>
      </c>
      <c r="R3" s="112" t="str">
        <f ca="1">+INDEX(ADMIN!$M$5:$M$259,MATCH(CLAS!R4,ADMIN!$K$5:$K$259,0))</f>
        <v>Max: 0</v>
      </c>
      <c r="S3" s="112" t="str">
        <f ca="1">+INDEX(ADMIN!$M$5:$M$259,MATCH(CLAS!S4,ADMIN!$K$5:$K$259,0))</f>
        <v>Max: 0</v>
      </c>
      <c r="T3" s="303"/>
      <c r="U3" s="303"/>
    </row>
    <row r="4" spans="1:21" ht="29" thickTop="1" thickBot="1">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5" thickTop="1">
      <c r="A5" s="19">
        <f>ROW()-4</f>
        <v>1</v>
      </c>
      <c r="B5" s="22">
        <f ca="1">IFERROR(HLOOKUP(A5,Rango_Admin_Clas,3,FALSE),"-")</f>
        <v>1</v>
      </c>
      <c r="C5" s="18" t="str">
        <f ca="1">IFERROR(HLOOKUP(A5,Rango_Admin_Clas,5,FALSE),"-")</f>
        <v>Pegar Valores Nombre J1</v>
      </c>
      <c r="D5" s="97">
        <f ca="1">IFERROR(HLOOKUP(A5,Rango_Admin_Clas,4,FALSE),"-")</f>
        <v>0</v>
      </c>
      <c r="E5" s="98" cm="1">
        <f t="array" aca="1" ref="E5" ca="1">IFERROR(INDEX(Rango_Admin_Clas_Total,E$2,MATCH($A5,Rango_Admin_Clas_Primera,0)+1),"-")</f>
        <v>0</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c r="A6" s="19">
        <f t="shared" ref="A6:A9" si="0">ROW()-4</f>
        <v>2</v>
      </c>
      <c r="B6" s="22">
        <f ca="1">IFERROR(HLOOKUP(A6,Rango_Admin_Clas,3,FALSE),"-")</f>
        <v>1</v>
      </c>
      <c r="C6" s="18" t="str">
        <f ca="1">IFERROR(HLOOKUP(A6,Rango_Admin_Clas,5,FALSE),"-")</f>
        <v>Pegar Valores Nombre J2</v>
      </c>
      <c r="D6" s="97">
        <f ca="1">IFERROR(HLOOKUP(A6,Rango_Admin_Clas,4,FALSE),"-")</f>
        <v>0</v>
      </c>
      <c r="E6" s="98" cm="1">
        <f t="array" aca="1" ref="E6" ca="1">IFERROR(INDEX(Rango_Admin_Clas_Total,E$2,MATCH($A6,Rango_Admin_Clas_Primera,0)+1),"-")</f>
        <v>0</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c r="A7" s="19">
        <f t="shared" si="0"/>
        <v>3</v>
      </c>
      <c r="B7" s="22">
        <f ca="1">IFERROR(HLOOKUP(A7,Rango_Admin_Clas,3,FALSE),"-")</f>
        <v>1</v>
      </c>
      <c r="C7" s="18" t="str">
        <f ca="1">IFERROR(HLOOKUP(A7,Rango_Admin_Clas,5,FALSE),"-")</f>
        <v>Pegar Valores Nombre J3</v>
      </c>
      <c r="D7" s="97">
        <f ca="1">IFERROR(HLOOKUP(A7,Rango_Admin_Clas,4,FALSE),"-")</f>
        <v>0</v>
      </c>
      <c r="E7" s="98" cm="1">
        <f t="array" aca="1" ref="E7" ca="1">IFERROR(INDEX(Rango_Admin_Clas_Total,E$2,MATCH($A7,Rango_Admin_Clas_Primera,0)+1),"-")</f>
        <v>0</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c r="A8" s="19">
        <f t="shared" si="0"/>
        <v>4</v>
      </c>
      <c r="B8" s="22">
        <f ca="1">IFERROR(HLOOKUP(A8,Rango_Admin_Clas,3,FALSE),"-")</f>
        <v>1</v>
      </c>
      <c r="C8" s="18" t="str">
        <f ca="1">IFERROR(HLOOKUP(A8,Rango_Admin_Clas,5,FALSE),"-")</f>
        <v>Pegar Valores Nombre J4</v>
      </c>
      <c r="D8" s="97">
        <f ca="1">IFERROR(HLOOKUP(A8,Rango_Admin_Clas,4,FALSE),"-")</f>
        <v>0</v>
      </c>
      <c r="E8" s="98" cm="1">
        <f t="array" aca="1" ref="E8" ca="1">IFERROR(INDEX(Rango_Admin_Clas_Total,E$2,MATCH($A8,Rango_Admin_Clas_Primera,0)+1),"-")</f>
        <v>0</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c r="A9" s="19">
        <f t="shared" si="0"/>
        <v>5</v>
      </c>
      <c r="B9" s="22">
        <f ca="1">IFERROR(HLOOKUP(A9,Rango_Admin_Clas,3,FALSE),"-")</f>
        <v>1</v>
      </c>
      <c r="C9" s="18" t="str">
        <f ca="1">IFERROR(HLOOKUP(A9,Rango_Admin_Clas,5,FALSE),"-")</f>
        <v>Pegar Valores Nombre J5</v>
      </c>
      <c r="D9" s="97">
        <f ca="1">IFERROR(HLOOKUP(A9,Rango_Admin_Clas,4,FALSE),"-")</f>
        <v>0</v>
      </c>
      <c r="E9" s="98" cm="1">
        <f t="array" aca="1" ref="E9" ca="1">IFERROR(INDEX(Rango_Admin_Clas_Total,E$2,MATCH($A9,Rango_Admin_Clas_Primera,0)+1),"-")</f>
        <v>0</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c r="A10" s="96"/>
      <c r="B10" s="303"/>
      <c r="C10" s="303"/>
      <c r="D10" s="303"/>
      <c r="E10" s="303"/>
      <c r="F10" s="303"/>
      <c r="G10" s="303"/>
      <c r="H10" s="303"/>
      <c r="I10" s="303"/>
      <c r="J10" s="303"/>
      <c r="K10" s="303"/>
      <c r="L10" s="303"/>
      <c r="M10" s="303"/>
      <c r="N10" s="303"/>
      <c r="O10" s="303"/>
      <c r="P10" s="303"/>
      <c r="Q10" s="303"/>
      <c r="R10" s="303"/>
      <c r="S10" s="303"/>
      <c r="T10" s="303"/>
      <c r="U10" s="303"/>
    </row>
    <row r="11" spans="1:21">
      <c r="A11" s="96"/>
      <c r="B11" s="303"/>
      <c r="C11" s="303"/>
      <c r="D11" s="303"/>
      <c r="E11" s="303"/>
      <c r="F11" s="303"/>
      <c r="G11" s="303"/>
      <c r="H11" s="303"/>
      <c r="I11" s="303"/>
      <c r="J11" s="303"/>
      <c r="K11" s="303"/>
      <c r="L11" s="303"/>
      <c r="M11" s="303"/>
      <c r="N11" s="303"/>
      <c r="O11" s="303"/>
      <c r="P11" s="303"/>
      <c r="Q11" s="303"/>
      <c r="R11" s="303"/>
      <c r="S11" s="303"/>
      <c r="T11" s="303"/>
      <c r="U11" s="303"/>
    </row>
    <row r="12" spans="1:21">
      <c r="A12" s="96"/>
      <c r="B12" s="303"/>
      <c r="C12" s="303"/>
      <c r="D12" s="303"/>
      <c r="E12" s="303"/>
      <c r="F12" s="303"/>
      <c r="G12" s="303"/>
      <c r="H12" s="303"/>
      <c r="I12" s="303"/>
      <c r="J12" s="303"/>
      <c r="K12" s="303"/>
      <c r="L12" s="303"/>
      <c r="M12" s="303"/>
      <c r="N12" s="303"/>
      <c r="O12" s="303"/>
      <c r="P12" s="303"/>
      <c r="Q12" s="303"/>
      <c r="R12" s="303"/>
      <c r="S12" s="303"/>
      <c r="T12" s="303"/>
      <c r="U12" s="303"/>
    </row>
    <row r="13" spans="1:21" ht="15" thickBot="1">
      <c r="A13" s="96"/>
      <c r="B13" s="303"/>
      <c r="C13" s="303"/>
      <c r="D13" s="303"/>
      <c r="E13" s="303"/>
      <c r="F13" s="303"/>
      <c r="G13" s="303"/>
      <c r="H13" s="303"/>
      <c r="I13" s="303"/>
      <c r="J13" s="303"/>
      <c r="K13" s="303"/>
      <c r="L13" s="303"/>
      <c r="M13" s="303"/>
      <c r="N13" s="303"/>
      <c r="O13" s="303"/>
      <c r="P13" s="303"/>
      <c r="Q13" s="303"/>
      <c r="R13" s="303"/>
      <c r="S13" s="303"/>
      <c r="T13" s="303"/>
      <c r="U13" s="303"/>
    </row>
    <row r="14" spans="1:21">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c r="A15" s="96"/>
      <c r="B15" s="303"/>
      <c r="C15" s="854"/>
      <c r="D15" s="303"/>
      <c r="E15" s="303"/>
      <c r="F15" s="303"/>
      <c r="G15" s="303"/>
      <c r="H15" s="303"/>
      <c r="I15" s="303"/>
      <c r="J15" s="303"/>
      <c r="K15" s="303"/>
      <c r="L15" s="303"/>
      <c r="M15" s="303"/>
      <c r="N15" s="303"/>
      <c r="O15" s="303"/>
      <c r="P15" s="303"/>
      <c r="Q15" s="303"/>
      <c r="R15" s="303"/>
      <c r="S15" s="303"/>
      <c r="T15" s="303"/>
      <c r="U15" s="303"/>
    </row>
    <row r="16" spans="1:21">
      <c r="A16" s="96"/>
      <c r="B16" s="303"/>
      <c r="C16" s="303"/>
      <c r="D16" s="303"/>
      <c r="E16" s="303"/>
      <c r="F16" s="303"/>
      <c r="G16" s="303"/>
      <c r="H16" s="303"/>
      <c r="I16" s="303"/>
      <c r="J16" s="303"/>
      <c r="K16" s="303"/>
      <c r="L16" s="303"/>
      <c r="M16" s="303"/>
      <c r="N16" s="303"/>
      <c r="O16" s="303"/>
      <c r="P16" s="303"/>
      <c r="Q16" s="303"/>
      <c r="R16" s="303"/>
      <c r="S16" s="303"/>
      <c r="T16" s="303"/>
      <c r="U16" s="303"/>
    </row>
    <row r="17" spans="1:21">
      <c r="A17" s="96"/>
      <c r="B17" s="303"/>
      <c r="C17" s="303"/>
      <c r="D17" s="303"/>
      <c r="E17" s="303"/>
      <c r="F17" s="303"/>
      <c r="G17" s="303"/>
      <c r="H17" s="303"/>
      <c r="I17" s="303"/>
      <c r="J17" s="303"/>
      <c r="K17" s="303"/>
      <c r="L17" s="303"/>
      <c r="M17" s="303"/>
      <c r="N17" s="303"/>
      <c r="O17" s="303"/>
      <c r="P17" s="303"/>
      <c r="Q17" s="303"/>
      <c r="R17" s="303"/>
      <c r="S17" s="303"/>
      <c r="T17" s="303"/>
      <c r="U17" s="303"/>
    </row>
    <row r="18" spans="1:21">
      <c r="A18" s="96"/>
      <c r="B18" s="303"/>
      <c r="C18" s="303"/>
      <c r="D18" s="303"/>
      <c r="E18" s="303"/>
      <c r="F18" s="303"/>
      <c r="G18" s="303"/>
      <c r="H18" s="303"/>
      <c r="I18" s="303"/>
      <c r="J18" s="303"/>
      <c r="K18" s="303"/>
      <c r="L18" s="303"/>
      <c r="M18" s="303"/>
      <c r="N18" s="303"/>
      <c r="O18" s="303"/>
      <c r="P18" s="303"/>
      <c r="Q18" s="303"/>
      <c r="R18" s="303"/>
      <c r="S18" s="303"/>
      <c r="T18" s="303"/>
      <c r="U18" s="303"/>
    </row>
    <row r="19" spans="1:21">
      <c r="A19" s="96"/>
      <c r="B19" s="303"/>
      <c r="C19" s="303"/>
      <c r="D19" s="303"/>
      <c r="E19" s="303"/>
      <c r="F19" s="303"/>
      <c r="G19" s="303"/>
      <c r="H19" s="303"/>
      <c r="I19" s="303"/>
      <c r="J19" s="303"/>
      <c r="K19" s="303"/>
      <c r="L19" s="303"/>
      <c r="M19" s="303"/>
      <c r="N19" s="303"/>
      <c r="O19" s="303"/>
      <c r="P19" s="303"/>
      <c r="Q19" s="303"/>
      <c r="R19" s="303"/>
      <c r="S19" s="303"/>
      <c r="T19" s="303"/>
      <c r="U19" s="303"/>
    </row>
    <row r="20" spans="1:21">
      <c r="A20" s="96"/>
      <c r="B20" s="303"/>
      <c r="C20" s="303"/>
      <c r="D20" s="303"/>
      <c r="E20" s="303"/>
      <c r="F20" s="303"/>
      <c r="G20" s="303"/>
      <c r="H20" s="303"/>
      <c r="I20" s="303"/>
      <c r="J20" s="303"/>
      <c r="K20" s="303"/>
      <c r="L20" s="303"/>
      <c r="M20" s="303"/>
      <c r="N20" s="303"/>
      <c r="O20" s="303"/>
      <c r="P20" s="303"/>
      <c r="Q20" s="303"/>
      <c r="R20" s="303"/>
      <c r="S20" s="303"/>
      <c r="T20" s="303"/>
      <c r="U20" s="303"/>
    </row>
    <row r="21" spans="1:21">
      <c r="A21" s="96"/>
      <c r="B21" s="303"/>
      <c r="C21" s="303"/>
      <c r="D21" s="303"/>
      <c r="E21" s="303"/>
      <c r="F21" s="303"/>
      <c r="G21" s="303"/>
      <c r="H21" s="303"/>
      <c r="I21" s="303"/>
      <c r="J21" s="303"/>
      <c r="K21" s="303"/>
      <c r="L21" s="303"/>
      <c r="M21" s="303"/>
      <c r="N21" s="303"/>
      <c r="O21" s="303"/>
      <c r="P21" s="303"/>
      <c r="Q21" s="303"/>
      <c r="R21" s="303"/>
      <c r="S21" s="303"/>
      <c r="T21" s="303"/>
      <c r="U21" s="303"/>
    </row>
    <row r="22" spans="1:21">
      <c r="A22" s="96"/>
      <c r="B22" s="303"/>
      <c r="C22" s="303"/>
      <c r="D22" s="303"/>
      <c r="E22" s="303"/>
      <c r="F22" s="303"/>
      <c r="G22" s="303"/>
      <c r="H22" s="303"/>
      <c r="I22" s="303"/>
      <c r="J22" s="303"/>
      <c r="K22" s="303"/>
      <c r="L22" s="303"/>
      <c r="M22" s="303"/>
      <c r="N22" s="303"/>
      <c r="O22" s="303"/>
      <c r="P22" s="303"/>
      <c r="Q22" s="303"/>
      <c r="R22" s="303"/>
      <c r="S22" s="303"/>
      <c r="T22" s="303"/>
      <c r="U22" s="303"/>
    </row>
    <row r="23" spans="1:21">
      <c r="A23" s="96"/>
      <c r="B23" s="303"/>
      <c r="C23" s="303"/>
      <c r="D23" s="303"/>
      <c r="E23" s="303"/>
      <c r="F23" s="303"/>
      <c r="G23" s="303"/>
      <c r="H23" s="303"/>
      <c r="I23" s="303"/>
      <c r="J23" s="303"/>
      <c r="K23" s="303"/>
      <c r="L23" s="303"/>
      <c r="M23" s="303"/>
      <c r="N23" s="303"/>
      <c r="O23" s="303"/>
      <c r="P23" s="303"/>
      <c r="Q23" s="303"/>
      <c r="R23" s="303"/>
      <c r="S23" s="303"/>
      <c r="T23" s="303"/>
      <c r="U23" s="303"/>
    </row>
    <row r="24" spans="1:21">
      <c r="A24" s="96"/>
      <c r="B24" s="303"/>
      <c r="C24" s="303"/>
      <c r="D24" s="303"/>
      <c r="E24" s="303"/>
      <c r="F24" s="303"/>
      <c r="G24" s="303"/>
      <c r="H24" s="303"/>
      <c r="I24" s="303"/>
      <c r="J24" s="303"/>
      <c r="K24" s="303"/>
      <c r="L24" s="303"/>
      <c r="M24" s="303"/>
      <c r="N24" s="303"/>
      <c r="O24" s="303"/>
      <c r="P24" s="303"/>
      <c r="Q24" s="303"/>
      <c r="R24" s="303"/>
      <c r="S24" s="303"/>
      <c r="T24" s="303"/>
      <c r="U24" s="303"/>
    </row>
    <row r="25" spans="1:21">
      <c r="A25" s="96"/>
      <c r="B25" s="303"/>
      <c r="C25" s="303"/>
      <c r="D25" s="303"/>
      <c r="E25" s="303"/>
      <c r="F25" s="303"/>
      <c r="G25" s="303"/>
      <c r="H25" s="303"/>
      <c r="I25" s="303"/>
      <c r="J25" s="303"/>
      <c r="K25" s="303"/>
      <c r="L25" s="303"/>
      <c r="M25" s="303"/>
      <c r="N25" s="303"/>
      <c r="O25" s="303"/>
      <c r="P25" s="303"/>
      <c r="Q25" s="303"/>
      <c r="R25" s="303"/>
      <c r="S25" s="303"/>
      <c r="T25" s="303"/>
      <c r="U25" s="303"/>
    </row>
    <row r="26" spans="1:21">
      <c r="A26" s="96"/>
      <c r="B26" s="303"/>
      <c r="C26" s="303"/>
      <c r="D26" s="303"/>
      <c r="E26" s="303"/>
      <c r="F26" s="303"/>
      <c r="G26" s="303"/>
      <c r="H26" s="303"/>
      <c r="I26" s="303"/>
      <c r="J26" s="303"/>
      <c r="K26" s="303"/>
      <c r="L26" s="303"/>
      <c r="M26" s="303"/>
      <c r="N26" s="303"/>
      <c r="O26" s="303"/>
      <c r="P26" s="303"/>
      <c r="Q26" s="303"/>
      <c r="R26" s="303"/>
      <c r="S26" s="303"/>
      <c r="T26" s="303"/>
      <c r="U26" s="303"/>
    </row>
    <row r="27" spans="1:21">
      <c r="A27" s="96"/>
      <c r="B27" s="303"/>
      <c r="C27" s="303"/>
      <c r="D27" s="303"/>
      <c r="E27" s="303"/>
      <c r="F27" s="303"/>
      <c r="G27" s="303"/>
      <c r="H27" s="303"/>
      <c r="I27" s="303"/>
      <c r="J27" s="303"/>
      <c r="K27" s="303"/>
      <c r="L27" s="303"/>
      <c r="M27" s="303"/>
      <c r="N27" s="303"/>
      <c r="O27" s="303"/>
      <c r="P27" s="303"/>
      <c r="Q27" s="303"/>
      <c r="R27" s="303"/>
      <c r="S27" s="303"/>
      <c r="T27" s="303"/>
      <c r="U27" s="303"/>
    </row>
    <row r="28" spans="1:21">
      <c r="A28" s="96"/>
      <c r="B28" s="303"/>
      <c r="C28" s="303"/>
      <c r="D28" s="303"/>
      <c r="E28" s="303"/>
      <c r="F28" s="303"/>
      <c r="G28" s="303"/>
      <c r="H28" s="303"/>
      <c r="I28" s="303"/>
      <c r="J28" s="303"/>
      <c r="K28" s="303"/>
      <c r="L28" s="303"/>
      <c r="M28" s="303"/>
      <c r="N28" s="303"/>
      <c r="O28" s="303"/>
      <c r="P28" s="303"/>
      <c r="Q28" s="303"/>
      <c r="R28" s="303"/>
      <c r="S28" s="303"/>
      <c r="T28" s="303"/>
      <c r="U28" s="303"/>
    </row>
    <row r="29" spans="1:21">
      <c r="A29" s="96"/>
      <c r="B29" s="303"/>
      <c r="C29" s="303"/>
      <c r="D29" s="303"/>
      <c r="E29" s="303"/>
      <c r="F29" s="303"/>
      <c r="G29" s="303"/>
      <c r="H29" s="303"/>
      <c r="I29" s="303"/>
      <c r="J29" s="303"/>
      <c r="K29" s="303"/>
      <c r="L29" s="303"/>
      <c r="M29" s="303"/>
      <c r="N29" s="303"/>
      <c r="O29" s="303"/>
      <c r="P29" s="303"/>
      <c r="Q29" s="303"/>
      <c r="R29" s="303"/>
      <c r="S29" s="303"/>
      <c r="T29" s="303"/>
      <c r="U29" s="303"/>
    </row>
    <row r="30" spans="1:21">
      <c r="A30" s="96"/>
      <c r="B30" s="303"/>
      <c r="C30" s="303"/>
      <c r="D30" s="303"/>
      <c r="E30" s="303"/>
      <c r="F30" s="303"/>
      <c r="G30" s="303"/>
      <c r="H30" s="303"/>
      <c r="I30" s="303"/>
      <c r="J30" s="303"/>
      <c r="K30" s="303"/>
      <c r="L30" s="303"/>
      <c r="M30" s="303"/>
      <c r="N30" s="303"/>
      <c r="O30" s="303"/>
      <c r="P30" s="303"/>
      <c r="Q30" s="303"/>
      <c r="R30" s="303"/>
      <c r="S30" s="303"/>
      <c r="T30" s="303"/>
      <c r="U30" s="303"/>
    </row>
    <row r="31" spans="1:21">
      <c r="A31" s="96"/>
      <c r="B31" s="303"/>
      <c r="C31" s="303"/>
      <c r="D31" s="303"/>
      <c r="E31" s="303"/>
      <c r="F31" s="303"/>
      <c r="G31" s="303"/>
      <c r="H31" s="303"/>
      <c r="I31" s="303"/>
      <c r="J31" s="303"/>
      <c r="K31" s="303"/>
      <c r="L31" s="303"/>
      <c r="M31" s="303"/>
      <c r="N31" s="303"/>
      <c r="O31" s="303"/>
      <c r="P31" s="303"/>
      <c r="Q31" s="303"/>
      <c r="R31" s="303"/>
      <c r="S31" s="303"/>
      <c r="T31" s="303"/>
      <c r="U31" s="303"/>
    </row>
    <row r="32" spans="1:21">
      <c r="A32" s="96"/>
      <c r="B32" s="303"/>
      <c r="C32" s="303"/>
      <c r="D32" s="303"/>
      <c r="E32" s="303"/>
      <c r="F32" s="303"/>
      <c r="G32" s="303"/>
      <c r="H32" s="303"/>
      <c r="I32" s="303"/>
      <c r="J32" s="303"/>
      <c r="K32" s="303"/>
      <c r="L32" s="303"/>
      <c r="M32" s="303"/>
      <c r="N32" s="303"/>
      <c r="O32" s="303"/>
      <c r="P32" s="303"/>
      <c r="Q32" s="303"/>
      <c r="R32" s="303"/>
      <c r="S32" s="303"/>
      <c r="T32" s="303"/>
      <c r="U32" s="303"/>
    </row>
    <row r="33" spans="1:21">
      <c r="A33" s="96"/>
      <c r="B33" s="303"/>
      <c r="C33" s="303"/>
      <c r="D33" s="303"/>
      <c r="E33" s="303"/>
      <c r="F33" s="303"/>
      <c r="G33" s="303"/>
      <c r="H33" s="303"/>
      <c r="I33" s="303"/>
      <c r="J33" s="303"/>
      <c r="K33" s="303"/>
      <c r="L33" s="303"/>
      <c r="M33" s="303"/>
      <c r="N33" s="303"/>
      <c r="O33" s="303"/>
      <c r="P33" s="303"/>
      <c r="Q33" s="303"/>
      <c r="R33" s="303"/>
      <c r="S33" s="303"/>
      <c r="T33" s="303"/>
      <c r="U33" s="303"/>
    </row>
    <row r="34" spans="1:21">
      <c r="A34" s="96"/>
      <c r="B34" s="303"/>
      <c r="C34" s="303"/>
      <c r="D34" s="303"/>
      <c r="E34" s="303"/>
      <c r="F34" s="303"/>
      <c r="G34" s="303"/>
      <c r="H34" s="303"/>
      <c r="I34" s="303"/>
      <c r="J34" s="303"/>
      <c r="K34" s="303"/>
      <c r="L34" s="303"/>
      <c r="M34" s="303"/>
      <c r="N34" s="303"/>
      <c r="O34" s="303"/>
      <c r="P34" s="303"/>
      <c r="Q34" s="303"/>
      <c r="R34" s="303"/>
      <c r="S34" s="303"/>
      <c r="T34" s="303"/>
      <c r="U34" s="303"/>
    </row>
    <row r="35" spans="1:21">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4.5"/>
  <cols>
    <col min="1" max="1" width="27.26953125" style="5" hidden="1" customWidth="1"/>
    <col min="2" max="2" width="38" style="5" hidden="1" customWidth="1"/>
    <col min="3" max="4" width="10.81640625" style="5" hidden="1" customWidth="1"/>
    <col min="5" max="5" width="2.453125" style="20" customWidth="1"/>
    <col min="6" max="6" width="25.1796875" style="1" customWidth="1"/>
    <col min="7" max="38" width="25.81640625" style="1" customWidth="1"/>
    <col min="39" max="41" width="10.81640625" style="1" customWidth="1"/>
    <col min="42" max="16384" width="10.81640625" style="1" hidden="1"/>
  </cols>
  <sheetData>
    <row r="1" spans="1:41" ht="40" customHeight="1" thickBot="1">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15" customHeight="1" thickBot="1">
      <c r="E3" s="19"/>
      <c r="F3" s="457" t="str">
        <f>Idiomas!D475</f>
        <v>Nombre</v>
      </c>
      <c r="G3" s="457" t="str" cm="1">
        <f t="array" aca="1" ref="G3:AL3" ca="1">TRANSPOSE($B$4:$B$35)</f>
        <v>México-Sudáfrica
 (1|2-1)</v>
      </c>
      <c r="H3" s="457" t="str">
        <f ca="1"/>
        <v>Corea del Sur-República Checa
 (1|1-0)</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5" thickTop="1">
      <c r="A4" s="5" t="str" cm="1">
        <f t="array" aca="1" ref="A4" ca="1">IFERROR(INDEX(ADMIN!$K$6:$K$258,SMALL(IF(ADMIN!$G$6:$G$258=$J$1,ROW(ADMIN!$G$6:$G$258)-ROW(ADMIN!$G$6)+1),ROWS($A$1:A1))),"")</f>
        <v>México-Sudáfrica</v>
      </c>
      <c r="B4" s="5" t="str">
        <f ca="1">A4&amp;CHAR(10)&amp;C4</f>
        <v>México-Sudáfrica
 (1|2-1)</v>
      </c>
      <c r="C4" s="5" t="str" cm="1">
        <f t="array" aca="1" ref="C4" ca="1">IFERROR(IF(INDEX(ADMIN!$M$6:$M$258,SMALL(IF(ADMIN!$G$6:$G$258=$J$1,ROW(ADMIN!$G$6:$G$258)-ROW(ADMIN!$G$6)+1),ROWS($A$1:A1)))="-",""," ("&amp;INDEX(ADMIN!$M$6:$M$258,SMALL(IF(ADMIN!$G$6:$G$258=$J$1,ROW(ADMIN!$G$6:$G$258)-ROW(ADMIN!$G$6)+1),ROWS($A$1:A1)))&amp;")"),"")</f>
        <v xml:space="preserve"> (1|2-1)</v>
      </c>
      <c r="D4" s="5" t="str" cm="1">
        <f t="array" aca="1" ref="D4" ca="1">IFERROR(IF($J$1&gt;=20,INDEX(ADMIN!$C$6:$C$258,SMALL(IF(ADMIN!$G$6:$G$258=$J$1,ROW(ADMIN!$G$6:$G$258)-ROW(ADMIN!$G$6)+1),ROWS($D$1:D1))),""),"")</f>
        <v/>
      </c>
      <c r="E4" s="19">
        <v>9</v>
      </c>
      <c r="F4" s="414" t="str" cm="1">
        <f t="array" ref="F4">IFERROR(INDEX(Rango_Admin_DailyPred_Primera,1,E4),"-")</f>
        <v>Pegar Valores Nombre J1</v>
      </c>
      <c r="G4" s="437" t="str">
        <f ca="1">IFERROR(VLOOKUP(G$2,Rango_Admin_DailyPred,MATCH($F4,Rango_Admin_DailyPred_Primera,0),0),"-")</f>
        <v>Pegar Valores (J1)</v>
      </c>
      <c r="H4" s="437">
        <f ca="1">IFERROR(VLOOKUP(H$2,Rango_Admin_DailyPred,MATCH($F4,Rango_Admin_DailyPred_Primera,0),0),"-")</f>
        <v>0</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c r="A5" s="5" t="str" cm="1">
        <f t="array" aca="1" ref="A5" ca="1">IFERROR(INDEX(ADMIN!$K$6:$K$258,SMALL(IF(ADMIN!$G$6:$G$258=$J$1,ROW(ADMIN!$G$6:$G$258)-ROW(ADMIN!$G$6)+1),ROWS($A$1:A2))),"")</f>
        <v>Corea del Sur-República Checa</v>
      </c>
      <c r="B5" s="5" t="str">
        <f t="shared" ref="B5:B35" ca="1" si="0">A5&amp;CHAR(10)&amp;C5</f>
        <v>Corea del Sur-República Checa
 (1|1-0)</v>
      </c>
      <c r="C5" s="5" t="str" cm="1">
        <f t="array" aca="1" ref="C5" ca="1">IFERROR(IF(INDEX(ADMIN!$M$6:$M$258,SMALL(IF(ADMIN!$G$6:$G$258=$J$1,ROW(ADMIN!$G$6:$G$258)-ROW(ADMIN!$G$6)+1),ROWS($A$1:A2)))="-", "", " ("&amp;INDEX(ADMIN!$M$6:$M$258,SMALL(IF(ADMIN!$G$6:$G$258=$J$1,ROW(ADMIN!$G$6:$G$258)-ROW(ADMIN!$G$6)+1),ROWS($A$1:A2)))&amp;")"),"")</f>
        <v xml:space="preserve"> (1|1-0)</v>
      </c>
      <c r="D5" s="5" t="str" cm="1">
        <f t="array" aca="1" ref="D5" ca="1">IFERROR(IF($J$1&gt;=20,INDEX(ADMIN!$C$6:$C$258,SMALL(IF(ADMIN!$G$6:$G$258=$J$1,ROW(ADMIN!$G$6:$G$258)-ROW(ADMIN!$G$6)+1),ROWS($D$1:D2))),""),"")</f>
        <v/>
      </c>
      <c r="E5" s="19">
        <f>+E4+3</f>
        <v>12</v>
      </c>
      <c r="F5" s="414" t="str" cm="1">
        <f t="array" ref="F5">IFERROR(INDEX(Rango_Admin_DailyPred_Primera,1,E5),"-")</f>
        <v>Pegar Valores Nombre J2</v>
      </c>
      <c r="G5" s="437" t="str">
        <f ca="1">IFERROR(VLOOKUP(G$2,Rango_Admin_DailyPred,MATCH($F5,Rango_Admin_DailyPred_Primera,0),0),"-")</f>
        <v>Pegar Valores (J1)</v>
      </c>
      <c r="H5" s="437">
        <f ca="1">IFERROR(VLOOKUP(H$2,Rango_Admin_DailyPred,MATCH($F5,Rango_Admin_DailyPred_Primera,0),0),"-")</f>
        <v>0</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Pegar Valores Nombre J3</v>
      </c>
      <c r="G6" s="437" t="str">
        <f ca="1">IFERROR(VLOOKUP(G$2,Rango_Admin_DailyPred,MATCH($F6,Rango_Admin_DailyPred_Primera,0),0),"-")</f>
        <v>Pegar Valores (J1)</v>
      </c>
      <c r="H6" s="437">
        <f ca="1">IFERROR(VLOOKUP(H$2,Rango_Admin_DailyPred,MATCH($F6,Rango_Admin_DailyPred_Primera,0),0),"-")</f>
        <v>0</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Pegar Valores Nombre J4</v>
      </c>
      <c r="G7" s="437" t="str">
        <f ca="1">IFERROR(VLOOKUP(G$2,Rango_Admin_DailyPred,MATCH($F7,Rango_Admin_DailyPred_Primera,0),0),"-")</f>
        <v>Pegar Valores (J1)</v>
      </c>
      <c r="H7" s="437">
        <f ca="1">IFERROR(VLOOKUP(H$2,Rango_Admin_DailyPred,MATCH($F7,Rango_Admin_DailyPred_Primera,0),0),"-")</f>
        <v>0</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Pegar Valores Nombre J5</v>
      </c>
      <c r="G8" s="437" t="str">
        <f ca="1">IFERROR(VLOOKUP(G$2,Rango_Admin_DailyPred,MATCH($F8,Rango_Admin_DailyPred_Primera,0),0),"-")</f>
        <v>Pegar Valores (J1)</v>
      </c>
      <c r="H8" s="437">
        <f ca="1">IFERROR(VLOOKUP(H$2,Rango_Admin_DailyPred,MATCH($F8,Rango_Admin_DailyPred_Primera,0),0),"-")</f>
        <v>0</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4.5"/>
  <cols>
    <col min="1" max="1" width="25.26953125" style="5" hidden="1" customWidth="1"/>
    <col min="2" max="2" width="35.26953125" style="5" hidden="1" customWidth="1"/>
    <col min="3" max="3" width="10.81640625" style="5" hidden="1" customWidth="1"/>
    <col min="4" max="4" width="3.453125" style="20" customWidth="1"/>
    <col min="5" max="5" width="4.1796875" style="1" bestFit="1" customWidth="1"/>
    <col min="6" max="6" width="24.7265625" style="1" customWidth="1"/>
    <col min="7" max="39" width="25.81640625" style="1" customWidth="1"/>
    <col min="40" max="40" width="10.81640625" style="1" customWidth="1"/>
    <col min="41" max="16384" width="10.81640625" style="1" hidden="1"/>
  </cols>
  <sheetData>
    <row r="1" spans="1:40" ht="40" customHeight="1" thickBot="1">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c r="D2" s="19"/>
      <c r="E2" s="303"/>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15" customHeight="1" thickBot="1">
      <c r="D3" s="19"/>
      <c r="E3" s="457" t="str">
        <f>Idiomas!D479</f>
        <v>Pos</v>
      </c>
      <c r="F3" s="457" t="str">
        <f>Idiomas!D480</f>
        <v>Nombre</v>
      </c>
      <c r="G3" s="457" t="str">
        <f>Idiomas!D481</f>
        <v>Puntos Día / Eliminatoria</v>
      </c>
      <c r="H3" s="457" t="str" cm="1">
        <f t="array" aca="1" ref="H3:AM3" ca="1">TRANSPOSE($B$4:$B$35)</f>
        <v>México-Sudáfrica
 (1|2-1)</v>
      </c>
      <c r="I3" s="457" t="str">
        <f ca="1"/>
        <v>Corea del Sur-República Checa
 (1|1-0)</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5" thickTop="1">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(1|2-1)</v>
      </c>
      <c r="C4" s="5">
        <v>1</v>
      </c>
      <c r="D4" s="96"/>
      <c r="E4" s="417">
        <f ca="1">IFERROR(HLOOKUP(C4,Rango_Admin_DailyClas,3,FALSE),"-")</f>
        <v>1</v>
      </c>
      <c r="F4" s="456" t="str">
        <f ca="1">IFERROR(HLOOKUP(C4,Rango_Admin_DailyClas,5,FALSE),"-")</f>
        <v>Pegar Valores Nombre J1</v>
      </c>
      <c r="G4" s="22">
        <f ca="1">IFERROR(HLOOKUP(C4,Rango_Admin_DailyClas,4,FALSE),"-")</f>
        <v>0</v>
      </c>
      <c r="H4" s="437">
        <f ca="1">IFERROR(VLOOKUP(H$2,Rango_Admin_DailyPred,MATCH($F4,Rango_Admin_DailyPred_Primera,0)+1,0),"-")</f>
        <v>0</v>
      </c>
      <c r="I4" s="437">
        <f ca="1">IFERROR(VLOOKUP(I$2,Rango_Admin_DailyPred,MATCH($F4,Rango_Admin_DailyPred_Primera,0)+1,0),"-")</f>
        <v>0</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c r="A5" s="5" t="str" cm="1">
        <f t="array" aca="1" ref="A5" ca="1">IFERROR(INDEX(ADMIN!$K$6:$K$258,SMALL(IF(ADMIN!$G$6:$G$258=$K$1,ROW(ADMIN!$G$6:$G$258)-ROW(ADMIN!$G$6)+1),ROWS($A$1:A2))),"")</f>
        <v>Corea del Sur-República Checa</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(1|1-0)</v>
      </c>
      <c r="C5" s="5">
        <v>2</v>
      </c>
      <c r="D5" s="96"/>
      <c r="E5" s="417">
        <f ca="1">IFERROR(HLOOKUP(C5,Rango_Admin_DailyClas,3,FALSE),"-")</f>
        <v>1</v>
      </c>
      <c r="F5" s="456" t="str">
        <f ca="1">IFERROR(HLOOKUP(C5,Rango_Admin_DailyClas,5,FALSE),"-")</f>
        <v>Pegar Valores Nombre J2</v>
      </c>
      <c r="G5" s="22">
        <f ca="1">IFERROR(HLOOKUP(C5,Rango_Admin_DailyClas,4,FALSE),"-")</f>
        <v>0</v>
      </c>
      <c r="H5" s="437">
        <f ca="1">IFERROR(VLOOKUP(H$2,Rango_Admin_DailyPred,MATCH($F5,Rango_Admin_DailyPred_Primera,0)+1,0),"-")</f>
        <v>0</v>
      </c>
      <c r="I5" s="437">
        <f ca="1">IFERROR(VLOOKUP(I$2,Rango_Admin_DailyPred,MATCH($F5,Rango_Admin_DailyPred_Primera,0)+1,0),"-")</f>
        <v>0</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1</v>
      </c>
      <c r="F6" s="456" t="str">
        <f ca="1">IFERROR(HLOOKUP(C6,Rango_Admin_DailyClas,5,FALSE),"-")</f>
        <v>Pegar Valores Nombre J3</v>
      </c>
      <c r="G6" s="22">
        <f ca="1">IFERROR(HLOOKUP(C6,Rango_Admin_DailyClas,4,FALSE),"-")</f>
        <v>0</v>
      </c>
      <c r="H6" s="437">
        <f ca="1">IFERROR(VLOOKUP(H$2,Rango_Admin_DailyPred,MATCH($F6,Rango_Admin_DailyPred_Primera,0)+1,0),"-")</f>
        <v>0</v>
      </c>
      <c r="I6" s="437">
        <f ca="1">IFERROR(VLOOKUP(I$2,Rango_Admin_DailyPred,MATCH($F6,Rango_Admin_DailyPred_Primera,0)+1,0),"-")</f>
        <v>0</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1</v>
      </c>
      <c r="F7" s="456" t="str">
        <f ca="1">IFERROR(HLOOKUP(C7,Rango_Admin_DailyClas,5,FALSE),"-")</f>
        <v>Pegar Valores Nombre J4</v>
      </c>
      <c r="G7" s="22">
        <f ca="1">IFERROR(HLOOKUP(C7,Rango_Admin_DailyClas,4,FALSE),"-")</f>
        <v>0</v>
      </c>
      <c r="H7" s="437">
        <f ca="1">IFERROR(VLOOKUP(H$2,Rango_Admin_DailyPred,MATCH($F7,Rango_Admin_DailyPred_Primera,0)+1,0),"-")</f>
        <v>0</v>
      </c>
      <c r="I7" s="437">
        <f ca="1">IFERROR(VLOOKUP(I$2,Rango_Admin_DailyPred,MATCH($F7,Rango_Admin_DailyPred_Primera,0)+1,0),"-")</f>
        <v>0</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1</v>
      </c>
      <c r="F8" s="456" t="str">
        <f ca="1">IFERROR(HLOOKUP(C8,Rango_Admin_DailyClas,5,FALSE),"-")</f>
        <v>Pegar Valores Nombre J5</v>
      </c>
      <c r="G8" s="22">
        <f ca="1">IFERROR(HLOOKUP(C8,Rango_Admin_DailyClas,4,FALSE),"-")</f>
        <v>0</v>
      </c>
      <c r="H8" s="437">
        <f ca="1">IFERROR(VLOOKUP(H$2,Rango_Admin_DailyPred,MATCH($F8,Rango_Admin_DailyPred_Primera,0)+1,0),"-")</f>
        <v>0</v>
      </c>
      <c r="I8" s="437">
        <f ca="1">IFERROR(VLOOKUP(I$2,Rango_Admin_DailyPred,MATCH($F8,Rango_Admin_DailyPred_Primera,0)+1,0),"-")</f>
        <v>0</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4.5"/>
  <cols>
    <col min="4" max="4" width="19.7265625" customWidth="1"/>
    <col min="7" max="7" width="17.26953125" style="9" bestFit="1" customWidth="1"/>
    <col min="8" max="8" width="13" style="9" bestFit="1" customWidth="1"/>
    <col min="9" max="10" width="13" bestFit="1" customWidth="1"/>
    <col min="11" max="12" width="12.269531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7"/>
      <c r="C6" s="11"/>
      <c r="D6" s="11" t="str">
        <f t="shared" si="0"/>
        <v>Predictor Equipos</v>
      </c>
      <c r="E6" s="11"/>
      <c r="F6" s="11"/>
      <c r="G6" s="696" t="s">
        <v>1297</v>
      </c>
      <c r="H6" s="696"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7"/>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9"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96" t="s">
        <v>1232</v>
      </c>
      <c r="H69" s="696" t="s">
        <v>1233</v>
      </c>
      <c r="I69" s="11"/>
    </row>
    <row r="70" spans="1:9">
      <c r="A70" s="11"/>
      <c r="B70" s="11"/>
      <c r="C70" s="11"/>
      <c r="D70" s="11" t="str">
        <f t="shared" si="2"/>
        <v xml:space="preserve">Grupos mejores 3ºs: </v>
      </c>
      <c r="E70" s="11"/>
      <c r="F70" s="11"/>
      <c r="G70" s="696" t="s">
        <v>1331</v>
      </c>
      <c r="H70" s="696"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9"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96" t="s">
        <v>1373</v>
      </c>
      <c r="H131" s="696" t="s">
        <v>1372</v>
      </c>
      <c r="I131" s="11"/>
    </row>
    <row r="132" spans="1:9">
      <c r="A132" s="11"/>
      <c r="B132" s="11"/>
      <c r="C132" s="11"/>
      <c r="D132" s="11" t="str">
        <f t="shared" si="6"/>
        <v>J1</v>
      </c>
      <c r="E132" s="11" t="s">
        <v>433</v>
      </c>
      <c r="F132" s="11" t="s">
        <v>252</v>
      </c>
      <c r="G132" s="11" t="s">
        <v>26</v>
      </c>
      <c r="H132" s="11" t="s">
        <v>273</v>
      </c>
      <c r="I132" s="696"/>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44"/>
      <c r="K207" s="747"/>
    </row>
    <row r="208" spans="1:11">
      <c r="A208" s="11"/>
      <c r="B208" s="11"/>
      <c r="C208" s="11"/>
      <c r="D208" s="11"/>
      <c r="E208" s="11"/>
      <c r="F208" s="11"/>
      <c r="G208" s="11"/>
      <c r="H208" s="11"/>
      <c r="I208" s="11"/>
    </row>
    <row r="209" spans="1:16">
      <c r="A209" s="11"/>
      <c r="B209" s="11"/>
      <c r="C209" s="11"/>
      <c r="D209" s="11"/>
      <c r="E209" s="11"/>
      <c r="F209" s="11"/>
      <c r="G209" s="11"/>
      <c r="H209" s="11"/>
      <c r="I209" s="11"/>
      <c r="J209" s="744"/>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44"/>
      <c r="O211" s="748" t="s">
        <v>1934</v>
      </c>
      <c r="P211" s="748"/>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c r="A260" s="11"/>
      <c r="B260" s="11"/>
      <c r="C260" s="11"/>
      <c r="D260" s="11" t="str">
        <f t="shared" ref="D260:D264" si="12">IF($B$2,G260,H260)</f>
        <v>Dieciseisavos de final</v>
      </c>
      <c r="E260" s="11"/>
      <c r="F260" s="11"/>
      <c r="G260" s="11" t="s">
        <v>481</v>
      </c>
      <c r="H260" s="11" t="s">
        <v>482</v>
      </c>
    </row>
    <row r="261" spans="1:16">
      <c r="A261" s="11"/>
      <c r="B261" s="11"/>
      <c r="C261" s="11"/>
      <c r="D261" s="11" t="str">
        <f t="shared" si="12"/>
        <v>Octavos de final</v>
      </c>
      <c r="E261" s="11"/>
      <c r="F261" s="11"/>
      <c r="G261" s="11" t="s">
        <v>87</v>
      </c>
      <c r="H261" s="11" t="s">
        <v>1452</v>
      </c>
    </row>
    <row r="262" spans="1:16">
      <c r="A262" s="11"/>
      <c r="B262" s="11"/>
      <c r="C262" s="11"/>
      <c r="D262" s="11" t="str">
        <f t="shared" si="12"/>
        <v>Cuartos de final</v>
      </c>
      <c r="E262" s="11"/>
      <c r="F262" s="11"/>
      <c r="G262" s="11" t="s">
        <v>69</v>
      </c>
      <c r="H262" s="11" t="s">
        <v>219</v>
      </c>
    </row>
    <row r="263" spans="1:16">
      <c r="A263" s="11"/>
      <c r="B263" s="11"/>
      <c r="C263" s="11"/>
      <c r="D263" s="11" t="str">
        <f t="shared" si="12"/>
        <v>Semifinales</v>
      </c>
      <c r="E263" s="11"/>
      <c r="F263" s="11"/>
      <c r="G263" s="11" t="s">
        <v>36</v>
      </c>
      <c r="H263" s="11" t="s">
        <v>220</v>
      </c>
    </row>
    <row r="264" spans="1:16">
      <c r="A264" s="11"/>
      <c r="B264" s="11"/>
      <c r="C264" s="11"/>
      <c r="D264" s="11" t="str">
        <f t="shared" si="12"/>
        <v>3-4 &amp; Final</v>
      </c>
      <c r="E264" s="11"/>
      <c r="F264" s="11"/>
      <c r="G264" s="11" t="s">
        <v>1629</v>
      </c>
      <c r="H264" s="11" t="s">
        <v>1629</v>
      </c>
    </row>
    <row r="265" spans="1:16">
      <c r="A265" s="11"/>
      <c r="B265" s="11"/>
      <c r="C265" s="11"/>
      <c r="D265" s="11"/>
      <c r="E265" s="11"/>
      <c r="F265" s="11"/>
      <c r="G265" s="11"/>
      <c r="H265" s="11"/>
    </row>
    <row r="266" spans="1:16">
      <c r="A266" s="11" t="s">
        <v>375</v>
      </c>
      <c r="B266" s="11"/>
      <c r="C266" s="11"/>
      <c r="D266" s="11" t="str">
        <f t="shared" ref="D266" si="13">IF($B$2,G266,H266)</f>
        <v>Estados Unidos</v>
      </c>
      <c r="E266" s="11" t="s">
        <v>373</v>
      </c>
      <c r="F266" s="11" t="s">
        <v>374</v>
      </c>
      <c r="G266" s="11" t="s">
        <v>497</v>
      </c>
      <c r="H266" s="11" t="s">
        <v>498</v>
      </c>
    </row>
    <row r="267" spans="1:16">
      <c r="A267" s="11"/>
      <c r="B267" s="11"/>
      <c r="C267" s="11"/>
      <c r="D267" s="11"/>
      <c r="E267" s="11"/>
      <c r="F267" s="11"/>
      <c r="G267" s="11"/>
      <c r="H267" s="11"/>
    </row>
    <row r="268" spans="1:16">
      <c r="A268" s="11"/>
      <c r="B268" s="11"/>
      <c r="C268" s="11"/>
      <c r="D268" s="11"/>
      <c r="E268" s="11"/>
      <c r="F268" s="11"/>
      <c r="G268" s="11"/>
      <c r="H268" s="11"/>
    </row>
    <row r="269" spans="1:16">
      <c r="A269" s="11"/>
      <c r="B269" s="11"/>
      <c r="C269" s="11"/>
      <c r="D269" s="11" t="str">
        <f t="shared" ref="D269:D284" si="14">IF($B$2,G269,H269)</f>
        <v>Campeón</v>
      </c>
      <c r="E269" s="11" t="s">
        <v>1242</v>
      </c>
      <c r="F269" s="11"/>
      <c r="G269" s="11" t="s">
        <v>18</v>
      </c>
      <c r="H269" s="696" t="s">
        <v>222</v>
      </c>
    </row>
    <row r="270" spans="1:16">
      <c r="A270" s="11"/>
      <c r="B270" s="11"/>
      <c r="C270" s="11"/>
      <c r="D270" s="11" t="str">
        <f t="shared" si="14"/>
        <v>Subcampeón</v>
      </c>
      <c r="E270" s="11" t="s">
        <v>1242</v>
      </c>
      <c r="F270" s="11"/>
      <c r="G270" s="11" t="s">
        <v>19</v>
      </c>
      <c r="H270" s="11" t="s">
        <v>223</v>
      </c>
    </row>
    <row r="271" spans="1:16">
      <c r="A271" s="11"/>
      <c r="B271" s="11"/>
      <c r="C271" s="11"/>
      <c r="D271" s="11" t="str">
        <f t="shared" si="14"/>
        <v>3º puesto</v>
      </c>
      <c r="E271" s="11" t="s">
        <v>1242</v>
      </c>
      <c r="F271" s="11"/>
      <c r="G271" s="11" t="s">
        <v>1234</v>
      </c>
      <c r="H271" s="11" t="s">
        <v>1235</v>
      </c>
    </row>
    <row r="272" spans="1:16">
      <c r="A272" s="11"/>
      <c r="B272" s="11"/>
      <c r="C272" s="11"/>
      <c r="D272" s="11" t="str">
        <f t="shared" si="14"/>
        <v>Semifinales</v>
      </c>
      <c r="E272" s="11" t="s">
        <v>1242</v>
      </c>
      <c r="F272" s="11"/>
      <c r="G272" s="11" t="s">
        <v>36</v>
      </c>
      <c r="H272" s="696" t="s">
        <v>220</v>
      </c>
    </row>
    <row r="273" spans="1:8">
      <c r="A273" s="11"/>
      <c r="B273" s="11"/>
      <c r="C273" s="11"/>
      <c r="D273" s="11" t="str">
        <f t="shared" si="14"/>
        <v>Cuartos de final</v>
      </c>
      <c r="E273" s="11" t="s">
        <v>1242</v>
      </c>
      <c r="F273" s="11"/>
      <c r="G273" s="11" t="s">
        <v>69</v>
      </c>
      <c r="H273" s="696" t="s">
        <v>219</v>
      </c>
    </row>
    <row r="274" spans="1:8">
      <c r="A274" s="11"/>
      <c r="B274" s="11"/>
      <c r="C274" s="11"/>
      <c r="D274" s="11" t="str">
        <f t="shared" si="14"/>
        <v>Octavos de final</v>
      </c>
      <c r="E274" s="11" t="s">
        <v>1242</v>
      </c>
      <c r="F274" s="11"/>
      <c r="G274" s="11" t="s">
        <v>87</v>
      </c>
      <c r="H274" s="696" t="s">
        <v>218</v>
      </c>
    </row>
    <row r="275" spans="1:8">
      <c r="A275" s="11"/>
      <c r="B275" s="11"/>
      <c r="C275" s="11"/>
      <c r="D275" s="11" t="str">
        <f t="shared" si="14"/>
        <v>Dieciseisavos de final</v>
      </c>
      <c r="E275" s="11" t="s">
        <v>1242</v>
      </c>
      <c r="F275" s="11"/>
      <c r="G275" s="11" t="s">
        <v>481</v>
      </c>
      <c r="H275" s="11" t="s">
        <v>482</v>
      </c>
    </row>
    <row r="276" spans="1:8">
      <c r="A276" s="11"/>
      <c r="B276" s="11"/>
      <c r="C276" s="11"/>
      <c r="D276" s="11" t="str">
        <f t="shared" si="14"/>
        <v>Fase de grupos</v>
      </c>
      <c r="E276" s="11" t="s">
        <v>1242</v>
      </c>
      <c r="F276" s="11"/>
      <c r="G276" s="11" t="s">
        <v>1243</v>
      </c>
      <c r="H276" s="696" t="s">
        <v>1244</v>
      </c>
    </row>
    <row r="277" spans="1:8">
      <c r="A277" s="11"/>
      <c r="B277" s="11"/>
      <c r="C277" s="11"/>
      <c r="D277" s="11" t="str">
        <f t="shared" si="14"/>
        <v>Pronóstica la ronda</v>
      </c>
      <c r="E277" s="11" t="s">
        <v>1242</v>
      </c>
      <c r="F277" s="11"/>
      <c r="G277" s="696" t="s">
        <v>1236</v>
      </c>
      <c r="H277" s="696" t="s">
        <v>1237</v>
      </c>
    </row>
    <row r="278" spans="1:8">
      <c r="A278" s="11"/>
      <c r="B278" s="11"/>
      <c r="C278" s="11"/>
      <c r="D278" s="11" t="str">
        <f t="shared" si="14"/>
        <v>Predice la selección</v>
      </c>
      <c r="E278" s="11" t="s">
        <v>1242</v>
      </c>
      <c r="F278" s="11"/>
      <c r="G278" s="696" t="s">
        <v>1245</v>
      </c>
      <c r="H278" s="696" t="s">
        <v>1246</v>
      </c>
    </row>
    <row r="279" spans="1:8">
      <c r="A279" s="11"/>
      <c r="B279" s="11"/>
      <c r="C279" s="11"/>
      <c r="D279" s="11" t="str">
        <f t="shared" si="14"/>
        <v>Ronda</v>
      </c>
      <c r="E279" s="11" t="s">
        <v>1242</v>
      </c>
      <c r="F279" s="11"/>
      <c r="G279" s="696" t="s">
        <v>1238</v>
      </c>
      <c r="H279" s="696" t="s">
        <v>1239</v>
      </c>
    </row>
    <row r="280" spans="1:8">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c r="A281" s="11"/>
      <c r="B281" s="11"/>
      <c r="C281" s="11"/>
      <c r="D281" s="11" t="str">
        <f t="shared" si="14"/>
        <v>·Una vez elijas una selección, dejará de aparecer en la lista</v>
      </c>
      <c r="E281" s="11" t="s">
        <v>1242</v>
      </c>
      <c r="F281" s="11"/>
      <c r="G281" s="11" t="s">
        <v>1254</v>
      </c>
      <c r="H281" s="696" t="s">
        <v>1252</v>
      </c>
    </row>
    <row r="282" spans="1:8">
      <c r="A282" s="11"/>
      <c r="B282" s="11"/>
      <c r="C282" s="11"/>
      <c r="D282" s="11" t="str">
        <f t="shared" si="14"/>
        <v xml:space="preserve">·Si has rellenado todos y quieres hacer un cambio, </v>
      </c>
      <c r="E282" s="11" t="s">
        <v>1242</v>
      </c>
      <c r="F282" s="11"/>
      <c r="G282" s="11" t="s">
        <v>1240</v>
      </c>
      <c r="H282" s="696" t="s">
        <v>1241</v>
      </c>
    </row>
    <row r="283" spans="1:8">
      <c r="A283" s="11"/>
      <c r="B283" s="11"/>
      <c r="C283" s="11"/>
      <c r="D283" s="11" t="str">
        <f t="shared" si="14"/>
        <v xml:space="preserve"> borra las selecciones que quieras cambiar y podrás volver a elegirlas</v>
      </c>
      <c r="E283" s="11" t="s">
        <v>1242</v>
      </c>
      <c r="F283" s="11"/>
      <c r="G283" s="11" t="s">
        <v>1248</v>
      </c>
      <c r="H283" s="696" t="s">
        <v>1251</v>
      </c>
    </row>
    <row r="284" spans="1:8">
      <c r="A284" s="11"/>
      <c r="B284" s="11"/>
      <c r="C284" s="11"/>
      <c r="D284" s="11" t="str">
        <f t="shared" si="14"/>
        <v>Rellenar antes del comienzo del Mundial</v>
      </c>
      <c r="E284" s="11" t="s">
        <v>1242</v>
      </c>
      <c r="F284" s="11"/>
      <c r="G284" s="11" t="s">
        <v>1249</v>
      </c>
      <c r="H284" s="696" t="s">
        <v>1250</v>
      </c>
    </row>
    <row r="285" spans="1:8">
      <c r="A285" s="11"/>
      <c r="B285" s="11"/>
      <c r="C285" s="11"/>
      <c r="D285" s="11" t="str">
        <f t="shared" ref="D285" si="15">IF($B$2,G285,H285)</f>
        <v>·Si en tu grupo no vais a usar el predictor, puedes dejarlo sin rellenar</v>
      </c>
      <c r="E285" s="11" t="s">
        <v>1242</v>
      </c>
      <c r="F285" s="11"/>
      <c r="G285" s="11" t="s">
        <v>1363</v>
      </c>
      <c r="H285" s="11" t="s">
        <v>1364</v>
      </c>
    </row>
    <row r="286" spans="1:8">
      <c r="A286" s="11"/>
      <c r="B286" s="11"/>
      <c r="C286" s="11"/>
      <c r="D286" s="11"/>
      <c r="E286" s="11"/>
      <c r="F286" s="11"/>
      <c r="G286" s="11"/>
      <c r="H286" s="11"/>
    </row>
    <row r="287" spans="1:8">
      <c r="A287" s="11"/>
      <c r="B287" s="11"/>
      <c r="C287" s="11"/>
      <c r="D287" s="11"/>
      <c r="E287" s="11"/>
      <c r="F287" s="11"/>
      <c r="G287" s="11"/>
      <c r="H287" s="11"/>
    </row>
    <row r="288" spans="1:8">
      <c r="A288" s="11"/>
      <c r="B288" s="11"/>
      <c r="C288" s="11"/>
      <c r="D288" s="11"/>
      <c r="E288" s="11"/>
      <c r="F288" s="11"/>
      <c r="G288" s="11"/>
      <c r="H288" s="11"/>
    </row>
    <row r="289" spans="1:8">
      <c r="A289" s="11"/>
      <c r="B289" s="11"/>
      <c r="C289" s="11"/>
      <c r="D289" s="11"/>
      <c r="E289" s="11"/>
      <c r="F289" s="11"/>
      <c r="G289" s="11"/>
      <c r="H289" s="11"/>
    </row>
    <row r="290" spans="1:8">
      <c r="A290" s="11"/>
      <c r="B290" s="11"/>
      <c r="C290" s="11"/>
      <c r="D290" s="11"/>
      <c r="E290" s="11"/>
      <c r="F290" s="11"/>
      <c r="G290" s="11"/>
      <c r="H290" s="11"/>
    </row>
    <row r="291" spans="1:8">
      <c r="A291" s="11"/>
      <c r="B291" s="11"/>
      <c r="C291" s="11"/>
      <c r="D291" s="11"/>
      <c r="E291" s="11"/>
      <c r="F291" s="11"/>
      <c r="G291" s="11"/>
      <c r="H291" s="11"/>
    </row>
    <row r="292" spans="1:8">
      <c r="A292" s="11"/>
      <c r="B292" s="11"/>
      <c r="C292" s="11"/>
      <c r="D292" s="11"/>
      <c r="E292" s="11"/>
      <c r="F292" s="11"/>
      <c r="G292" s="11"/>
      <c r="H292" s="11"/>
    </row>
    <row r="293" spans="1:8">
      <c r="A293" s="11"/>
      <c r="B293" s="11"/>
      <c r="C293" s="11"/>
      <c r="D293" s="11"/>
      <c r="E293" s="11"/>
      <c r="F293" s="11"/>
      <c r="G293" s="11"/>
      <c r="H293" s="11"/>
    </row>
    <row r="294" spans="1:8">
      <c r="A294" s="11"/>
      <c r="B294" s="11"/>
      <c r="C294" s="11"/>
      <c r="D294" s="11"/>
      <c r="E294" s="11"/>
      <c r="F294" s="11"/>
      <c r="G294" s="11"/>
      <c r="H294" s="11"/>
    </row>
    <row r="295" spans="1:8">
      <c r="A295" s="11"/>
      <c r="B295" s="11"/>
      <c r="C295" s="11"/>
      <c r="D295" s="11"/>
      <c r="E295" s="11"/>
      <c r="F295" s="11"/>
      <c r="G295" s="11"/>
      <c r="H295" s="11"/>
    </row>
    <row r="296" spans="1:8">
      <c r="A296" s="11"/>
      <c r="B296" s="11"/>
      <c r="C296" s="11"/>
      <c r="D296" s="11"/>
      <c r="E296" s="11"/>
      <c r="F296" s="11"/>
      <c r="G296" s="11"/>
      <c r="H296" s="11"/>
    </row>
    <row r="297" spans="1:8">
      <c r="A297" s="11"/>
      <c r="B297" s="11"/>
      <c r="C297" s="11"/>
      <c r="D297" s="11"/>
      <c r="E297" s="11"/>
      <c r="F297" s="11"/>
      <c r="G297" s="11"/>
      <c r="H297" s="11"/>
    </row>
    <row r="298" spans="1:8">
      <c r="A298" s="11"/>
      <c r="B298" s="11"/>
      <c r="C298" s="11"/>
      <c r="D298" s="11"/>
      <c r="E298" s="11"/>
      <c r="F298" s="11"/>
      <c r="G298" s="11"/>
      <c r="H298" s="11"/>
    </row>
    <row r="299" spans="1:8">
      <c r="A299" s="11"/>
      <c r="B299" s="11"/>
      <c r="C299" s="11"/>
      <c r="D299" s="11" t="str">
        <f t="shared" ref="D299:D363" si="16">IF($B$2,G299,H299)</f>
        <v>Selecciona el Nº de Jugadores</v>
      </c>
      <c r="E299" s="780" t="s">
        <v>1375</v>
      </c>
      <c r="F299" s="780" t="s">
        <v>126</v>
      </c>
      <c r="G299" s="780" t="s">
        <v>1376</v>
      </c>
      <c r="H299" s="780" t="s">
        <v>1516</v>
      </c>
    </row>
    <row r="300" spans="1:8">
      <c r="A300" s="11"/>
      <c r="B300" s="11"/>
      <c r="C300" s="11"/>
      <c r="D300" s="11" t="str">
        <f t="shared" si="16"/>
        <v>↓↓ Resultados reales ↓↓</v>
      </c>
      <c r="E300" s="780" t="s">
        <v>1375</v>
      </c>
      <c r="F300" s="780" t="s">
        <v>181</v>
      </c>
      <c r="G300" s="780" t="s">
        <v>1377</v>
      </c>
      <c r="H300" s="780" t="s">
        <v>1378</v>
      </c>
    </row>
    <row r="301" spans="1:8">
      <c r="A301" s="11"/>
      <c r="B301" s="11"/>
      <c r="C301" s="11"/>
      <c r="D301" s="11" t="str">
        <f t="shared" si="16"/>
        <v>Regla* (Click para ver la explicación)</v>
      </c>
      <c r="E301" s="780" t="s">
        <v>1375</v>
      </c>
      <c r="F301" s="780" t="s">
        <v>1379</v>
      </c>
      <c r="G301" s="780" t="s">
        <v>1829</v>
      </c>
      <c r="H301" s="780" t="s">
        <v>1830</v>
      </c>
    </row>
    <row r="302" spans="1:8">
      <c r="A302" s="11"/>
      <c r="B302" s="11"/>
      <c r="C302" s="11"/>
      <c r="D302" s="11" t="str">
        <f t="shared" si="16"/>
        <v>https://matejero.es/puntuaciones-excel-mundial-2026/</v>
      </c>
      <c r="E302" s="780" t="s">
        <v>1375</v>
      </c>
      <c r="F302" s="780"/>
      <c r="G302" s="781" t="s">
        <v>1828</v>
      </c>
      <c r="H302" s="781" t="s">
        <v>1917</v>
      </c>
    </row>
    <row r="303" spans="1:8">
      <c r="A303" s="11"/>
      <c r="B303" s="11"/>
      <c r="C303" s="11"/>
      <c r="D303" s="11" t="str">
        <f t="shared" si="16"/>
        <v>Puntos</v>
      </c>
      <c r="E303" s="780" t="s">
        <v>1375</v>
      </c>
      <c r="F303" s="780" t="s">
        <v>1380</v>
      </c>
      <c r="G303" s="780" t="s">
        <v>1381</v>
      </c>
      <c r="H303" s="780" t="s">
        <v>1382</v>
      </c>
    </row>
    <row r="304" spans="1:8">
      <c r="A304" s="11"/>
      <c r="B304" s="11"/>
      <c r="C304" s="11"/>
      <c r="D304" s="11" t="str">
        <f t="shared" si="16"/>
        <v>FASE DE GRUPOS - Signo 1X2 (local, empate, visitante)</v>
      </c>
      <c r="E304" s="780" t="s">
        <v>1375</v>
      </c>
      <c r="F304" s="780" t="s">
        <v>1383</v>
      </c>
      <c r="G304" s="780" t="s">
        <v>1774</v>
      </c>
      <c r="H304" s="780" t="s">
        <v>1775</v>
      </c>
    </row>
    <row r="305" spans="1:8">
      <c r="A305" s="11"/>
      <c r="B305" s="11"/>
      <c r="C305" s="11"/>
      <c r="D305" s="11" t="str">
        <f t="shared" si="16"/>
        <v>FASE DE GRUPOS - Diferencia/Distancia de goles (Con 1X2 acertado)</v>
      </c>
      <c r="E305" s="780" t="s">
        <v>1375</v>
      </c>
      <c r="F305" s="780" t="s">
        <v>1384</v>
      </c>
      <c r="G305" s="780" t="s">
        <v>1766</v>
      </c>
      <c r="H305" s="780" t="s">
        <v>1385</v>
      </c>
    </row>
    <row r="306" spans="1:8">
      <c r="A306" s="11"/>
      <c r="B306" s="11"/>
      <c r="C306" s="11"/>
      <c r="D306" s="11" t="str">
        <f t="shared" si="16"/>
        <v>FASE DE GRUPOS - Resultado exacto</v>
      </c>
      <c r="E306" s="780" t="s">
        <v>1375</v>
      </c>
      <c r="F306" s="780" t="s">
        <v>1386</v>
      </c>
      <c r="G306" s="780" t="s">
        <v>1387</v>
      </c>
      <c r="H306" s="780" t="s">
        <v>1388</v>
      </c>
    </row>
    <row r="307" spans="1:8">
      <c r="A307" s="11"/>
      <c r="B307" s="11"/>
      <c r="C307" s="11"/>
      <c r="D307" s="11" t="str">
        <f t="shared" si="16"/>
        <v>FASE DE GRUPOS - Posición exacta (1º)</v>
      </c>
      <c r="E307" s="780" t="s">
        <v>1375</v>
      </c>
      <c r="F307" s="780" t="s">
        <v>1389</v>
      </c>
      <c r="G307" s="780" t="s">
        <v>1390</v>
      </c>
      <c r="H307" s="780" t="s">
        <v>1391</v>
      </c>
    </row>
    <row r="308" spans="1:8">
      <c r="A308" s="11"/>
      <c r="B308" s="11"/>
      <c r="C308" s="11"/>
      <c r="D308" s="11" t="str">
        <f t="shared" si="16"/>
        <v>FASE DE GRUPOS - Posición exacta (2º)</v>
      </c>
      <c r="E308" s="780" t="s">
        <v>1375</v>
      </c>
      <c r="F308" s="780" t="s">
        <v>1398</v>
      </c>
      <c r="G308" s="780" t="s">
        <v>1392</v>
      </c>
      <c r="H308" s="780" t="s">
        <v>1393</v>
      </c>
    </row>
    <row r="309" spans="1:8">
      <c r="A309" s="11"/>
      <c r="B309" s="11"/>
      <c r="C309" s="11"/>
      <c r="D309" s="11" t="str">
        <f t="shared" si="16"/>
        <v>FASE DE GRUPOS - Posición exacta (3º)</v>
      </c>
      <c r="E309" s="780" t="s">
        <v>1375</v>
      </c>
      <c r="F309" s="780" t="s">
        <v>1398</v>
      </c>
      <c r="G309" s="780" t="s">
        <v>1394</v>
      </c>
      <c r="H309" s="780" t="s">
        <v>1395</v>
      </c>
    </row>
    <row r="310" spans="1:8">
      <c r="A310" s="11"/>
      <c r="B310" s="11"/>
      <c r="C310" s="11"/>
      <c r="D310" s="11" t="str">
        <f t="shared" si="16"/>
        <v>FASE DE GRUPOS - Posición exacta (4º)</v>
      </c>
      <c r="E310" s="780" t="s">
        <v>1375</v>
      </c>
      <c r="F310" s="780" t="s">
        <v>1400</v>
      </c>
      <c r="G310" s="780" t="s">
        <v>1396</v>
      </c>
      <c r="H310" s="780" t="s">
        <v>1397</v>
      </c>
    </row>
    <row r="311" spans="1:8">
      <c r="A311" s="11"/>
      <c r="B311" s="11"/>
      <c r="C311" s="11"/>
      <c r="D311" s="11" t="str">
        <f t="shared" si="16"/>
        <v>Equipo clasificado para DIECISEISAVOS</v>
      </c>
      <c r="E311" s="780" t="s">
        <v>1375</v>
      </c>
      <c r="F311" s="780" t="s">
        <v>1403</v>
      </c>
      <c r="G311" s="780" t="s">
        <v>1540</v>
      </c>
      <c r="H311" s="780" t="s">
        <v>1572</v>
      </c>
    </row>
    <row r="312" spans="1:8">
      <c r="A312" s="11"/>
      <c r="B312" s="11"/>
      <c r="C312" s="11"/>
      <c r="D312" s="11" t="str">
        <f t="shared" si="16"/>
        <v>DIECISEISAVOS - Signo 1X2 (local, empate, visitante)</v>
      </c>
      <c r="E312" s="780" t="s">
        <v>1375</v>
      </c>
      <c r="F312" s="780" t="s">
        <v>1405</v>
      </c>
      <c r="G312" s="780" t="s">
        <v>1542</v>
      </c>
      <c r="H312" s="780" t="s">
        <v>1547</v>
      </c>
    </row>
    <row r="313" spans="1:8">
      <c r="A313" s="11"/>
      <c r="B313" s="11"/>
      <c r="C313" s="11"/>
      <c r="D313" s="11" t="str">
        <f t="shared" si="16"/>
        <v>DIECISEISAVOS - Diferencia/Distancia de goles (Con 1X2 acertado)</v>
      </c>
      <c r="E313" s="780" t="s">
        <v>1375</v>
      </c>
      <c r="F313" s="780" t="s">
        <v>1400</v>
      </c>
      <c r="G313" s="780" t="s">
        <v>1767</v>
      </c>
      <c r="H313" s="780" t="s">
        <v>1548</v>
      </c>
    </row>
    <row r="314" spans="1:8">
      <c r="A314" s="11"/>
      <c r="B314" s="11"/>
      <c r="C314" s="11"/>
      <c r="D314" s="11" t="str">
        <f t="shared" si="16"/>
        <v>DIECISEISAVOS - Resultado exacto</v>
      </c>
      <c r="E314" s="780" t="s">
        <v>1375</v>
      </c>
      <c r="F314" s="780" t="s">
        <v>1403</v>
      </c>
      <c r="G314" s="780" t="s">
        <v>1541</v>
      </c>
      <c r="H314" s="780" t="s">
        <v>1549</v>
      </c>
    </row>
    <row r="315" spans="1:8">
      <c r="A315" s="11"/>
      <c r="B315" s="11"/>
      <c r="C315" s="11"/>
      <c r="D315" s="11" t="str">
        <f t="shared" si="16"/>
        <v>Equipo clasificado para OCTAVOS</v>
      </c>
      <c r="E315" s="780" t="s">
        <v>1375</v>
      </c>
      <c r="F315" s="780" t="s">
        <v>1405</v>
      </c>
      <c r="G315" s="780" t="s">
        <v>1399</v>
      </c>
      <c r="H315" s="780" t="s">
        <v>1561</v>
      </c>
    </row>
    <row r="316" spans="1:8">
      <c r="A316" s="11"/>
      <c r="B316" s="11"/>
      <c r="C316" s="11"/>
      <c r="D316" s="11" t="str">
        <f t="shared" si="16"/>
        <v>OCTAVOS - Signo 1X2  (local, empate, visitante)</v>
      </c>
      <c r="E316" s="780" t="s">
        <v>1375</v>
      </c>
      <c r="F316" s="780" t="s">
        <v>1407</v>
      </c>
      <c r="G316" s="780" t="s">
        <v>1401</v>
      </c>
      <c r="H316" s="780" t="s">
        <v>1402</v>
      </c>
    </row>
    <row r="317" spans="1:8">
      <c r="A317" s="11"/>
      <c r="B317" s="11"/>
      <c r="C317" s="11"/>
      <c r="D317" s="11" t="str">
        <f t="shared" si="16"/>
        <v>OCTAVOS -Diferencia/Distancia de goles (Con 1X2 acertado)</v>
      </c>
      <c r="E317" s="780" t="s">
        <v>1375</v>
      </c>
      <c r="F317" s="780" t="s">
        <v>1409</v>
      </c>
      <c r="G317" s="780" t="s">
        <v>1768</v>
      </c>
      <c r="H317" s="780" t="s">
        <v>1404</v>
      </c>
    </row>
    <row r="318" spans="1:8">
      <c r="A318" s="11"/>
      <c r="B318" s="11"/>
      <c r="C318" s="11"/>
      <c r="D318" s="11" t="str">
        <f t="shared" si="16"/>
        <v>OCTAVOS - Resultado exacto</v>
      </c>
      <c r="E318" s="780" t="s">
        <v>1375</v>
      </c>
      <c r="F318" s="780" t="s">
        <v>1412</v>
      </c>
      <c r="G318" s="780" t="s">
        <v>1406</v>
      </c>
      <c r="H318" s="780" t="s">
        <v>1517</v>
      </c>
    </row>
    <row r="319" spans="1:8">
      <c r="A319" s="11"/>
      <c r="B319" s="11"/>
      <c r="C319" s="11"/>
      <c r="D319" s="11" t="str">
        <f t="shared" si="16"/>
        <v>Equipo clasificado para CUARTOS</v>
      </c>
      <c r="E319" s="780" t="s">
        <v>1375</v>
      </c>
      <c r="F319" s="780" t="s">
        <v>1414</v>
      </c>
      <c r="G319" s="780" t="s">
        <v>1408</v>
      </c>
      <c r="H319" s="780" t="s">
        <v>1518</v>
      </c>
    </row>
    <row r="320" spans="1:8">
      <c r="A320" s="11"/>
      <c r="B320" s="11"/>
      <c r="C320" s="11"/>
      <c r="D320" s="11" t="str">
        <f t="shared" si="16"/>
        <v>CUARTOS - Signo 1X2  (local, empate, visitante)</v>
      </c>
      <c r="E320" s="780" t="s">
        <v>1375</v>
      </c>
      <c r="F320" s="780" t="s">
        <v>1416</v>
      </c>
      <c r="G320" s="780" t="s">
        <v>1410</v>
      </c>
      <c r="H320" s="780" t="s">
        <v>1411</v>
      </c>
    </row>
    <row r="321" spans="1:8">
      <c r="A321" s="11"/>
      <c r="B321" s="11"/>
      <c r="C321" s="11"/>
      <c r="D321" s="11" t="str">
        <f t="shared" si="16"/>
        <v>CUARTOS -Diferencia/Distancia de goles (Con 1X2 acertado)</v>
      </c>
      <c r="E321" s="780" t="s">
        <v>1375</v>
      </c>
      <c r="F321" s="780" t="s">
        <v>1418</v>
      </c>
      <c r="G321" s="780" t="s">
        <v>1769</v>
      </c>
      <c r="H321" s="780" t="s">
        <v>1413</v>
      </c>
    </row>
    <row r="322" spans="1:8">
      <c r="A322" s="11"/>
      <c r="B322" s="11"/>
      <c r="C322" s="11"/>
      <c r="D322" s="11" t="str">
        <f t="shared" si="16"/>
        <v>CUARTOS - Resultado exacto</v>
      </c>
      <c r="E322" s="780" t="s">
        <v>1375</v>
      </c>
      <c r="F322" s="780" t="s">
        <v>1421</v>
      </c>
      <c r="G322" s="780" t="s">
        <v>1415</v>
      </c>
      <c r="H322" s="780" t="s">
        <v>1519</v>
      </c>
    </row>
    <row r="323" spans="1:8">
      <c r="A323" s="11"/>
      <c r="B323" s="11"/>
      <c r="C323" s="11"/>
      <c r="D323" s="11" t="str">
        <f t="shared" si="16"/>
        <v>Equipo clasificado para SEMIFINALES</v>
      </c>
      <c r="E323" s="780" t="s">
        <v>1375</v>
      </c>
      <c r="F323" s="780" t="s">
        <v>1423</v>
      </c>
      <c r="G323" s="780" t="s">
        <v>1417</v>
      </c>
      <c r="H323" s="780" t="s">
        <v>1562</v>
      </c>
    </row>
    <row r="324" spans="1:8">
      <c r="A324" s="11"/>
      <c r="B324" s="11"/>
      <c r="C324" s="11"/>
      <c r="D324" s="11" t="str">
        <f t="shared" si="16"/>
        <v>SEMIFINALES - Signo 1X2  (local, empate, visitante)</v>
      </c>
      <c r="E324" s="780" t="s">
        <v>1375</v>
      </c>
      <c r="F324" s="780" t="s">
        <v>1426</v>
      </c>
      <c r="G324" s="780" t="s">
        <v>1419</v>
      </c>
      <c r="H324" s="780" t="s">
        <v>1420</v>
      </c>
    </row>
    <row r="325" spans="1:8">
      <c r="A325" s="11"/>
      <c r="B325" s="11"/>
      <c r="C325" s="11"/>
      <c r="D325" s="11" t="str">
        <f t="shared" si="16"/>
        <v>SEMIFINALES -Diferencia/Distancia de goles (Con 1X2 acertado)</v>
      </c>
      <c r="E325" s="780" t="s">
        <v>1375</v>
      </c>
      <c r="F325" s="780" t="s">
        <v>1426</v>
      </c>
      <c r="G325" s="780" t="s">
        <v>1770</v>
      </c>
      <c r="H325" s="780" t="s">
        <v>1422</v>
      </c>
    </row>
    <row r="326" spans="1:8">
      <c r="A326" s="11"/>
      <c r="B326" s="11"/>
      <c r="C326" s="11"/>
      <c r="D326" s="11" t="str">
        <f t="shared" si="16"/>
        <v>SEMIFINALES - Resultado exacto</v>
      </c>
      <c r="E326" s="780" t="s">
        <v>1375</v>
      </c>
      <c r="F326" s="780" t="s">
        <v>1427</v>
      </c>
      <c r="G326" s="780" t="s">
        <v>1424</v>
      </c>
      <c r="H326" s="780" t="s">
        <v>1425</v>
      </c>
    </row>
    <row r="327" spans="1:8">
      <c r="A327" s="11"/>
      <c r="B327" s="11"/>
      <c r="C327" s="11"/>
      <c r="D327" s="11" t="str">
        <f t="shared" si="16"/>
        <v>Equipo clasificado para 3º y 4º puesto</v>
      </c>
      <c r="E327" s="780" t="s">
        <v>1375</v>
      </c>
      <c r="F327" s="780" t="s">
        <v>1430</v>
      </c>
      <c r="G327" s="780" t="s">
        <v>1544</v>
      </c>
      <c r="H327" s="780" t="s">
        <v>1710</v>
      </c>
    </row>
    <row r="328" spans="1:8">
      <c r="A328" s="11"/>
      <c r="B328" s="11"/>
      <c r="C328" s="11"/>
      <c r="D328" s="11" t="str">
        <f t="shared" si="16"/>
        <v>Equipo clasificado para FINAL</v>
      </c>
      <c r="E328" s="780" t="s">
        <v>1375</v>
      </c>
      <c r="F328" s="780" t="s">
        <v>1432</v>
      </c>
      <c r="G328" s="780" t="s">
        <v>1543</v>
      </c>
      <c r="H328" s="780" t="s">
        <v>1520</v>
      </c>
    </row>
    <row r="329" spans="1:8">
      <c r="A329" s="11"/>
      <c r="B329" s="11"/>
      <c r="C329" s="11"/>
      <c r="D329" s="11" t="str">
        <f t="shared" si="16"/>
        <v>3ºy4º PUESTO - Signo 1X2  (local, empate, visitante)</v>
      </c>
      <c r="E329" s="780" t="s">
        <v>1375</v>
      </c>
      <c r="F329" s="780" t="s">
        <v>1435</v>
      </c>
      <c r="G329" s="780" t="s">
        <v>1545</v>
      </c>
      <c r="H329" s="780" t="s">
        <v>1563</v>
      </c>
    </row>
    <row r="330" spans="1:8">
      <c r="A330" s="11"/>
      <c r="B330" s="11"/>
      <c r="C330" s="11"/>
      <c r="D330" s="11" t="str">
        <f t="shared" si="16"/>
        <v>3ºy4º PUESTO - Diferencia/Distancia de goles (Con 1X2 acertado)</v>
      </c>
      <c r="E330" s="780" t="s">
        <v>1375</v>
      </c>
      <c r="F330" s="780" t="s">
        <v>1436</v>
      </c>
      <c r="G330" s="780" t="s">
        <v>1771</v>
      </c>
      <c r="H330" s="780" t="s">
        <v>1564</v>
      </c>
    </row>
    <row r="331" spans="1:8">
      <c r="A331" s="11"/>
      <c r="B331" s="11"/>
      <c r="C331" s="11"/>
      <c r="D331" s="11" t="str">
        <f t="shared" si="16"/>
        <v>3ºy4º PUESTO - Resultado exacto</v>
      </c>
      <c r="E331" s="780" t="s">
        <v>1375</v>
      </c>
      <c r="F331" s="780" t="s">
        <v>1437</v>
      </c>
      <c r="G331" s="780" t="s">
        <v>1546</v>
      </c>
      <c r="H331" s="780" t="s">
        <v>1565</v>
      </c>
    </row>
    <row r="332" spans="1:8">
      <c r="A332" s="11"/>
      <c r="B332" s="11"/>
      <c r="C332" s="11"/>
      <c r="D332" s="11" t="str">
        <f t="shared" si="16"/>
        <v>FINAL - Signo 1X2  (local, empate, visitante)</v>
      </c>
      <c r="E332" s="780" t="s">
        <v>1375</v>
      </c>
      <c r="F332" s="780" t="s">
        <v>1439</v>
      </c>
      <c r="G332" s="780" t="s">
        <v>1428</v>
      </c>
      <c r="H332" s="780" t="s">
        <v>1429</v>
      </c>
    </row>
    <row r="333" spans="1:8">
      <c r="A333" s="11"/>
      <c r="B333" s="11"/>
      <c r="C333" s="11"/>
      <c r="D333" s="11" t="str">
        <f t="shared" si="16"/>
        <v>FINAL - Diferencia/Distancia de goles (Con 1X2 acertado)</v>
      </c>
      <c r="E333" s="780" t="s">
        <v>1375</v>
      </c>
      <c r="F333" s="780" t="s">
        <v>1441</v>
      </c>
      <c r="G333" s="780" t="s">
        <v>1772</v>
      </c>
      <c r="H333" s="780" t="s">
        <v>1431</v>
      </c>
    </row>
    <row r="334" spans="1:8">
      <c r="A334" s="11"/>
      <c r="B334" s="11"/>
      <c r="C334" s="11"/>
      <c r="D334" s="11" t="str">
        <f t="shared" si="16"/>
        <v>FINAL - Resultado exacto</v>
      </c>
      <c r="E334" s="780" t="s">
        <v>1375</v>
      </c>
      <c r="F334" s="780" t="s">
        <v>1443</v>
      </c>
      <c r="G334" s="780" t="s">
        <v>1433</v>
      </c>
      <c r="H334" s="780" t="s">
        <v>1434</v>
      </c>
    </row>
    <row r="335" spans="1:8">
      <c r="A335" s="11"/>
      <c r="B335" s="11"/>
      <c r="C335" s="11"/>
      <c r="D335" s="11" t="str">
        <f t="shared" si="16"/>
        <v>Campeón</v>
      </c>
      <c r="E335" s="780"/>
      <c r="F335" s="780"/>
      <c r="G335" s="780" t="s">
        <v>18</v>
      </c>
      <c r="H335" s="780" t="s">
        <v>222</v>
      </c>
    </row>
    <row r="336" spans="1:8">
      <c r="A336" s="11"/>
      <c r="B336" s="11"/>
      <c r="C336" s="11"/>
      <c r="D336" s="11" t="str">
        <f t="shared" si="16"/>
        <v>Subcampeón</v>
      </c>
      <c r="E336" s="780"/>
      <c r="F336" s="780"/>
      <c r="G336" s="780" t="s">
        <v>19</v>
      </c>
      <c r="H336" s="780" t="s">
        <v>223</v>
      </c>
    </row>
    <row r="337" spans="1:8">
      <c r="A337" s="11"/>
      <c r="B337" s="11"/>
      <c r="C337" s="11"/>
      <c r="D337" s="11" t="str">
        <f t="shared" si="16"/>
        <v>3º puesto</v>
      </c>
      <c r="E337" s="780"/>
      <c r="F337" s="780"/>
      <c r="G337" s="780" t="s">
        <v>1234</v>
      </c>
      <c r="H337" s="780" t="s">
        <v>1235</v>
      </c>
    </row>
    <row r="338" spans="1:8">
      <c r="A338" s="11"/>
      <c r="B338" s="11"/>
      <c r="C338" s="11"/>
      <c r="D338" s="11" t="str">
        <f t="shared" si="16"/>
        <v>Bota de Oro  (máximo goleador)</v>
      </c>
      <c r="E338" s="780" t="s">
        <v>1375</v>
      </c>
      <c r="F338" s="780" t="s">
        <v>1446</v>
      </c>
      <c r="G338" s="780" t="s">
        <v>499</v>
      </c>
      <c r="H338" s="780" t="s">
        <v>1566</v>
      </c>
    </row>
    <row r="339" spans="1:8">
      <c r="A339" s="11"/>
      <c r="B339" s="11"/>
      <c r="C339" s="11"/>
      <c r="D339" s="11" t="str">
        <f t="shared" si="16"/>
        <v>Bota de Plata (2º máximo goleador)</v>
      </c>
      <c r="E339" s="780" t="s">
        <v>1449</v>
      </c>
      <c r="F339" s="780" t="s">
        <v>1450</v>
      </c>
      <c r="G339" s="780" t="s">
        <v>500</v>
      </c>
      <c r="H339" s="780" t="s">
        <v>1567</v>
      </c>
    </row>
    <row r="340" spans="1:8">
      <c r="A340" s="11"/>
      <c r="B340" s="11"/>
      <c r="C340" s="11"/>
      <c r="D340" s="11" t="str">
        <f t="shared" si="16"/>
        <v>Bota de Bronce (3º máximo goleador)</v>
      </c>
      <c r="E340" s="780" t="s">
        <v>1375</v>
      </c>
      <c r="F340" s="780" t="s">
        <v>1458</v>
      </c>
      <c r="G340" s="780" t="s">
        <v>501</v>
      </c>
      <c r="H340" s="780" t="s">
        <v>1568</v>
      </c>
    </row>
    <row r="341" spans="1:8">
      <c r="A341" s="11"/>
      <c r="B341" s="11"/>
      <c r="C341" s="11"/>
      <c r="D341" s="11" t="str">
        <f t="shared" si="16"/>
        <v>Balón de Oro  (mejor jugador)</v>
      </c>
      <c r="E341" s="780" t="s">
        <v>1375</v>
      </c>
      <c r="F341" s="780" t="s">
        <v>1453</v>
      </c>
      <c r="G341" s="780" t="s">
        <v>502</v>
      </c>
      <c r="H341" s="780" t="s">
        <v>1569</v>
      </c>
    </row>
    <row r="342" spans="1:8">
      <c r="A342" s="11"/>
      <c r="B342" s="11"/>
      <c r="C342" s="11"/>
      <c r="D342" s="11" t="str">
        <f t="shared" si="16"/>
        <v>Balón de Plata (2º mejor jugador)</v>
      </c>
      <c r="E342" s="780" t="s">
        <v>1449</v>
      </c>
      <c r="F342" s="780" t="s">
        <v>1456</v>
      </c>
      <c r="G342" s="780" t="s">
        <v>503</v>
      </c>
      <c r="H342" s="780" t="s">
        <v>1570</v>
      </c>
    </row>
    <row r="343" spans="1:8">
      <c r="A343" s="11"/>
      <c r="B343" s="11"/>
      <c r="C343" s="11"/>
      <c r="D343" s="11" t="str">
        <f t="shared" si="16"/>
        <v>Balón de Bronce (3º mejor jugador)</v>
      </c>
      <c r="E343" s="780" t="s">
        <v>1375</v>
      </c>
      <c r="F343" s="780" t="s">
        <v>1458</v>
      </c>
      <c r="G343" s="780" t="s">
        <v>504</v>
      </c>
      <c r="H343" s="780" t="s">
        <v>1571</v>
      </c>
    </row>
    <row r="344" spans="1:8">
      <c r="A344" s="11"/>
      <c r="B344" s="11"/>
      <c r="C344" s="11"/>
      <c r="D344" s="11" t="str">
        <f t="shared" si="16"/>
        <v>Fase de grupos</v>
      </c>
      <c r="E344" s="780" t="s">
        <v>1449</v>
      </c>
      <c r="F344" s="780" t="s">
        <v>1461</v>
      </c>
      <c r="G344" s="780" t="s">
        <v>1243</v>
      </c>
      <c r="H344" s="780" t="s">
        <v>1442</v>
      </c>
    </row>
    <row r="345" spans="1:8">
      <c r="A345" s="11"/>
      <c r="B345" s="11"/>
      <c r="C345" s="11"/>
      <c r="D345" s="11" t="str">
        <f t="shared" si="16"/>
        <v>Posición grupos</v>
      </c>
      <c r="E345" s="780" t="s">
        <v>1375</v>
      </c>
      <c r="F345" s="780" t="s">
        <v>1463</v>
      </c>
      <c r="G345" s="780" t="s">
        <v>1444</v>
      </c>
      <c r="H345" s="780" t="s">
        <v>1445</v>
      </c>
    </row>
    <row r="346" spans="1:8">
      <c r="A346" s="11"/>
      <c r="B346" s="11"/>
      <c r="C346" s="11"/>
      <c r="D346" s="11" t="str">
        <f t="shared" si="16"/>
        <v>CLASIFICADOS PARA PLAYOFFS</v>
      </c>
      <c r="E346" s="780" t="s">
        <v>1449</v>
      </c>
      <c r="F346" s="780" t="s">
        <v>1466</v>
      </c>
      <c r="G346" s="780" t="s">
        <v>1521</v>
      </c>
      <c r="H346" s="780" t="s">
        <v>1522</v>
      </c>
    </row>
    <row r="347" spans="1:8">
      <c r="A347" s="11"/>
      <c r="B347" s="11"/>
      <c r="C347" s="11"/>
      <c r="D347" s="11" t="str">
        <f t="shared" si="16"/>
        <v>CLASIFICADOS PARA OCTAVOS (Desde Fase Liga)</v>
      </c>
      <c r="E347" s="780" t="s">
        <v>1375</v>
      </c>
      <c r="F347" s="780" t="s">
        <v>1468</v>
      </c>
      <c r="G347" s="780" t="s">
        <v>1523</v>
      </c>
      <c r="H347" s="780" t="s">
        <v>1524</v>
      </c>
    </row>
    <row r="348" spans="1:8">
      <c r="A348" s="11"/>
      <c r="B348" s="11"/>
      <c r="C348" s="11"/>
      <c r="D348" s="11" t="str">
        <f t="shared" si="16"/>
        <v>CLASIFICADOS PARA OCTAVOS (DESDE PLAYOFFS)</v>
      </c>
      <c r="E348" s="780" t="s">
        <v>1375</v>
      </c>
      <c r="F348" s="780" t="s">
        <v>1470</v>
      </c>
      <c r="G348" s="780" t="s">
        <v>1525</v>
      </c>
      <c r="H348" s="780" t="s">
        <v>1526</v>
      </c>
    </row>
    <row r="349" spans="1:8">
      <c r="A349" s="11"/>
      <c r="B349" s="11"/>
      <c r="C349" s="11"/>
      <c r="D349" s="11" t="str">
        <f t="shared" si="16"/>
        <v>Clasificados para Octavos de Final</v>
      </c>
      <c r="E349" s="780" t="s">
        <v>1375</v>
      </c>
      <c r="F349" s="780" t="s">
        <v>1471</v>
      </c>
      <c r="G349" s="780" t="s">
        <v>1447</v>
      </c>
      <c r="H349" s="780" t="s">
        <v>1448</v>
      </c>
    </row>
    <row r="350" spans="1:8">
      <c r="A350" s="11"/>
      <c r="B350" s="11"/>
      <c r="C350" s="11"/>
      <c r="D350" s="11" t="str">
        <f t="shared" si="16"/>
        <v>Enfrentamientos Octavos de Final</v>
      </c>
      <c r="E350" s="780" t="s">
        <v>1375</v>
      </c>
      <c r="F350" s="780" t="s">
        <v>1472</v>
      </c>
      <c r="G350" s="780" t="s">
        <v>1451</v>
      </c>
      <c r="H350" s="780" t="s">
        <v>1452</v>
      </c>
    </row>
    <row r="351" spans="1:8">
      <c r="A351" s="11"/>
      <c r="B351" s="11"/>
      <c r="C351" s="11"/>
      <c r="D351" s="11" t="str">
        <f t="shared" si="16"/>
        <v>Clasificados para Cuartos de Final</v>
      </c>
      <c r="E351" s="780" t="s">
        <v>1375</v>
      </c>
      <c r="F351" s="780" t="s">
        <v>1474</v>
      </c>
      <c r="G351" s="780" t="s">
        <v>1454</v>
      </c>
      <c r="H351" s="780" t="s">
        <v>1527</v>
      </c>
    </row>
    <row r="352" spans="1:8">
      <c r="A352" s="11"/>
      <c r="B352" s="11"/>
      <c r="C352" s="11"/>
      <c r="D352" s="11" t="str">
        <f t="shared" si="16"/>
        <v>Clasificados para Cuartos de Final</v>
      </c>
      <c r="E352" s="780" t="s">
        <v>1375</v>
      </c>
      <c r="F352" s="780" t="s">
        <v>28</v>
      </c>
      <c r="G352" s="780" t="s">
        <v>1454</v>
      </c>
      <c r="H352" s="780" t="s">
        <v>1455</v>
      </c>
    </row>
    <row r="353" spans="1:8">
      <c r="A353" s="11"/>
      <c r="B353" s="11"/>
      <c r="C353" s="11"/>
      <c r="D353" s="11" t="str">
        <f t="shared" si="16"/>
        <v>Enfrentamientos Cuartos de Final</v>
      </c>
      <c r="E353" s="780" t="s">
        <v>1375</v>
      </c>
      <c r="F353" s="780"/>
      <c r="G353" s="780" t="s">
        <v>1457</v>
      </c>
      <c r="H353" s="780" t="s">
        <v>219</v>
      </c>
    </row>
    <row r="354" spans="1:8">
      <c r="A354" s="11"/>
      <c r="B354" s="11"/>
      <c r="C354" s="11"/>
      <c r="D354" s="11" t="str">
        <f t="shared" si="16"/>
        <v>Clasificados para Semifinales</v>
      </c>
      <c r="E354" s="780" t="s">
        <v>1375</v>
      </c>
      <c r="F354" s="780"/>
      <c r="G354" s="780" t="s">
        <v>1459</v>
      </c>
      <c r="H354" s="780" t="s">
        <v>1460</v>
      </c>
    </row>
    <row r="355" spans="1:8">
      <c r="A355" s="11"/>
      <c r="B355" s="11"/>
      <c r="C355" s="11"/>
      <c r="D355" s="11" t="str">
        <f t="shared" si="16"/>
        <v>Enfrentamientos Semifinales</v>
      </c>
      <c r="E355" s="780" t="s">
        <v>1375</v>
      </c>
      <c r="F355" s="780"/>
      <c r="G355" s="780" t="s">
        <v>1462</v>
      </c>
      <c r="H355" s="780" t="s">
        <v>220</v>
      </c>
    </row>
    <row r="356" spans="1:8">
      <c r="A356" s="11"/>
      <c r="B356" s="11"/>
      <c r="C356" s="11"/>
      <c r="D356" s="11" t="str">
        <f t="shared" si="16"/>
        <v>Clasificados para la Final</v>
      </c>
      <c r="E356" s="780" t="s">
        <v>1375</v>
      </c>
      <c r="F356" s="780"/>
      <c r="G356" s="780" t="s">
        <v>1464</v>
      </c>
      <c r="H356" s="780" t="s">
        <v>1465</v>
      </c>
    </row>
    <row r="357" spans="1:8">
      <c r="A357" s="11"/>
      <c r="B357" s="11"/>
      <c r="C357" s="11"/>
      <c r="D357" s="11" t="str">
        <f t="shared" si="16"/>
        <v>Partido Final</v>
      </c>
      <c r="E357" s="780" t="s">
        <v>1375</v>
      </c>
      <c r="F357" s="780"/>
      <c r="G357" s="780" t="s">
        <v>1467</v>
      </c>
      <c r="H357" s="780" t="s">
        <v>37</v>
      </c>
    </row>
    <row r="358" spans="1:8">
      <c r="A358" s="11"/>
      <c r="B358" s="11"/>
      <c r="C358" s="11"/>
      <c r="D358" s="11" t="str">
        <f t="shared" si="16"/>
        <v>Cuadro de honor</v>
      </c>
      <c r="E358" s="780" t="s">
        <v>1375</v>
      </c>
      <c r="F358" s="780"/>
      <c r="G358" s="780" t="s">
        <v>1310</v>
      </c>
      <c r="H358" s="780" t="s">
        <v>1469</v>
      </c>
    </row>
    <row r="359" spans="1:8">
      <c r="A359" s="11"/>
      <c r="B359" s="11"/>
      <c r="C359" s="11"/>
      <c r="D359" s="11" t="str">
        <f t="shared" si="16"/>
        <v>Campeón</v>
      </c>
      <c r="E359" s="780" t="s">
        <v>1375</v>
      </c>
      <c r="F359" s="780"/>
      <c r="G359" s="780" t="s">
        <v>18</v>
      </c>
      <c r="H359" s="780" t="s">
        <v>222</v>
      </c>
    </row>
    <row r="360" spans="1:8">
      <c r="A360" s="11"/>
      <c r="B360" s="11"/>
      <c r="C360" s="11"/>
      <c r="D360" s="11" t="str">
        <f t="shared" si="16"/>
        <v>Subcampeón</v>
      </c>
      <c r="E360" s="780" t="s">
        <v>1375</v>
      </c>
      <c r="F360" s="780"/>
      <c r="G360" s="780" t="s">
        <v>19</v>
      </c>
      <c r="H360" s="780" t="s">
        <v>223</v>
      </c>
    </row>
    <row r="361" spans="1:8">
      <c r="A361" s="11"/>
      <c r="B361" s="11"/>
      <c r="C361" s="11"/>
      <c r="D361" s="11" t="str">
        <f t="shared" si="16"/>
        <v>Goleador del torneo</v>
      </c>
      <c r="E361" s="780" t="s">
        <v>1375</v>
      </c>
      <c r="F361" s="780"/>
      <c r="G361" s="780" t="s">
        <v>1438</v>
      </c>
      <c r="H361" s="780" t="s">
        <v>1473</v>
      </c>
    </row>
    <row r="362" spans="1:8">
      <c r="A362" s="11"/>
      <c r="B362" s="11"/>
      <c r="C362" s="11"/>
      <c r="D362" s="11" t="str">
        <f t="shared" si="16"/>
        <v>Mejor jugador del torneo</v>
      </c>
      <c r="E362" s="780" t="s">
        <v>1375</v>
      </c>
      <c r="F362" s="780"/>
      <c r="G362" s="780" t="s">
        <v>1440</v>
      </c>
      <c r="H362" s="780" t="s">
        <v>1475</v>
      </c>
    </row>
    <row r="363" spans="1:8">
      <c r="A363" s="11"/>
      <c r="B363" s="11"/>
      <c r="C363" s="11"/>
      <c r="D363" s="11" t="str">
        <f t="shared" si="16"/>
        <v>Pegar Valores Nombre J</v>
      </c>
      <c r="E363" s="780" t="s">
        <v>1375</v>
      </c>
      <c r="F363" s="780"/>
      <c r="G363" s="780" t="s">
        <v>1925</v>
      </c>
      <c r="H363" s="780" t="s">
        <v>1926</v>
      </c>
    </row>
    <row r="364" spans="1:8">
      <c r="A364" s="11"/>
      <c r="B364" s="11"/>
      <c r="C364" s="11"/>
      <c r="D364" s="11" t="str">
        <f t="shared" ref="D364:D423" si="17">IF($B$2,G364,H364)</f>
        <v>Pegar Valores (J1)</v>
      </c>
      <c r="E364" s="780" t="s">
        <v>1375</v>
      </c>
      <c r="F364" s="780"/>
      <c r="G364" s="780" t="s">
        <v>1476</v>
      </c>
      <c r="H364" s="780" t="s">
        <v>1477</v>
      </c>
    </row>
    <row r="365" spans="1:8">
      <c r="A365" s="11"/>
      <c r="B365" s="11"/>
      <c r="C365" s="11"/>
      <c r="D365" s="11" t="str">
        <f t="shared" si="17"/>
        <v>Pegar Valores (J2)</v>
      </c>
      <c r="E365" s="780" t="s">
        <v>1375</v>
      </c>
      <c r="F365" s="780"/>
      <c r="G365" s="780" t="s">
        <v>1478</v>
      </c>
      <c r="H365" s="780" t="s">
        <v>1479</v>
      </c>
    </row>
    <row r="366" spans="1:8">
      <c r="A366" s="11"/>
      <c r="B366" s="11"/>
      <c r="C366" s="11"/>
      <c r="D366" s="11" t="str">
        <f t="shared" si="17"/>
        <v>Pegar Valores (J3)</v>
      </c>
      <c r="E366" s="780" t="s">
        <v>1375</v>
      </c>
      <c r="F366" s="780"/>
      <c r="G366" s="780" t="s">
        <v>1480</v>
      </c>
      <c r="H366" s="780" t="s">
        <v>1481</v>
      </c>
    </row>
    <row r="367" spans="1:8">
      <c r="A367" s="11"/>
      <c r="B367" s="11"/>
      <c r="C367" s="11"/>
      <c r="D367" s="11" t="str">
        <f t="shared" si="17"/>
        <v>Pegar Valores Dieciseisavos</v>
      </c>
      <c r="E367" s="780" t="s">
        <v>1375</v>
      </c>
      <c r="F367" s="780" t="s">
        <v>1488</v>
      </c>
      <c r="G367" s="780" t="s">
        <v>1583</v>
      </c>
      <c r="H367" s="780" t="s">
        <v>1584</v>
      </c>
    </row>
    <row r="368" spans="1:8">
      <c r="A368" s="11"/>
      <c r="B368" s="11"/>
      <c r="C368" s="11"/>
      <c r="D368" s="11" t="str">
        <f t="shared" si="17"/>
        <v>Pegar Valores Octavos</v>
      </c>
      <c r="E368" s="780" t="s">
        <v>1375</v>
      </c>
      <c r="F368" s="780" t="s">
        <v>1489</v>
      </c>
      <c r="G368" s="780" t="s">
        <v>1482</v>
      </c>
      <c r="H368" s="780" t="s">
        <v>1483</v>
      </c>
    </row>
    <row r="369" spans="1:8">
      <c r="A369" s="11"/>
      <c r="B369" s="11"/>
      <c r="C369" s="11"/>
      <c r="D369" s="11" t="str">
        <f t="shared" si="17"/>
        <v>Pegar valores Cuartos</v>
      </c>
      <c r="E369" s="780" t="s">
        <v>1375</v>
      </c>
      <c r="F369" s="780" t="s">
        <v>1490</v>
      </c>
      <c r="G369" s="780" t="s">
        <v>1484</v>
      </c>
      <c r="H369" s="780" t="s">
        <v>1485</v>
      </c>
    </row>
    <row r="370" spans="1:8">
      <c r="A370" s="11"/>
      <c r="B370" s="11"/>
      <c r="C370" s="11"/>
      <c r="D370" s="11" t="str">
        <f t="shared" si="17"/>
        <v>Pegar valores Semifinales</v>
      </c>
      <c r="E370" s="780" t="s">
        <v>1375</v>
      </c>
      <c r="F370" s="780" t="s">
        <v>1491</v>
      </c>
      <c r="G370" s="780" t="s">
        <v>1486</v>
      </c>
      <c r="H370" s="780" t="s">
        <v>1487</v>
      </c>
    </row>
    <row r="371" spans="1:8">
      <c r="A371" s="11"/>
      <c r="B371" s="11"/>
      <c r="C371" s="11"/>
      <c r="D371" s="11" t="str">
        <f t="shared" si="17"/>
        <v>Pegar valores 3º-4º puesto y Final</v>
      </c>
      <c r="E371" s="780" t="s">
        <v>1375</v>
      </c>
      <c r="F371" s="780" t="s">
        <v>1492</v>
      </c>
      <c r="G371" s="780" t="s">
        <v>1585</v>
      </c>
      <c r="H371" s="780" t="s">
        <v>1586</v>
      </c>
    </row>
    <row r="372" spans="1:8">
      <c r="A372" s="11"/>
      <c r="B372" s="11"/>
      <c r="C372" s="11"/>
      <c r="D372" s="11" t="str">
        <f t="shared" si="17"/>
        <v>Pegar valores Predictor</v>
      </c>
      <c r="E372" s="780" t="s">
        <v>1375</v>
      </c>
      <c r="F372" s="780" t="s">
        <v>1493</v>
      </c>
      <c r="G372" s="780" t="s">
        <v>1528</v>
      </c>
      <c r="H372" s="780" t="s">
        <v>1529</v>
      </c>
    </row>
    <row r="373" spans="1:8">
      <c r="A373" s="11"/>
      <c r="B373" s="11"/>
      <c r="C373" s="11"/>
      <c r="D373" s="11" t="str">
        <f t="shared" si="17"/>
        <v>Pegar Valores Cuadro de Honor</v>
      </c>
      <c r="E373" s="780"/>
      <c r="F373" s="780"/>
      <c r="G373" s="780" t="s">
        <v>1587</v>
      </c>
      <c r="H373" s="780" t="s">
        <v>1588</v>
      </c>
    </row>
    <row r="374" spans="1:8">
      <c r="A374" s="11"/>
      <c r="B374" s="11"/>
      <c r="C374" s="11"/>
      <c r="D374" s="11" t="str">
        <f t="shared" si="17"/>
        <v>1º GRUPO A</v>
      </c>
      <c r="E374" s="780" t="s">
        <v>1375</v>
      </c>
      <c r="F374" s="780" t="s">
        <v>1494</v>
      </c>
      <c r="G374" s="780" t="s">
        <v>45</v>
      </c>
      <c r="H374" s="780" t="s">
        <v>377</v>
      </c>
    </row>
    <row r="375" spans="1:8">
      <c r="A375" s="11"/>
      <c r="B375" s="11"/>
      <c r="C375" s="11"/>
      <c r="D375" s="11" t="str">
        <f t="shared" si="17"/>
        <v>2º GRUPO A</v>
      </c>
      <c r="E375" s="780" t="s">
        <v>1375</v>
      </c>
      <c r="F375" s="780" t="s">
        <v>1495</v>
      </c>
      <c r="G375" s="780" t="s">
        <v>46</v>
      </c>
      <c r="H375" s="780" t="s">
        <v>378</v>
      </c>
    </row>
    <row r="376" spans="1:8">
      <c r="A376" s="11"/>
      <c r="B376" s="11"/>
      <c r="C376" s="11"/>
      <c r="D376" s="11" t="str">
        <f t="shared" si="17"/>
        <v>3º GRUPO A</v>
      </c>
      <c r="E376" s="780" t="s">
        <v>1375</v>
      </c>
      <c r="F376" s="780" t="s">
        <v>1496</v>
      </c>
      <c r="G376" s="780" t="s">
        <v>47</v>
      </c>
      <c r="H376" s="780" t="s">
        <v>379</v>
      </c>
    </row>
    <row r="377" spans="1:8">
      <c r="A377" s="11"/>
      <c r="B377" s="11"/>
      <c r="C377" s="11"/>
      <c r="D377" s="11" t="str">
        <f t="shared" si="17"/>
        <v>4º GRUPO A</v>
      </c>
      <c r="E377" s="780" t="s">
        <v>1375</v>
      </c>
      <c r="F377" s="780" t="s">
        <v>1497</v>
      </c>
      <c r="G377" s="780" t="s">
        <v>48</v>
      </c>
      <c r="H377" s="780" t="s">
        <v>380</v>
      </c>
    </row>
    <row r="378" spans="1:8">
      <c r="A378" s="11"/>
      <c r="B378" s="11"/>
      <c r="C378" s="11"/>
      <c r="D378" s="11" t="str">
        <f t="shared" si="17"/>
        <v>1º GRUPO B</v>
      </c>
      <c r="E378" s="780" t="s">
        <v>1375</v>
      </c>
      <c r="F378" s="780" t="s">
        <v>1498</v>
      </c>
      <c r="G378" s="780" t="s">
        <v>49</v>
      </c>
      <c r="H378" s="780" t="s">
        <v>381</v>
      </c>
    </row>
    <row r="379" spans="1:8">
      <c r="A379" s="11"/>
      <c r="B379" s="11"/>
      <c r="C379" s="11"/>
      <c r="D379" s="11" t="str">
        <f t="shared" si="17"/>
        <v>2º GRUPO B</v>
      </c>
      <c r="E379" s="780" t="s">
        <v>1375</v>
      </c>
      <c r="F379" s="780" t="s">
        <v>1499</v>
      </c>
      <c r="G379" s="780" t="s">
        <v>50</v>
      </c>
      <c r="H379" s="780" t="s">
        <v>382</v>
      </c>
    </row>
    <row r="380" spans="1:8">
      <c r="A380" s="11"/>
      <c r="B380" s="11"/>
      <c r="C380" s="11"/>
      <c r="D380" s="11" t="str">
        <f t="shared" si="17"/>
        <v>3º GRUPO B</v>
      </c>
      <c r="E380" s="780" t="s">
        <v>1375</v>
      </c>
      <c r="F380" s="780" t="s">
        <v>1500</v>
      </c>
      <c r="G380" s="780" t="s">
        <v>51</v>
      </c>
      <c r="H380" s="780" t="s">
        <v>383</v>
      </c>
    </row>
    <row r="381" spans="1:8">
      <c r="A381" s="11"/>
      <c r="B381" s="11"/>
      <c r="C381" s="11"/>
      <c r="D381" s="11" t="str">
        <f t="shared" si="17"/>
        <v>4º GRUPO B</v>
      </c>
      <c r="E381" s="780" t="s">
        <v>1375</v>
      </c>
      <c r="F381" s="780" t="s">
        <v>1501</v>
      </c>
      <c r="G381" s="780" t="s">
        <v>52</v>
      </c>
      <c r="H381" s="780" t="s">
        <v>384</v>
      </c>
    </row>
    <row r="382" spans="1:8">
      <c r="A382" s="11"/>
      <c r="B382" s="11"/>
      <c r="C382" s="11"/>
      <c r="D382" s="11" t="str">
        <f t="shared" si="17"/>
        <v>1º GRUPO C</v>
      </c>
      <c r="E382" s="780" t="s">
        <v>1375</v>
      </c>
      <c r="F382" s="780" t="s">
        <v>1502</v>
      </c>
      <c r="G382" s="780" t="s">
        <v>53</v>
      </c>
      <c r="H382" s="780" t="s">
        <v>385</v>
      </c>
    </row>
    <row r="383" spans="1:8">
      <c r="A383" s="11"/>
      <c r="B383" s="11"/>
      <c r="C383" s="11"/>
      <c r="D383" s="11" t="str">
        <f t="shared" si="17"/>
        <v>2º GRUPO C</v>
      </c>
      <c r="E383" s="780" t="s">
        <v>1375</v>
      </c>
      <c r="F383" s="780" t="s">
        <v>1503</v>
      </c>
      <c r="G383" s="780" t="s">
        <v>54</v>
      </c>
      <c r="H383" s="780" t="s">
        <v>386</v>
      </c>
    </row>
    <row r="384" spans="1:8">
      <c r="A384" s="11"/>
      <c r="B384" s="11"/>
      <c r="C384" s="11"/>
      <c r="D384" s="11" t="str">
        <f t="shared" si="17"/>
        <v>3º GRUPO C</v>
      </c>
      <c r="E384" s="780" t="s">
        <v>1375</v>
      </c>
      <c r="F384" s="780" t="s">
        <v>1504</v>
      </c>
      <c r="G384" s="780" t="s">
        <v>55</v>
      </c>
      <c r="H384" s="780" t="s">
        <v>387</v>
      </c>
    </row>
    <row r="385" spans="1:8">
      <c r="A385" s="11"/>
      <c r="B385" s="11"/>
      <c r="C385" s="11"/>
      <c r="D385" s="11" t="str">
        <f t="shared" si="17"/>
        <v>4º GRUPO C</v>
      </c>
      <c r="E385" s="780" t="s">
        <v>1375</v>
      </c>
      <c r="F385" s="780" t="s">
        <v>1505</v>
      </c>
      <c r="G385" s="780" t="s">
        <v>56</v>
      </c>
      <c r="H385" s="780" t="s">
        <v>388</v>
      </c>
    </row>
    <row r="386" spans="1:8">
      <c r="A386" s="11"/>
      <c r="B386" s="11"/>
      <c r="C386" s="11"/>
      <c r="D386" s="11" t="str">
        <f t="shared" si="17"/>
        <v>1º GRUPO D</v>
      </c>
      <c r="E386" s="780" t="s">
        <v>1375</v>
      </c>
      <c r="F386" s="780" t="s">
        <v>1506</v>
      </c>
      <c r="G386" s="780" t="s">
        <v>96</v>
      </c>
      <c r="H386" s="780" t="s">
        <v>389</v>
      </c>
    </row>
    <row r="387" spans="1:8">
      <c r="A387" s="11"/>
      <c r="B387" s="11"/>
      <c r="C387" s="11"/>
      <c r="D387" s="11" t="str">
        <f t="shared" si="17"/>
        <v>2º GRUPO D</v>
      </c>
      <c r="E387" s="780" t="s">
        <v>1375</v>
      </c>
      <c r="F387" s="780" t="s">
        <v>1507</v>
      </c>
      <c r="G387" s="780" t="s">
        <v>97</v>
      </c>
      <c r="H387" s="780" t="s">
        <v>390</v>
      </c>
    </row>
    <row r="388" spans="1:8">
      <c r="A388" s="11"/>
      <c r="B388" s="11"/>
      <c r="C388" s="11"/>
      <c r="D388" s="11" t="str">
        <f t="shared" si="17"/>
        <v>3º GRUPO D</v>
      </c>
      <c r="E388" s="780" t="s">
        <v>1375</v>
      </c>
      <c r="F388" s="780" t="s">
        <v>1508</v>
      </c>
      <c r="G388" s="780" t="s">
        <v>98</v>
      </c>
      <c r="H388" s="780" t="s">
        <v>391</v>
      </c>
    </row>
    <row r="389" spans="1:8">
      <c r="A389" s="11"/>
      <c r="B389" s="11"/>
      <c r="C389" s="11"/>
      <c r="D389" s="11" t="str">
        <f t="shared" si="17"/>
        <v>4º GRUPO D</v>
      </c>
      <c r="E389" s="780" t="s">
        <v>1375</v>
      </c>
      <c r="F389" s="780" t="s">
        <v>1509</v>
      </c>
      <c r="G389" s="780" t="s">
        <v>99</v>
      </c>
      <c r="H389" s="780" t="s">
        <v>392</v>
      </c>
    </row>
    <row r="390" spans="1:8">
      <c r="A390" s="11"/>
      <c r="B390" s="11"/>
      <c r="C390" s="11"/>
      <c r="D390" s="11" t="str">
        <f t="shared" si="17"/>
        <v>1º GRUPO E</v>
      </c>
      <c r="E390" s="780" t="s">
        <v>1375</v>
      </c>
      <c r="F390" s="780" t="s">
        <v>1510</v>
      </c>
      <c r="G390" s="780" t="s">
        <v>100</v>
      </c>
      <c r="H390" s="780" t="s">
        <v>393</v>
      </c>
    </row>
    <row r="391" spans="1:8">
      <c r="A391" s="11"/>
      <c r="B391" s="11"/>
      <c r="C391" s="11"/>
      <c r="D391" s="11" t="str">
        <f t="shared" si="17"/>
        <v>2º GRUPO E</v>
      </c>
      <c r="E391" s="780" t="s">
        <v>1375</v>
      </c>
      <c r="F391" s="780" t="s">
        <v>1511</v>
      </c>
      <c r="G391" s="780" t="s">
        <v>101</v>
      </c>
      <c r="H391" s="780" t="s">
        <v>394</v>
      </c>
    </row>
    <row r="392" spans="1:8">
      <c r="A392" s="11"/>
      <c r="B392" s="11"/>
      <c r="C392" s="11"/>
      <c r="D392" s="11" t="str">
        <f t="shared" si="17"/>
        <v>3º GRUPO E</v>
      </c>
      <c r="E392" s="780" t="s">
        <v>1375</v>
      </c>
      <c r="F392" s="780" t="s">
        <v>1512</v>
      </c>
      <c r="G392" s="780" t="s">
        <v>102</v>
      </c>
      <c r="H392" s="780" t="s">
        <v>395</v>
      </c>
    </row>
    <row r="393" spans="1:8">
      <c r="A393" s="11"/>
      <c r="B393" s="11"/>
      <c r="C393" s="11"/>
      <c r="D393" s="11" t="str">
        <f t="shared" si="17"/>
        <v>4º GRUPO E</v>
      </c>
      <c r="E393" s="780" t="s">
        <v>1375</v>
      </c>
      <c r="F393" s="780" t="s">
        <v>1513</v>
      </c>
      <c r="G393" s="780" t="s">
        <v>103</v>
      </c>
      <c r="H393" s="780" t="s">
        <v>396</v>
      </c>
    </row>
    <row r="394" spans="1:8">
      <c r="A394" s="11"/>
      <c r="B394" s="11"/>
      <c r="C394" s="11"/>
      <c r="D394" s="11" t="str">
        <f t="shared" si="17"/>
        <v>1º GRUPO F</v>
      </c>
      <c r="E394" s="780" t="s">
        <v>1375</v>
      </c>
      <c r="F394" s="780" t="s">
        <v>1514</v>
      </c>
      <c r="G394" s="780" t="s">
        <v>104</v>
      </c>
      <c r="H394" s="780" t="s">
        <v>397</v>
      </c>
    </row>
    <row r="395" spans="1:8">
      <c r="A395" s="11"/>
      <c r="B395" s="11"/>
      <c r="C395" s="11"/>
      <c r="D395" s="11" t="str">
        <f t="shared" si="17"/>
        <v>2º GRUPO F</v>
      </c>
      <c r="E395" s="780" t="s">
        <v>1375</v>
      </c>
      <c r="F395" s="780" t="s">
        <v>1515</v>
      </c>
      <c r="G395" s="780" t="s">
        <v>105</v>
      </c>
      <c r="H395" s="780" t="s">
        <v>398</v>
      </c>
    </row>
    <row r="396" spans="1:8">
      <c r="A396" s="11"/>
      <c r="B396" s="11"/>
      <c r="C396" s="11"/>
      <c r="D396" s="11" t="str">
        <f t="shared" si="17"/>
        <v>3º GRUPO F</v>
      </c>
      <c r="E396" s="780" t="s">
        <v>1375</v>
      </c>
      <c r="F396" s="780"/>
      <c r="G396" s="780" t="s">
        <v>106</v>
      </c>
      <c r="H396" s="780" t="s">
        <v>399</v>
      </c>
    </row>
    <row r="397" spans="1:8">
      <c r="A397" s="11"/>
      <c r="B397" s="11"/>
      <c r="C397" s="11"/>
      <c r="D397" s="11" t="str">
        <f t="shared" si="17"/>
        <v>4º GRUPO F</v>
      </c>
      <c r="E397" s="780" t="s">
        <v>1375</v>
      </c>
      <c r="F397" s="780"/>
      <c r="G397" s="780" t="s">
        <v>107</v>
      </c>
      <c r="H397" s="780" t="s">
        <v>400</v>
      </c>
    </row>
    <row r="398" spans="1:8">
      <c r="A398" s="11"/>
      <c r="B398" s="11"/>
      <c r="C398" s="11"/>
      <c r="D398" s="11" t="str">
        <f t="shared" si="17"/>
        <v>1º GRUPO G</v>
      </c>
      <c r="E398" s="780" t="s">
        <v>1375</v>
      </c>
      <c r="F398" s="780"/>
      <c r="G398" s="780" t="s">
        <v>516</v>
      </c>
      <c r="H398" s="780" t="s">
        <v>520</v>
      </c>
    </row>
    <row r="399" spans="1:8">
      <c r="A399" s="11"/>
      <c r="B399" s="11"/>
      <c r="C399" s="11"/>
      <c r="D399" s="11" t="str">
        <f t="shared" si="17"/>
        <v>2º GRUPO G</v>
      </c>
      <c r="E399" s="780" t="s">
        <v>1375</v>
      </c>
      <c r="F399" s="780"/>
      <c r="G399" s="780" t="s">
        <v>517</v>
      </c>
      <c r="H399" s="780" t="s">
        <v>521</v>
      </c>
    </row>
    <row r="400" spans="1:8">
      <c r="A400" s="11"/>
      <c r="B400" s="11"/>
      <c r="C400" s="11"/>
      <c r="D400" s="11" t="str">
        <f t="shared" si="17"/>
        <v>3º GRUPO G</v>
      </c>
      <c r="E400" s="780" t="s">
        <v>1375</v>
      </c>
      <c r="F400" s="780"/>
      <c r="G400" s="780" t="s">
        <v>518</v>
      </c>
      <c r="H400" s="780" t="s">
        <v>522</v>
      </c>
    </row>
    <row r="401" spans="1:8">
      <c r="A401" s="11"/>
      <c r="B401" s="11"/>
      <c r="C401" s="11"/>
      <c r="D401" s="11" t="str">
        <f t="shared" si="17"/>
        <v>4º GRUPO G</v>
      </c>
      <c r="E401" s="780" t="s">
        <v>1375</v>
      </c>
      <c r="F401" s="780"/>
      <c r="G401" s="780" t="s">
        <v>519</v>
      </c>
      <c r="H401" s="780" t="s">
        <v>523</v>
      </c>
    </row>
    <row r="402" spans="1:8">
      <c r="A402" s="11"/>
      <c r="B402" s="11"/>
      <c r="C402" s="11"/>
      <c r="D402" s="11" t="str">
        <f t="shared" si="17"/>
        <v>1º GRUPO H</v>
      </c>
      <c r="E402" s="780" t="s">
        <v>1375</v>
      </c>
      <c r="F402" s="780"/>
      <c r="G402" s="780" t="s">
        <v>524</v>
      </c>
      <c r="H402" s="780" t="s">
        <v>528</v>
      </c>
    </row>
    <row r="403" spans="1:8">
      <c r="A403" s="11"/>
      <c r="B403" s="11"/>
      <c r="C403" s="11"/>
      <c r="D403" s="11" t="str">
        <f t="shared" si="17"/>
        <v>2º GRUPO H</v>
      </c>
      <c r="E403" s="780" t="s">
        <v>1375</v>
      </c>
      <c r="F403" s="11"/>
      <c r="G403" s="780" t="s">
        <v>525</v>
      </c>
      <c r="H403" s="780" t="s">
        <v>529</v>
      </c>
    </row>
    <row r="404" spans="1:8">
      <c r="A404" s="11"/>
      <c r="B404" s="11"/>
      <c r="C404" s="11"/>
      <c r="D404" s="11" t="str">
        <f t="shared" si="17"/>
        <v>3º GRUPO H</v>
      </c>
      <c r="E404" s="780" t="s">
        <v>1375</v>
      </c>
      <c r="F404" s="11"/>
      <c r="G404" s="780" t="s">
        <v>526</v>
      </c>
      <c r="H404" s="780" t="s">
        <v>530</v>
      </c>
    </row>
    <row r="405" spans="1:8">
      <c r="A405" s="11"/>
      <c r="B405" s="11"/>
      <c r="C405" s="11"/>
      <c r="D405" s="11" t="str">
        <f t="shared" si="17"/>
        <v>4º GRUPO H</v>
      </c>
      <c r="E405" s="780" t="s">
        <v>1375</v>
      </c>
      <c r="F405" s="11"/>
      <c r="G405" s="780" t="s">
        <v>527</v>
      </c>
      <c r="H405" s="780" t="s">
        <v>531</v>
      </c>
    </row>
    <row r="406" spans="1:8">
      <c r="A406" s="11"/>
      <c r="B406" s="11"/>
      <c r="C406" s="11"/>
      <c r="D406" s="11" t="str">
        <f t="shared" si="17"/>
        <v>1º GRUPO I</v>
      </c>
      <c r="E406" s="780" t="s">
        <v>1375</v>
      </c>
      <c r="F406" s="11"/>
      <c r="G406" s="780" t="s">
        <v>532</v>
      </c>
      <c r="H406" s="780" t="s">
        <v>536</v>
      </c>
    </row>
    <row r="407" spans="1:8">
      <c r="A407" s="11"/>
      <c r="B407" s="11"/>
      <c r="C407" s="11"/>
      <c r="D407" s="11" t="str">
        <f t="shared" si="17"/>
        <v>2º GRUPO I</v>
      </c>
      <c r="E407" s="780" t="s">
        <v>1375</v>
      </c>
      <c r="F407" s="11"/>
      <c r="G407" s="780" t="s">
        <v>533</v>
      </c>
      <c r="H407" s="780" t="s">
        <v>537</v>
      </c>
    </row>
    <row r="408" spans="1:8">
      <c r="A408" s="11"/>
      <c r="B408" s="11"/>
      <c r="C408" s="11"/>
      <c r="D408" s="11" t="str">
        <f t="shared" si="17"/>
        <v>3º GRUPO I</v>
      </c>
      <c r="E408" s="780" t="s">
        <v>1375</v>
      </c>
      <c r="F408" s="11"/>
      <c r="G408" s="780" t="s">
        <v>534</v>
      </c>
      <c r="H408" s="780" t="s">
        <v>538</v>
      </c>
    </row>
    <row r="409" spans="1:8">
      <c r="A409" s="11"/>
      <c r="B409" s="11"/>
      <c r="C409" s="11"/>
      <c r="D409" s="11" t="str">
        <f t="shared" si="17"/>
        <v>4º GRUPO I</v>
      </c>
      <c r="E409" s="780" t="s">
        <v>1375</v>
      </c>
      <c r="F409" s="11"/>
      <c r="G409" s="780" t="s">
        <v>535</v>
      </c>
      <c r="H409" s="780" t="s">
        <v>539</v>
      </c>
    </row>
    <row r="410" spans="1:8">
      <c r="A410" s="11"/>
      <c r="B410" s="11"/>
      <c r="C410" s="11"/>
      <c r="D410" s="11" t="str">
        <f t="shared" si="17"/>
        <v>1º GRUPO J</v>
      </c>
      <c r="E410" s="780" t="s">
        <v>1375</v>
      </c>
      <c r="F410" s="11"/>
      <c r="G410" s="780" t="s">
        <v>540</v>
      </c>
      <c r="H410" s="780" t="s">
        <v>544</v>
      </c>
    </row>
    <row r="411" spans="1:8">
      <c r="A411" s="11"/>
      <c r="B411" s="11"/>
      <c r="C411" s="11"/>
      <c r="D411" s="11" t="str">
        <f t="shared" si="17"/>
        <v>2º GRUPO J</v>
      </c>
      <c r="E411" s="780" t="s">
        <v>1375</v>
      </c>
      <c r="F411" s="11"/>
      <c r="G411" s="780" t="s">
        <v>541</v>
      </c>
      <c r="H411" s="780" t="s">
        <v>545</v>
      </c>
    </row>
    <row r="412" spans="1:8">
      <c r="A412" s="11"/>
      <c r="B412" s="11"/>
      <c r="C412" s="11"/>
      <c r="D412" s="11" t="str">
        <f t="shared" si="17"/>
        <v>3º GRUPO J</v>
      </c>
      <c r="E412" s="780" t="s">
        <v>1375</v>
      </c>
      <c r="F412" s="11"/>
      <c r="G412" s="780" t="s">
        <v>542</v>
      </c>
      <c r="H412" s="780" t="s">
        <v>546</v>
      </c>
    </row>
    <row r="413" spans="1:8">
      <c r="A413" s="11"/>
      <c r="B413" s="11"/>
      <c r="C413" s="11"/>
      <c r="D413" s="11" t="str">
        <f t="shared" si="17"/>
        <v>4º GRUPO J</v>
      </c>
      <c r="E413" s="780" t="s">
        <v>1375</v>
      </c>
      <c r="F413" s="11"/>
      <c r="G413" s="780" t="s">
        <v>543</v>
      </c>
      <c r="H413" s="780" t="s">
        <v>547</v>
      </c>
    </row>
    <row r="414" spans="1:8">
      <c r="A414" s="11"/>
      <c r="B414" s="11"/>
      <c r="C414" s="11"/>
      <c r="D414" s="11" t="str">
        <f t="shared" si="17"/>
        <v>1º GRUPO K</v>
      </c>
      <c r="E414" s="780" t="s">
        <v>1375</v>
      </c>
      <c r="F414" s="11"/>
      <c r="G414" s="780" t="s">
        <v>548</v>
      </c>
      <c r="H414" s="780" t="s">
        <v>552</v>
      </c>
    </row>
    <row r="415" spans="1:8">
      <c r="A415" s="11"/>
      <c r="B415" s="11"/>
      <c r="C415" s="11"/>
      <c r="D415" s="11" t="str">
        <f t="shared" si="17"/>
        <v>2º GRUPO K</v>
      </c>
      <c r="E415" s="780" t="s">
        <v>1375</v>
      </c>
      <c r="F415" s="11"/>
      <c r="G415" s="780" t="s">
        <v>549</v>
      </c>
      <c r="H415" s="780" t="s">
        <v>553</v>
      </c>
    </row>
    <row r="416" spans="1:8">
      <c r="A416" s="11"/>
      <c r="B416" s="11"/>
      <c r="C416" s="11"/>
      <c r="D416" s="11" t="str">
        <f t="shared" si="17"/>
        <v>3º GRUPO K</v>
      </c>
      <c r="E416" s="780" t="s">
        <v>1375</v>
      </c>
      <c r="F416" s="11"/>
      <c r="G416" s="780" t="s">
        <v>550</v>
      </c>
      <c r="H416" s="780" t="s">
        <v>554</v>
      </c>
    </row>
    <row r="417" spans="1:8">
      <c r="A417" s="11"/>
      <c r="B417" s="11"/>
      <c r="C417" s="11"/>
      <c r="D417" s="11" t="str">
        <f t="shared" si="17"/>
        <v>4º GRUPO K</v>
      </c>
      <c r="E417" s="780" t="s">
        <v>1375</v>
      </c>
      <c r="F417" s="11"/>
      <c r="G417" s="780" t="s">
        <v>551</v>
      </c>
      <c r="H417" s="780" t="s">
        <v>555</v>
      </c>
    </row>
    <row r="418" spans="1:8">
      <c r="A418" s="11"/>
      <c r="B418" s="11"/>
      <c r="C418" s="11"/>
      <c r="D418" s="11" t="str">
        <f t="shared" si="17"/>
        <v>1º GRUPO L</v>
      </c>
      <c r="E418" s="780" t="s">
        <v>1375</v>
      </c>
      <c r="F418" s="11"/>
      <c r="G418" s="780" t="s">
        <v>556</v>
      </c>
      <c r="H418" s="780" t="s">
        <v>560</v>
      </c>
    </row>
    <row r="419" spans="1:8">
      <c r="A419" s="11"/>
      <c r="B419" s="11"/>
      <c r="C419" s="11"/>
      <c r="D419" s="11" t="str">
        <f t="shared" si="17"/>
        <v>2º GRUPO L</v>
      </c>
      <c r="E419" s="780" t="s">
        <v>1375</v>
      </c>
      <c r="F419" s="11"/>
      <c r="G419" s="780" t="s">
        <v>557</v>
      </c>
      <c r="H419" s="780" t="s">
        <v>561</v>
      </c>
    </row>
    <row r="420" spans="1:8">
      <c r="A420" s="11"/>
      <c r="B420" s="11"/>
      <c r="C420" s="11"/>
      <c r="D420" s="11" t="str">
        <f t="shared" si="17"/>
        <v>3º GRUPO L</v>
      </c>
      <c r="E420" s="780" t="s">
        <v>1375</v>
      </c>
      <c r="F420" s="11"/>
      <c r="G420" s="780" t="s">
        <v>558</v>
      </c>
      <c r="H420" s="780" t="s">
        <v>562</v>
      </c>
    </row>
    <row r="421" spans="1:8">
      <c r="A421" s="11"/>
      <c r="B421" s="11"/>
      <c r="C421" s="11"/>
      <c r="D421" s="11" t="str">
        <f t="shared" si="17"/>
        <v>4º GRUPO L</v>
      </c>
      <c r="E421" s="780" t="s">
        <v>1375</v>
      </c>
      <c r="F421" s="11"/>
      <c r="G421" s="780" t="s">
        <v>559</v>
      </c>
      <c r="H421" s="780" t="s">
        <v>563</v>
      </c>
    </row>
    <row r="422" spans="1:8">
      <c r="A422" s="11"/>
      <c r="B422" s="11"/>
      <c r="C422" s="11"/>
      <c r="D422" s="11" t="str">
        <f t="shared" si="17"/>
        <v>Dieciseisavofinalista</v>
      </c>
      <c r="E422" s="780" t="s">
        <v>1375</v>
      </c>
      <c r="F422" s="11"/>
      <c r="G422" s="780" t="s">
        <v>566</v>
      </c>
      <c r="H422" s="780" t="s">
        <v>567</v>
      </c>
    </row>
    <row r="423" spans="1:8">
      <c r="A423" s="11"/>
      <c r="B423" s="11"/>
      <c r="C423" s="11"/>
      <c r="D423" s="11" t="str">
        <f t="shared" si="17"/>
        <v>Octavofinalista</v>
      </c>
      <c r="E423" s="780" t="s">
        <v>1375</v>
      </c>
      <c r="F423" s="11"/>
      <c r="G423" s="780" t="s">
        <v>1296</v>
      </c>
      <c r="H423" s="780" t="s">
        <v>401</v>
      </c>
    </row>
    <row r="424" spans="1:8">
      <c r="A424" s="11"/>
      <c r="B424" s="11"/>
      <c r="C424" s="11"/>
      <c r="D424" s="11" t="str">
        <f t="shared" ref="D424:D446" si="18">IF($B$2,G424,H424)</f>
        <v>Cuartofinalista</v>
      </c>
      <c r="E424" s="780" t="s">
        <v>1375</v>
      </c>
      <c r="F424" s="11"/>
      <c r="G424" s="780" t="s">
        <v>58</v>
      </c>
      <c r="H424" s="780" t="s">
        <v>402</v>
      </c>
    </row>
    <row r="425" spans="1:8">
      <c r="A425" s="11"/>
      <c r="B425" s="11"/>
      <c r="C425" s="11"/>
      <c r="D425" s="11" t="str">
        <f t="shared" si="18"/>
        <v>Semifinalista</v>
      </c>
      <c r="E425" s="780" t="s">
        <v>1375</v>
      </c>
      <c r="F425" s="11"/>
      <c r="G425" s="780" t="s">
        <v>61</v>
      </c>
      <c r="H425" s="780" t="s">
        <v>403</v>
      </c>
    </row>
    <row r="426" spans="1:8">
      <c r="A426" s="11"/>
      <c r="B426" s="11"/>
      <c r="C426" s="11"/>
      <c r="D426" s="11" t="str">
        <f t="shared" si="18"/>
        <v>3º y 4º puesto</v>
      </c>
      <c r="E426" s="780" t="s">
        <v>1375</v>
      </c>
      <c r="F426" s="11"/>
      <c r="G426" s="780" t="s">
        <v>491</v>
      </c>
      <c r="H426" s="780" t="s">
        <v>492</v>
      </c>
    </row>
    <row r="427" spans="1:8">
      <c r="A427" s="11"/>
      <c r="B427" s="11"/>
      <c r="C427" s="11"/>
      <c r="D427" s="11" t="str">
        <f t="shared" si="18"/>
        <v>Finalista</v>
      </c>
      <c r="E427" s="780" t="s">
        <v>1375</v>
      </c>
      <c r="F427" s="11"/>
      <c r="G427" s="780" t="s">
        <v>64</v>
      </c>
      <c r="H427" s="780" t="s">
        <v>404</v>
      </c>
    </row>
    <row r="428" spans="1:8">
      <c r="A428" s="11"/>
      <c r="B428" s="11"/>
      <c r="C428" s="11"/>
      <c r="D428" s="11" t="str">
        <f t="shared" si="18"/>
        <v>J1</v>
      </c>
      <c r="E428" s="780" t="s">
        <v>1375</v>
      </c>
      <c r="F428" s="11"/>
      <c r="G428" s="780" t="s">
        <v>26</v>
      </c>
      <c r="H428" s="780" t="s">
        <v>273</v>
      </c>
    </row>
    <row r="429" spans="1:8">
      <c r="A429" s="11"/>
      <c r="B429" s="11"/>
      <c r="C429" s="11"/>
      <c r="D429" s="11" t="str">
        <f t="shared" si="18"/>
        <v>J2</v>
      </c>
      <c r="E429" s="780" t="s">
        <v>1375</v>
      </c>
      <c r="F429" s="11"/>
      <c r="G429" s="780" t="s">
        <v>27</v>
      </c>
      <c r="H429" s="780" t="s">
        <v>274</v>
      </c>
    </row>
    <row r="430" spans="1:8">
      <c r="A430" s="11"/>
      <c r="B430" s="11"/>
      <c r="C430" s="11"/>
      <c r="D430" s="11" t="str">
        <f t="shared" si="18"/>
        <v>J3</v>
      </c>
      <c r="E430" s="780" t="s">
        <v>1375</v>
      </c>
      <c r="F430" s="11"/>
      <c r="G430" s="780" t="s">
        <v>28</v>
      </c>
      <c r="H430" s="780" t="s">
        <v>275</v>
      </c>
    </row>
    <row r="431" spans="1:8">
      <c r="A431" s="11"/>
      <c r="B431" s="11"/>
      <c r="C431" s="11"/>
      <c r="D431" s="11" t="str">
        <f t="shared" si="18"/>
        <v>Sistema de puntuación</v>
      </c>
      <c r="E431" s="780" t="s">
        <v>1375</v>
      </c>
      <c r="F431" s="11"/>
      <c r="G431" s="780" t="s">
        <v>1938</v>
      </c>
      <c r="H431" s="780" t="s">
        <v>1939</v>
      </c>
    </row>
    <row r="432" spans="1:8">
      <c r="A432" s="11"/>
      <c r="B432" s="11"/>
      <c r="C432" s="11"/>
      <c r="D432" s="11">
        <f t="shared" si="18"/>
        <v>0</v>
      </c>
      <c r="E432" s="780" t="s">
        <v>1375</v>
      </c>
      <c r="F432" s="11"/>
      <c r="G432" s="780"/>
      <c r="H432" s="780"/>
    </row>
    <row r="433" spans="1:8">
      <c r="A433" s="11"/>
      <c r="B433" s="11"/>
      <c r="C433" s="11"/>
      <c r="D433" s="11" t="str">
        <f t="shared" si="18"/>
        <v>PREDICTOR - Campeón</v>
      </c>
      <c r="E433" s="780" t="s">
        <v>1375</v>
      </c>
      <c r="F433" s="11"/>
      <c r="G433" s="780" t="s">
        <v>1530</v>
      </c>
      <c r="H433" s="780" t="s">
        <v>1531</v>
      </c>
    </row>
    <row r="434" spans="1:8">
      <c r="A434" s="11"/>
      <c r="B434" s="11"/>
      <c r="C434" s="11"/>
      <c r="D434" s="11" t="str">
        <f t="shared" si="18"/>
        <v>PREDICTOR - Subcampeón</v>
      </c>
      <c r="E434" s="780" t="s">
        <v>1375</v>
      </c>
      <c r="F434" s="11"/>
      <c r="G434" s="780" t="s">
        <v>1581</v>
      </c>
      <c r="H434" s="780" t="s">
        <v>1582</v>
      </c>
    </row>
    <row r="435" spans="1:8">
      <c r="A435" s="11"/>
      <c r="B435" s="11"/>
      <c r="C435" s="11"/>
      <c r="D435" s="11" t="str">
        <f t="shared" ref="D435" si="19">IF($B$2,G435,H435)</f>
        <v>PREDICTOR- 3º puesto</v>
      </c>
      <c r="E435" s="780" t="s">
        <v>1375</v>
      </c>
      <c r="F435" s="11"/>
      <c r="G435" s="780" t="s">
        <v>1579</v>
      </c>
      <c r="H435" s="780" t="s">
        <v>1580</v>
      </c>
    </row>
    <row r="436" spans="1:8">
      <c r="A436" s="11"/>
      <c r="B436" s="11"/>
      <c r="C436" s="11"/>
      <c r="D436" s="11" t="str">
        <f t="shared" si="18"/>
        <v>PREDICTOR - Semifinales</v>
      </c>
      <c r="E436" s="780" t="s">
        <v>1375</v>
      </c>
      <c r="F436" s="11"/>
      <c r="G436" s="780" t="s">
        <v>1532</v>
      </c>
      <c r="H436" s="780" t="s">
        <v>1533</v>
      </c>
    </row>
    <row r="437" spans="1:8">
      <c r="A437" s="11"/>
      <c r="B437" s="11"/>
      <c r="C437" s="11"/>
      <c r="D437" s="11" t="str">
        <f t="shared" si="18"/>
        <v>PREDICTOR - Cuartos de final</v>
      </c>
      <c r="E437" s="780" t="s">
        <v>1375</v>
      </c>
      <c r="F437" s="11"/>
      <c r="G437" s="780" t="s">
        <v>1534</v>
      </c>
      <c r="H437" s="780" t="s">
        <v>1535</v>
      </c>
    </row>
    <row r="438" spans="1:8">
      <c r="A438" s="11"/>
      <c r="B438" s="11"/>
      <c r="C438" s="11"/>
      <c r="D438" s="11" t="str">
        <f t="shared" si="18"/>
        <v>PREDICTOR - Octavos de final</v>
      </c>
      <c r="E438" s="780" t="s">
        <v>1375</v>
      </c>
      <c r="F438" s="11"/>
      <c r="G438" s="780" t="s">
        <v>1536</v>
      </c>
      <c r="H438" s="780" t="s">
        <v>1537</v>
      </c>
    </row>
    <row r="439" spans="1:8">
      <c r="A439" s="11"/>
      <c r="B439" s="11"/>
      <c r="C439" s="11"/>
      <c r="D439" s="11" t="str">
        <f t="shared" si="18"/>
        <v>PREDICTOR - Dieciseisavos de final</v>
      </c>
      <c r="E439" s="780" t="s">
        <v>1375</v>
      </c>
      <c r="F439" s="11"/>
      <c r="G439" s="780" t="s">
        <v>1573</v>
      </c>
      <c r="H439" s="780" t="s">
        <v>1574</v>
      </c>
    </row>
    <row r="440" spans="1:8">
      <c r="A440" s="11"/>
      <c r="B440" s="11"/>
      <c r="C440" s="11"/>
      <c r="D440" s="11" t="str">
        <f t="shared" si="18"/>
        <v>PREDICTOR- Fase de Liga</v>
      </c>
      <c r="E440" s="780" t="s">
        <v>1375</v>
      </c>
      <c r="F440" s="11"/>
      <c r="G440" s="780" t="s">
        <v>1538</v>
      </c>
      <c r="H440" s="780" t="s">
        <v>1539</v>
      </c>
    </row>
    <row r="441" spans="1:8">
      <c r="A441" s="11"/>
      <c r="B441" s="11"/>
      <c r="C441" s="11"/>
      <c r="D441" s="11" t="str">
        <f t="shared" si="18"/>
        <v>% Ajuste por desvío en Diferencia/Distancia de goles</v>
      </c>
      <c r="E441" s="780" t="s">
        <v>1375</v>
      </c>
      <c r="F441" s="11"/>
      <c r="G441" s="780" t="s">
        <v>1739</v>
      </c>
      <c r="H441" s="780" t="s">
        <v>1776</v>
      </c>
    </row>
    <row r="442" spans="1:8">
      <c r="A442" s="11"/>
      <c r="B442" s="11"/>
      <c r="C442" s="11"/>
      <c r="D442" s="11" t="str">
        <f t="shared" si="18"/>
        <v>None</v>
      </c>
      <c r="E442" s="780" t="s">
        <v>1449</v>
      </c>
      <c r="F442" s="11"/>
      <c r="G442" s="780" t="s">
        <v>1927</v>
      </c>
      <c r="H442" s="11" t="s">
        <v>1927</v>
      </c>
    </row>
    <row r="443" spans="1:8">
      <c r="A443" s="11"/>
      <c r="B443" s="11"/>
      <c r="C443" s="11"/>
      <c r="D443" s="11" t="str">
        <f t="shared" si="18"/>
        <v>**¿Qué es esto y cómo funciona?</v>
      </c>
      <c r="E443" s="780" t="s">
        <v>1375</v>
      </c>
      <c r="F443" s="11"/>
      <c r="G443" s="780" t="s">
        <v>1826</v>
      </c>
      <c r="H443" s="780" t="s">
        <v>1827</v>
      </c>
    </row>
    <row r="444" spans="1:8">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c r="A445" s="11"/>
      <c r="B445" s="11"/>
      <c r="C445" s="11"/>
      <c r="D445" s="11" t="str">
        <f t="shared" si="18"/>
        <v>?</v>
      </c>
      <c r="E445" s="780" t="s">
        <v>1375</v>
      </c>
      <c r="F445" s="11"/>
      <c r="G445" s="780" t="s">
        <v>1831</v>
      </c>
      <c r="H445" s="780" t="s">
        <v>1831</v>
      </c>
    </row>
    <row r="446" spans="1:8">
      <c r="A446" s="11"/>
      <c r="B446" s="11"/>
      <c r="C446" s="11"/>
      <c r="D446" s="11" t="str">
        <f t="shared" si="18"/>
        <v>https://matejero.es/puntuaciones-excel-mundial-2026/#%C2%BFQue_es_un_BONUS</v>
      </c>
      <c r="E446" s="780" t="s">
        <v>1375</v>
      </c>
      <c r="F446" s="11"/>
      <c r="G446" s="782" t="s">
        <v>1832</v>
      </c>
      <c r="H446" s="782" t="s">
        <v>1928</v>
      </c>
    </row>
    <row r="447" spans="1:8">
      <c r="A447" s="11"/>
      <c r="B447" s="11"/>
      <c r="C447" s="11"/>
      <c r="D447" s="11"/>
      <c r="E447" s="780"/>
      <c r="F447" s="11"/>
      <c r="G447" s="781"/>
      <c r="H447" s="781"/>
    </row>
    <row r="448" spans="1:8">
      <c r="A448" s="11"/>
      <c r="B448" s="11"/>
      <c r="C448" s="11"/>
      <c r="D448" s="11"/>
      <c r="E448" s="780"/>
      <c r="F448" s="11"/>
      <c r="G448" s="781"/>
      <c r="H448" s="781"/>
    </row>
    <row r="449" spans="1:8">
      <c r="A449" s="11"/>
      <c r="B449" s="11"/>
      <c r="C449" s="11"/>
      <c r="D449" s="11"/>
      <c r="E449" s="11"/>
      <c r="F449" s="11"/>
      <c r="G449" s="11"/>
      <c r="H449" s="11"/>
    </row>
    <row r="450" spans="1:8">
      <c r="A450" s="11"/>
      <c r="B450" s="11"/>
      <c r="C450" s="11"/>
      <c r="D450" s="11"/>
      <c r="E450" s="11"/>
      <c r="F450" s="11"/>
      <c r="G450" s="11"/>
      <c r="H450" s="11"/>
    </row>
    <row r="451" spans="1:8">
      <c r="A451" s="11"/>
      <c r="B451" s="11"/>
      <c r="C451" s="11"/>
      <c r="D451" s="11" t="str">
        <f t="shared" ref="D451:D470" si="20">IF($B$2,G451,H451)</f>
        <v>CLASIFICACIÓN MUNDIAL 2026</v>
      </c>
      <c r="E451" s="11" t="s">
        <v>1589</v>
      </c>
      <c r="F451" s="11" t="s">
        <v>1590</v>
      </c>
      <c r="G451" s="783" t="s">
        <v>1610</v>
      </c>
      <c r="H451" s="783" t="s">
        <v>1611</v>
      </c>
    </row>
    <row r="452" spans="1:8">
      <c r="A452" s="11"/>
      <c r="B452" s="11"/>
      <c r="C452" s="11"/>
      <c r="D452" s="11" t="str">
        <f t="shared" si="20"/>
        <v>Pos</v>
      </c>
      <c r="E452" s="11" t="s">
        <v>1589</v>
      </c>
      <c r="F452" s="11" t="s">
        <v>125</v>
      </c>
      <c r="G452" s="783" t="s">
        <v>14</v>
      </c>
      <c r="H452" s="783" t="s">
        <v>14</v>
      </c>
    </row>
    <row r="453" spans="1:8">
      <c r="A453" s="11"/>
      <c r="B453" s="11"/>
      <c r="C453" s="11"/>
      <c r="D453" s="11" t="str">
        <f t="shared" si="20"/>
        <v>Jugador</v>
      </c>
      <c r="E453" s="11" t="s">
        <v>1589</v>
      </c>
      <c r="F453" s="11" t="s">
        <v>126</v>
      </c>
      <c r="G453" s="783" t="s">
        <v>1591</v>
      </c>
      <c r="H453" s="783" t="s">
        <v>1592</v>
      </c>
    </row>
    <row r="454" spans="1:8">
      <c r="A454" s="11"/>
      <c r="B454" s="11"/>
      <c r="C454" s="11"/>
      <c r="D454" s="11" t="str">
        <f t="shared" si="20"/>
        <v>Puntos Totales</v>
      </c>
      <c r="E454" s="11" t="s">
        <v>1589</v>
      </c>
      <c r="F454" s="11" t="s">
        <v>127</v>
      </c>
      <c r="G454" s="783" t="s">
        <v>1593</v>
      </c>
      <c r="H454" s="783" t="s">
        <v>1594</v>
      </c>
    </row>
    <row r="455" spans="1:8">
      <c r="A455" s="11"/>
      <c r="B455" s="11"/>
      <c r="C455" s="11"/>
      <c r="D455" s="11" t="str">
        <f t="shared" si="20"/>
        <v>F. Grupos</v>
      </c>
      <c r="E455" s="11" t="s">
        <v>1589</v>
      </c>
      <c r="F455" s="11" t="s">
        <v>128</v>
      </c>
      <c r="G455" s="783" t="s">
        <v>1595</v>
      </c>
      <c r="H455" s="783" t="s">
        <v>1627</v>
      </c>
    </row>
    <row r="456" spans="1:8">
      <c r="A456" s="11"/>
      <c r="B456" s="11"/>
      <c r="C456" s="11"/>
      <c r="D456" s="11" t="str">
        <f t="shared" si="20"/>
        <v>Pos. Grupos</v>
      </c>
      <c r="E456" s="11" t="s">
        <v>1589</v>
      </c>
      <c r="F456" s="11" t="s">
        <v>129</v>
      </c>
      <c r="G456" s="783" t="s">
        <v>1596</v>
      </c>
      <c r="H456" s="783" t="s">
        <v>1628</v>
      </c>
    </row>
    <row r="457" spans="1:8">
      <c r="A457" s="11"/>
      <c r="B457" s="11"/>
      <c r="C457" s="11"/>
      <c r="D457" s="11" t="str">
        <f t="shared" ref="D457:D458" si="21">IF($B$2,G457,H457)</f>
        <v>Equipos 1/16</v>
      </c>
      <c r="E457" s="11" t="s">
        <v>1589</v>
      </c>
      <c r="F457" s="11" t="s">
        <v>180</v>
      </c>
      <c r="G457" s="783" t="s">
        <v>1612</v>
      </c>
      <c r="H457" s="783" t="s">
        <v>1617</v>
      </c>
    </row>
    <row r="458" spans="1:8">
      <c r="A458" s="11"/>
      <c r="B458" s="11"/>
      <c r="C458" s="11"/>
      <c r="D458" s="11" t="str">
        <f t="shared" si="21"/>
        <v>Partidos 1/16</v>
      </c>
      <c r="E458" s="11" t="s">
        <v>1589</v>
      </c>
      <c r="F458" s="11" t="s">
        <v>181</v>
      </c>
      <c r="G458" s="783" t="s">
        <v>1613</v>
      </c>
      <c r="H458" s="783" t="s">
        <v>1614</v>
      </c>
    </row>
    <row r="459" spans="1:8">
      <c r="A459" s="11"/>
      <c r="B459" s="11"/>
      <c r="C459" s="11"/>
      <c r="D459" s="11" t="str">
        <f t="shared" si="20"/>
        <v>Equipos 1/8</v>
      </c>
      <c r="E459" s="11" t="s">
        <v>1589</v>
      </c>
      <c r="F459" s="11" t="s">
        <v>180</v>
      </c>
      <c r="G459" s="783" t="s">
        <v>1597</v>
      </c>
      <c r="H459" s="783" t="s">
        <v>1618</v>
      </c>
    </row>
    <row r="460" spans="1:8">
      <c r="A460" s="11"/>
      <c r="B460" s="11"/>
      <c r="C460" s="11"/>
      <c r="D460" s="11" t="str">
        <f t="shared" si="20"/>
        <v>Partidos 1/8</v>
      </c>
      <c r="E460" s="11" t="s">
        <v>1589</v>
      </c>
      <c r="F460" s="11" t="s">
        <v>181</v>
      </c>
      <c r="G460" s="783" t="s">
        <v>1598</v>
      </c>
      <c r="H460" s="783" t="s">
        <v>1599</v>
      </c>
    </row>
    <row r="461" spans="1:8">
      <c r="A461" s="11"/>
      <c r="B461" s="11"/>
      <c r="C461" s="11"/>
      <c r="D461" s="11" t="str">
        <f t="shared" si="20"/>
        <v>Equipos 1/4</v>
      </c>
      <c r="E461" s="11" t="s">
        <v>1589</v>
      </c>
      <c r="F461" s="11" t="s">
        <v>182</v>
      </c>
      <c r="G461" s="783" t="s">
        <v>1600</v>
      </c>
      <c r="H461" s="783" t="s">
        <v>1619</v>
      </c>
    </row>
    <row r="462" spans="1:8">
      <c r="A462" s="11"/>
      <c r="B462" s="11"/>
      <c r="C462" s="11"/>
      <c r="D462" s="11" t="str">
        <f t="shared" si="20"/>
        <v>Partidos 1/4</v>
      </c>
      <c r="E462" s="11" t="s">
        <v>1589</v>
      </c>
      <c r="F462" s="11" t="s">
        <v>28</v>
      </c>
      <c r="G462" s="783" t="s">
        <v>1601</v>
      </c>
      <c r="H462" s="783" t="s">
        <v>1602</v>
      </c>
    </row>
    <row r="463" spans="1:8">
      <c r="A463" s="11"/>
      <c r="B463" s="11"/>
      <c r="C463" s="11"/>
      <c r="D463" s="11" t="str">
        <f t="shared" si="20"/>
        <v>Equipos 1/2</v>
      </c>
      <c r="E463" s="11" t="s">
        <v>1589</v>
      </c>
      <c r="F463" s="11" t="s">
        <v>188</v>
      </c>
      <c r="G463" s="783" t="s">
        <v>1603</v>
      </c>
      <c r="H463" s="783" t="s">
        <v>1620</v>
      </c>
    </row>
    <row r="464" spans="1:8">
      <c r="A464" s="11"/>
      <c r="B464" s="11"/>
      <c r="C464" s="11"/>
      <c r="D464" s="11" t="str">
        <f t="shared" si="20"/>
        <v>Partidos 1/2</v>
      </c>
      <c r="E464" s="11" t="s">
        <v>1589</v>
      </c>
      <c r="F464" s="11" t="s">
        <v>1198</v>
      </c>
      <c r="G464" s="783" t="s">
        <v>1604</v>
      </c>
      <c r="H464" s="783" t="s">
        <v>1605</v>
      </c>
    </row>
    <row r="465" spans="1:8">
      <c r="A465" s="11"/>
      <c r="B465" s="11"/>
      <c r="C465" s="11"/>
      <c r="D465" s="11" t="str">
        <f t="shared" si="20"/>
        <v>Equipos 3-4</v>
      </c>
      <c r="E465" s="11" t="s">
        <v>1589</v>
      </c>
      <c r="F465" s="11"/>
      <c r="G465" s="783" t="s">
        <v>1615</v>
      </c>
      <c r="H465" s="783" t="s">
        <v>1616</v>
      </c>
    </row>
    <row r="466" spans="1:8">
      <c r="A466" s="11"/>
      <c r="B466" s="11"/>
      <c r="C466" s="11"/>
      <c r="D466" s="11" t="str">
        <f t="shared" si="20"/>
        <v>Equipos Final</v>
      </c>
      <c r="E466" s="11" t="s">
        <v>1589</v>
      </c>
      <c r="F466" s="11" t="s">
        <v>1606</v>
      </c>
      <c r="G466" s="783" t="s">
        <v>1607</v>
      </c>
      <c r="H466" s="783" t="s">
        <v>1621</v>
      </c>
    </row>
    <row r="467" spans="1:8">
      <c r="A467" s="11"/>
      <c r="B467" s="11"/>
      <c r="C467" s="11"/>
      <c r="D467" s="11" t="str">
        <f t="shared" ref="D467" si="22">IF($B$2,G467,H467)</f>
        <v>Partido 3-4</v>
      </c>
      <c r="E467" s="11" t="s">
        <v>1589</v>
      </c>
      <c r="F467" s="11"/>
      <c r="G467" s="783" t="s">
        <v>1622</v>
      </c>
      <c r="H467" s="783" t="s">
        <v>1623</v>
      </c>
    </row>
    <row r="468" spans="1:8">
      <c r="A468" s="11"/>
      <c r="B468" s="11"/>
      <c r="C468" s="11"/>
      <c r="D468" s="11" t="str">
        <f t="shared" si="20"/>
        <v>Partido Final</v>
      </c>
      <c r="E468" s="11" t="s">
        <v>1589</v>
      </c>
      <c r="F468" s="11" t="s">
        <v>190</v>
      </c>
      <c r="G468" s="783" t="s">
        <v>1467</v>
      </c>
      <c r="H468" s="783" t="s">
        <v>1608</v>
      </c>
    </row>
    <row r="469" spans="1:8">
      <c r="A469" s="11"/>
      <c r="B469" s="11"/>
      <c r="C469" s="11"/>
      <c r="D469" s="11" t="str">
        <f t="shared" ref="D469" si="23">IF($B$2,G469,H469)</f>
        <v xml:space="preserve">Cuadro de Honor </v>
      </c>
      <c r="E469" s="11" t="s">
        <v>1589</v>
      </c>
      <c r="F469" s="11" t="s">
        <v>1609</v>
      </c>
      <c r="G469" s="783" t="s">
        <v>1624</v>
      </c>
      <c r="H469" s="783" t="s">
        <v>1626</v>
      </c>
    </row>
    <row r="470" spans="1:8">
      <c r="A470" s="11"/>
      <c r="B470" s="11"/>
      <c r="C470" s="11"/>
      <c r="D470" s="11" t="str">
        <f t="shared" si="20"/>
        <v xml:space="preserve">Predictor </v>
      </c>
      <c r="E470" s="11" t="s">
        <v>1589</v>
      </c>
      <c r="F470" s="11" t="s">
        <v>1609</v>
      </c>
      <c r="G470" s="783" t="s">
        <v>1625</v>
      </c>
      <c r="H470" s="783" t="s">
        <v>1625</v>
      </c>
    </row>
    <row r="471" spans="1:8">
      <c r="A471" s="11"/>
      <c r="B471" s="11"/>
      <c r="C471" s="11"/>
      <c r="D471" s="11"/>
      <c r="E471" s="11"/>
      <c r="F471" s="11"/>
      <c r="G471" s="11"/>
      <c r="H471" s="11"/>
    </row>
    <row r="472" spans="1:8">
      <c r="A472" s="11"/>
      <c r="B472" s="11"/>
      <c r="C472" s="11"/>
      <c r="D472" s="11"/>
      <c r="E472" s="11"/>
      <c r="F472" s="11"/>
      <c r="G472" s="11"/>
      <c r="H472" s="11"/>
    </row>
    <row r="473" spans="1:8">
      <c r="A473" s="11"/>
      <c r="B473" s="11"/>
      <c r="C473" s="11"/>
      <c r="D473" s="11"/>
      <c r="E473" s="11"/>
      <c r="F473" s="11"/>
      <c r="G473" s="11"/>
      <c r="H473" s="11"/>
    </row>
    <row r="474" spans="1:8">
      <c r="A474" s="11"/>
      <c r="B474" s="11"/>
      <c r="C474" s="11"/>
      <c r="D474" s="11" t="str">
        <f t="shared" ref="D474:D475" si="24">IF($B$2,G474,H474)</f>
        <v>Selecciona día:</v>
      </c>
      <c r="E474" s="11" t="s">
        <v>1650</v>
      </c>
      <c r="F474" s="11" t="s">
        <v>115</v>
      </c>
      <c r="G474" s="11" t="s">
        <v>1651</v>
      </c>
      <c r="H474" s="11" t="s">
        <v>1652</v>
      </c>
    </row>
    <row r="475" spans="1:8">
      <c r="A475" s="11"/>
      <c r="B475" s="11"/>
      <c r="C475" s="11"/>
      <c r="D475" s="11" t="str">
        <f t="shared" si="24"/>
        <v>Nombre</v>
      </c>
      <c r="E475" s="11" t="s">
        <v>1650</v>
      </c>
      <c r="F475" s="11" t="s">
        <v>126</v>
      </c>
      <c r="G475" s="11" t="s">
        <v>42</v>
      </c>
      <c r="H475" s="11" t="s">
        <v>268</v>
      </c>
    </row>
    <row r="476" spans="1:8">
      <c r="A476" s="11"/>
      <c r="B476" s="11"/>
      <c r="C476" s="11"/>
      <c r="D476" s="11"/>
      <c r="E476" s="11"/>
      <c r="F476" s="11"/>
      <c r="G476" s="11"/>
      <c r="H476" s="11"/>
    </row>
    <row r="477" spans="1:8">
      <c r="A477" s="11"/>
      <c r="B477" s="11"/>
      <c r="C477" s="11"/>
      <c r="D477" s="11"/>
      <c r="E477" s="11"/>
      <c r="F477" s="11"/>
      <c r="G477" s="11"/>
      <c r="H477" s="11"/>
    </row>
    <row r="478" spans="1:8">
      <c r="A478" s="11"/>
      <c r="B478" s="11"/>
      <c r="C478" s="11"/>
      <c r="D478" s="11" t="str">
        <f t="shared" ref="D478:D481" si="25">IF($B$2,G478,H478)</f>
        <v>Selecciona día:</v>
      </c>
      <c r="E478" s="11" t="s">
        <v>1653</v>
      </c>
      <c r="F478" s="11" t="s">
        <v>512</v>
      </c>
      <c r="G478" s="11" t="s">
        <v>1651</v>
      </c>
      <c r="H478" s="11" t="s">
        <v>1652</v>
      </c>
    </row>
    <row r="479" spans="1:8">
      <c r="A479" s="11"/>
      <c r="B479" s="11"/>
      <c r="C479" s="11"/>
      <c r="D479" s="11" t="str">
        <f t="shared" si="25"/>
        <v>Pos</v>
      </c>
      <c r="E479" s="11" t="s">
        <v>1653</v>
      </c>
      <c r="F479" s="11" t="s">
        <v>128</v>
      </c>
      <c r="G479" s="11" t="s">
        <v>14</v>
      </c>
      <c r="H479" s="11" t="s">
        <v>14</v>
      </c>
    </row>
    <row r="480" spans="1:8">
      <c r="A480" s="11"/>
      <c r="B480" s="11"/>
      <c r="C480" s="11"/>
      <c r="D480" s="11" t="str">
        <f t="shared" si="25"/>
        <v>Nombre</v>
      </c>
      <c r="E480" s="11" t="s">
        <v>1653</v>
      </c>
      <c r="F480" s="11" t="s">
        <v>129</v>
      </c>
      <c r="G480" s="11" t="s">
        <v>42</v>
      </c>
      <c r="H480" s="11" t="s">
        <v>268</v>
      </c>
    </row>
    <row r="481" spans="1:8">
      <c r="A481" s="11"/>
      <c r="B481" s="11"/>
      <c r="C481" s="11"/>
      <c r="D481" s="11" t="str">
        <f t="shared" si="25"/>
        <v>Puntos Día / Eliminatoria</v>
      </c>
      <c r="E481" s="11" t="s">
        <v>1653</v>
      </c>
      <c r="F481" s="11" t="s">
        <v>180</v>
      </c>
      <c r="G481" s="11" t="s">
        <v>1654</v>
      </c>
      <c r="H481" s="11" t="s">
        <v>1655</v>
      </c>
    </row>
    <row r="482" spans="1:8">
      <c r="A482" s="11"/>
      <c r="B482" s="11"/>
      <c r="C482" s="11"/>
      <c r="D482" s="11"/>
      <c r="E482" s="11"/>
      <c r="F482" s="11"/>
      <c r="G482" s="11"/>
      <c r="H482" s="11"/>
    </row>
    <row r="483" spans="1:8">
      <c r="A483" s="11"/>
      <c r="B483" s="11"/>
      <c r="C483" s="11"/>
      <c r="D483" s="11"/>
      <c r="E483" s="11"/>
      <c r="F483" s="11"/>
      <c r="G483" s="11"/>
      <c r="H483" s="11"/>
    </row>
    <row r="484" spans="1:8">
      <c r="A484" s="11"/>
      <c r="B484" s="11"/>
      <c r="C484" s="11"/>
      <c r="D484" s="11" t="str">
        <f>IF($B$2,G484,H484)</f>
        <v xml:space="preserve">Puntos en juego </v>
      </c>
      <c r="E484" s="11" t="s">
        <v>1656</v>
      </c>
      <c r="F484" s="11"/>
      <c r="G484" s="11" t="s">
        <v>1657</v>
      </c>
      <c r="H484" s="8" t="s">
        <v>1658</v>
      </c>
    </row>
    <row r="485" spans="1:8">
      <c r="A485" s="11"/>
      <c r="B485" s="11"/>
      <c r="C485" s="11"/>
      <c r="D485" s="11" t="str">
        <f t="shared" ref="D485:D515" si="26">IF($B$2,G485,H485)</f>
        <v xml:space="preserve">Máximo de puntos hasta </v>
      </c>
      <c r="E485" s="11" t="s">
        <v>1656</v>
      </c>
      <c r="F485" s="11"/>
      <c r="G485" s="11" t="s">
        <v>1659</v>
      </c>
      <c r="H485" s="8" t="s">
        <v>1660</v>
      </c>
    </row>
    <row r="486" spans="1:8">
      <c r="A486" s="11"/>
      <c r="B486" s="11"/>
      <c r="C486" s="11"/>
      <c r="D486" s="11" t="str">
        <f t="shared" si="26"/>
        <v xml:space="preserve">Máximo de puntos incluido </v>
      </c>
      <c r="E486" s="11" t="s">
        <v>1656</v>
      </c>
      <c r="F486" s="11"/>
      <c r="G486" s="11" t="s">
        <v>1661</v>
      </c>
      <c r="H486" s="8" t="s">
        <v>1662</v>
      </c>
    </row>
    <row r="487" spans="1:8">
      <c r="A487" s="11"/>
      <c r="B487" s="11"/>
      <c r="C487" s="11"/>
      <c r="D487" s="11" t="str">
        <f t="shared" si="26"/>
        <v xml:space="preserve">Quedan por repartir: </v>
      </c>
      <c r="E487" s="11" t="s">
        <v>1656</v>
      </c>
      <c r="F487" s="11"/>
      <c r="G487" s="11" t="s">
        <v>1663</v>
      </c>
      <c r="H487" s="8" t="s">
        <v>1664</v>
      </c>
    </row>
    <row r="488" spans="1:8">
      <c r="A488" s="11"/>
      <c r="B488" s="11"/>
      <c r="C488" s="11"/>
      <c r="D488" s="11" t="str">
        <f t="shared" si="26"/>
        <v>Puntos máximos totales a repartir hoy (Global):</v>
      </c>
      <c r="E488" s="11" t="s">
        <v>1656</v>
      </c>
      <c r="F488" s="11"/>
      <c r="G488" s="11" t="s">
        <v>1665</v>
      </c>
      <c r="H488" s="8" t="s">
        <v>1666</v>
      </c>
    </row>
    <row r="489" spans="1:8">
      <c r="A489" s="11"/>
      <c r="B489" s="11"/>
      <c r="C489" s="11"/>
      <c r="D489" s="11" t="str">
        <f t="shared" si="26"/>
        <v>Puntos repartidos hoy (Global)</v>
      </c>
      <c r="E489" s="11" t="s">
        <v>1656</v>
      </c>
      <c r="F489" s="11"/>
      <c r="G489" s="11" t="s">
        <v>1667</v>
      </c>
      <c r="H489" s="8" t="s">
        <v>1668</v>
      </c>
    </row>
    <row r="490" spans="1:8">
      <c r="A490" s="11"/>
      <c r="B490" s="11"/>
      <c r="C490" s="11"/>
      <c r="D490" s="11" t="str">
        <f t="shared" si="26"/>
        <v xml:space="preserve">¿Cúantos han acertado el máximo de puntos </v>
      </c>
      <c r="E490" s="11" t="s">
        <v>1656</v>
      </c>
      <c r="F490" s="11"/>
      <c r="G490" s="11" t="s">
        <v>1669</v>
      </c>
      <c r="H490" s="8" t="s">
        <v>1670</v>
      </c>
    </row>
    <row r="491" spans="1:8">
      <c r="A491" s="11"/>
      <c r="B491" s="11"/>
      <c r="C491" s="11"/>
      <c r="D491" s="11" t="str">
        <f>IF($B$2,G491,H491)</f>
        <v xml:space="preserve">¿Cúantos se han llevado algún punto </v>
      </c>
      <c r="E491" s="11" t="s">
        <v>1656</v>
      </c>
      <c r="F491" s="11"/>
      <c r="G491" s="11" t="s">
        <v>1671</v>
      </c>
      <c r="H491" s="8" t="s">
        <v>1672</v>
      </c>
    </row>
    <row r="492" spans="1:8">
      <c r="A492" s="11"/>
      <c r="B492" s="11"/>
      <c r="C492" s="11"/>
      <c r="D492" s="11" t="str">
        <f t="shared" si="26"/>
        <v xml:space="preserve">¿Cúantos no han acertado nada </v>
      </c>
      <c r="E492" s="11" t="s">
        <v>1656</v>
      </c>
      <c r="F492" s="11"/>
      <c r="G492" s="11" t="s">
        <v>1673</v>
      </c>
      <c r="H492" s="8" t="s">
        <v>1674</v>
      </c>
    </row>
    <row r="493" spans="1:8">
      <c r="A493" s="11"/>
      <c r="B493" s="11"/>
      <c r="C493" s="11"/>
      <c r="D493" s="11" t="str">
        <f t="shared" si="26"/>
        <v xml:space="preserve">Media de puntos sumados </v>
      </c>
      <c r="E493" s="11" t="s">
        <v>1656</v>
      </c>
      <c r="F493" s="11"/>
      <c r="G493" s="11" t="s">
        <v>1675</v>
      </c>
      <c r="H493" s="8" t="s">
        <v>1676</v>
      </c>
    </row>
    <row r="494" spans="1:8">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c r="A496" s="11"/>
      <c r="B496" s="11"/>
      <c r="C496" s="11"/>
      <c r="D496" s="11" t="str">
        <f t="shared" si="26"/>
        <v>Dia seleccionado en "Daily Prediction"</v>
      </c>
      <c r="E496" s="11" t="s">
        <v>1656</v>
      </c>
      <c r="F496" s="11"/>
      <c r="G496" s="11" t="s">
        <v>1680</v>
      </c>
      <c r="H496" s="8" t="s">
        <v>1681</v>
      </c>
    </row>
    <row r="497" spans="1:8">
      <c r="A497" s="11"/>
      <c r="B497" s="11"/>
      <c r="C497" s="11"/>
      <c r="D497" s="11" t="str">
        <f t="shared" si="26"/>
        <v>Puntos</v>
      </c>
      <c r="E497" s="11" t="s">
        <v>1656</v>
      </c>
      <c r="F497" s="11"/>
      <c r="G497" s="11" t="s">
        <v>1381</v>
      </c>
      <c r="H497" s="8" t="s">
        <v>1382</v>
      </c>
    </row>
    <row r="498" spans="1:8">
      <c r="A498" s="11"/>
      <c r="B498" s="11"/>
      <c r="C498" s="11"/>
      <c r="D498" s="11" t="str">
        <f t="shared" si="26"/>
        <v>Resultados más pronósticados</v>
      </c>
      <c r="E498" s="11" t="s">
        <v>1656</v>
      </c>
      <c r="F498" s="11"/>
      <c r="G498" s="11" t="s">
        <v>1682</v>
      </c>
      <c r="H498" s="8" t="s">
        <v>1683</v>
      </c>
    </row>
    <row r="499" spans="1:8">
      <c r="A499" s="11"/>
      <c r="B499" s="11"/>
      <c r="C499" s="11"/>
      <c r="D499" s="11" t="str">
        <f t="shared" si="26"/>
        <v>Resultado</v>
      </c>
      <c r="E499" s="11" t="s">
        <v>1656</v>
      </c>
      <c r="F499" s="11"/>
      <c r="G499" s="11" t="s">
        <v>1684</v>
      </c>
      <c r="H499" s="8" t="s">
        <v>1685</v>
      </c>
    </row>
    <row r="500" spans="1:8">
      <c r="A500" s="11"/>
      <c r="B500" s="11"/>
      <c r="C500" s="11"/>
      <c r="D500" s="11" t="str">
        <f t="shared" si="26"/>
        <v>Nº de veces</v>
      </c>
      <c r="E500" s="11" t="s">
        <v>1656</v>
      </c>
      <c r="F500" s="11"/>
      <c r="G500" s="11" t="s">
        <v>1686</v>
      </c>
      <c r="H500" s="8" t="s">
        <v>1687</v>
      </c>
    </row>
    <row r="501" spans="1:8">
      <c r="A501" s="11"/>
      <c r="B501" s="11"/>
      <c r="C501" s="11"/>
      <c r="D501" s="11" t="str">
        <f t="shared" si="26"/>
        <v>Selecciona un partido de hoy:↗</v>
      </c>
      <c r="E501" s="11" t="s">
        <v>1656</v>
      </c>
      <c r="F501" s="11"/>
      <c r="G501" s="11" t="s">
        <v>1923</v>
      </c>
      <c r="H501" s="8" t="s">
        <v>1924</v>
      </c>
    </row>
    <row r="502" spans="1:8">
      <c r="A502" s="11"/>
      <c r="B502" s="11"/>
      <c r="C502" s="11"/>
      <c r="D502" s="11" t="str">
        <f t="shared" si="26"/>
        <v>(No cuentan los resultados no predichos)*</v>
      </c>
      <c r="E502" s="11" t="s">
        <v>1656</v>
      </c>
      <c r="F502" s="11"/>
      <c r="G502" s="11" t="s">
        <v>1688</v>
      </c>
      <c r="H502" s="8" t="s">
        <v>1689</v>
      </c>
    </row>
    <row r="503" spans="1:8">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c r="A504" s="11"/>
      <c r="B504" s="11"/>
      <c r="C504" s="11"/>
      <c r="D504" s="11" t="str">
        <f t="shared" si="26"/>
        <v>Este gráfico de abajo solo aparece en los partidos de la fase de grupos</v>
      </c>
      <c r="E504" s="11" t="s">
        <v>1656</v>
      </c>
      <c r="F504" s="11"/>
      <c r="G504" s="11" t="s">
        <v>1692</v>
      </c>
      <c r="H504" s="11" t="s">
        <v>1693</v>
      </c>
    </row>
    <row r="505" spans="1:8">
      <c r="A505" s="11"/>
      <c r="B505" s="11"/>
      <c r="C505" s="11"/>
      <c r="D505" s="11" t="str">
        <f t="shared" si="26"/>
        <v>Faltan</v>
      </c>
      <c r="E505" s="11" t="s">
        <v>1656</v>
      </c>
      <c r="F505" s="11"/>
      <c r="G505" s="8" t="s">
        <v>1694</v>
      </c>
      <c r="H505" s="8" t="s">
        <v>1695</v>
      </c>
    </row>
    <row r="506" spans="1:8">
      <c r="A506" s="11"/>
      <c r="B506" s="11"/>
      <c r="C506" s="11"/>
      <c r="D506" s="11" t="str">
        <f t="shared" si="26"/>
        <v>días para que empiece el Mundial 2026</v>
      </c>
      <c r="E506" s="11" t="s">
        <v>1656</v>
      </c>
      <c r="F506" s="11"/>
      <c r="G506" s="8" t="s">
        <v>1780</v>
      </c>
      <c r="H506" s="8" t="s">
        <v>1785</v>
      </c>
    </row>
    <row r="507" spans="1:8">
      <c r="A507" s="11"/>
      <c r="B507" s="11"/>
      <c r="C507" s="11"/>
      <c r="D507" s="11" t="str">
        <f t="shared" si="26"/>
        <v>Es el día</v>
      </c>
      <c r="E507" s="11" t="s">
        <v>1656</v>
      </c>
      <c r="F507" s="11"/>
      <c r="G507" s="8" t="s">
        <v>1696</v>
      </c>
      <c r="H507" s="8" t="s">
        <v>1697</v>
      </c>
    </row>
    <row r="508" spans="1:8">
      <c r="A508" s="11"/>
      <c r="B508" s="11"/>
      <c r="C508" s="11"/>
      <c r="D508" s="11" t="str">
        <f t="shared" si="26"/>
        <v>del Mundial 2026</v>
      </c>
      <c r="E508" s="11" t="s">
        <v>1656</v>
      </c>
      <c r="F508" s="11"/>
      <c r="G508" s="8" t="s">
        <v>1779</v>
      </c>
      <c r="H508" s="8" t="s">
        <v>1304</v>
      </c>
    </row>
    <row r="509" spans="1:8">
      <c r="A509" s="11"/>
      <c r="B509" s="11"/>
      <c r="C509" s="11"/>
      <c r="D509" s="11" t="str">
        <f t="shared" si="26"/>
        <v>Quedan</v>
      </c>
      <c r="E509" s="11" t="s">
        <v>1656</v>
      </c>
      <c r="F509" s="11"/>
      <c r="G509" s="8" t="s">
        <v>1698</v>
      </c>
      <c r="H509" s="8" t="s">
        <v>1699</v>
      </c>
    </row>
    <row r="510" spans="1:8">
      <c r="A510" s="11"/>
      <c r="B510" s="11"/>
      <c r="C510" s="11"/>
      <c r="D510" s="11" t="str">
        <f t="shared" si="26"/>
        <v>días para que acabe el Mundial 2026</v>
      </c>
      <c r="E510" s="11" t="s">
        <v>1656</v>
      </c>
      <c r="F510" s="11"/>
      <c r="G510" s="8" t="s">
        <v>1777</v>
      </c>
      <c r="H510" s="8" t="s">
        <v>1778</v>
      </c>
    </row>
    <row r="511" spans="1:8">
      <c r="A511" s="11"/>
      <c r="B511" s="11"/>
      <c r="C511" s="11"/>
      <c r="D511" s="11" t="str">
        <f t="shared" si="26"/>
        <v>Se han marcado un total de</v>
      </c>
      <c r="E511" s="11" t="s">
        <v>1656</v>
      </c>
      <c r="F511" s="11"/>
      <c r="G511" s="8" t="s">
        <v>1700</v>
      </c>
      <c r="H511" s="8" t="s">
        <v>1701</v>
      </c>
    </row>
    <row r="512" spans="1:8">
      <c r="A512" s="11"/>
      <c r="B512" s="11"/>
      <c r="C512" s="11"/>
      <c r="D512" s="11" t="str">
        <f t="shared" si="26"/>
        <v>goles en el Mundial de Clubes sin contar tandas de penalti</v>
      </c>
      <c r="E512" s="11" t="s">
        <v>1656</v>
      </c>
      <c r="F512" s="11"/>
      <c r="G512" s="8" t="s">
        <v>1702</v>
      </c>
      <c r="H512" s="8" t="s">
        <v>1703</v>
      </c>
    </row>
    <row r="513" spans="1:8">
      <c r="A513" s="11"/>
      <c r="B513" s="11"/>
      <c r="C513" s="11"/>
      <c r="D513" s="11" t="str">
        <f t="shared" si="26"/>
        <v>Espero que disfrutéis del Excel del Mundial de Clubes</v>
      </c>
      <c r="E513" s="11" t="s">
        <v>1656</v>
      </c>
      <c r="F513" s="11"/>
      <c r="G513" s="8" t="s">
        <v>1704</v>
      </c>
      <c r="H513" s="8" t="s">
        <v>1705</v>
      </c>
    </row>
    <row r="514" spans="1:8">
      <c r="A514" s="11"/>
      <c r="B514" s="11"/>
      <c r="C514" s="11"/>
      <c r="D514" s="11"/>
      <c r="E514" s="11"/>
      <c r="F514" s="11"/>
      <c r="G514" s="11"/>
      <c r="H514" s="11"/>
    </row>
    <row r="515" spans="1:8">
      <c r="A515" s="11"/>
      <c r="B515" s="11"/>
      <c r="C515" s="11"/>
      <c r="D515" s="11" t="str">
        <f t="shared" si="26"/>
        <v>Gráfico solo en fase de grupos</v>
      </c>
      <c r="E515" s="11" t="s">
        <v>1656</v>
      </c>
      <c r="F515" s="11"/>
      <c r="G515" s="8" t="s">
        <v>1905</v>
      </c>
      <c r="H515" s="11" t="s">
        <v>1904</v>
      </c>
    </row>
    <row r="1419" spans="4:4">
      <c r="D1419" s="11" t="s">
        <v>1317</v>
      </c>
    </row>
    <row r="1420" spans="4:4">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1640625" defaultRowHeight="14.5"/>
  <cols>
    <col min="1" max="2" width="10.81640625" style="21" hidden="1" customWidth="1"/>
    <col min="3" max="3" width="2.26953125" customWidth="1"/>
    <col min="4" max="4" width="46.1796875" customWidth="1"/>
    <col min="5" max="6" width="12.81640625" customWidth="1"/>
    <col min="7" max="7" width="3.81640625" customWidth="1"/>
    <col min="8" max="8" width="32.1796875" customWidth="1"/>
    <col min="9" max="9" width="26.7265625" bestFit="1" customWidth="1"/>
    <col min="10" max="11" width="2.26953125" customWidth="1"/>
    <col min="12" max="12" width="19" bestFit="1" customWidth="1"/>
    <col min="13" max="20" width="11.26953125" customWidth="1"/>
    <col min="21" max="22" width="10.81640625" customWidth="1"/>
    <col min="23" max="23" width="23.81640625" customWidth="1"/>
    <col min="24" max="24" width="21.26953125" customWidth="1"/>
    <col min="25" max="25" width="24.453125" customWidth="1"/>
    <col min="26" max="26" width="17.81640625" customWidth="1"/>
    <col min="27" max="53" width="10.81640625" customWidth="1"/>
  </cols>
  <sheetData>
    <row r="1" spans="1:53">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 thickBot="1">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 ca="1">SUM(WORLDCUP!AG4:AG147)/104</f>
        <v>1</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 thickBot="1">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62" t="str">
        <f>Idiomas!D484&amp;TEXT($E$5,"dd/mm/aa")&amp;" (Individual)"</f>
        <v>Puntos en juego 11/06/aa (Individual)</v>
      </c>
      <c r="E8" s="463">
        <f ca="1">IFERROR(SUMIF(ADMIN!$G$6:$G$258,$F$5,ADMIN!$F$6:$F$258),"")</f>
        <v>0</v>
      </c>
      <c r="F8" s="464">
        <f ca="1">IFERROR(E8/$B$46,0)</f>
        <v>0</v>
      </c>
      <c r="G8" s="17"/>
      <c r="H8" s="462" t="e" cm="1">
        <f t="array" aca="1" ref="H8:I8" ca="1">_xlfn.SORTBY(OFFSET($Y$35,0,0,COUNTA(_xlfn.ANCHORARRAY($Y$35)),2),OFFSET(Z35,0,0,COUNTA(_xlfn.ANCHORARRAY($Y$35))),-1)</f>
        <v>#NAME?</v>
      </c>
      <c r="I8" s="712" t="e">
        <f ca="1"/>
        <v>#NAME?</v>
      </c>
      <c r="J8" s="713"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65" t="str">
        <f>Idiomas!D485&amp;TEXT($E$5,"dd/mm/aa")&amp;" (Individual)"</f>
        <v>Máximo de puntos hasta 11/06/aa (Individual)</v>
      </c>
      <c r="E9" s="463">
        <f ca="1">IFERROR(SUMIF($A$22:$A$45,"&lt;"&amp;$F$5,$B$22:$B$45),"")</f>
        <v>0</v>
      </c>
      <c r="F9" s="464">
        <f ca="1">IFERROR(E9/$B$46,0)</f>
        <v>0</v>
      </c>
      <c r="G9" s="17"/>
      <c r="H9" s="465"/>
      <c r="I9" s="712"/>
      <c r="J9" s="713"/>
      <c r="K9" s="412"/>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62" t="str">
        <f>Idiomas!D486&amp;TEXT($E$5,"dd/mm/aa")&amp;" (Individual)"</f>
        <v>Máximo de puntos incluido 11/06/aa (Individual)</v>
      </c>
      <c r="E10" s="463">
        <f ca="1">IFERROR(SUMIF($A$22:$A$45,"&lt;="&amp;$F$5,$B$22:$B$45),"")</f>
        <v>0</v>
      </c>
      <c r="F10" s="464">
        <f ca="1">IFERROR(E10/$B$46,0)</f>
        <v>0</v>
      </c>
      <c r="G10" s="17"/>
      <c r="H10" s="462"/>
      <c r="I10" s="712"/>
      <c r="J10" s="713"/>
      <c r="K10" s="412"/>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65" t="str">
        <f>Idiomas!D487&amp;" (Individual)"</f>
        <v>Quedan por repartir:  (Individual)</v>
      </c>
      <c r="E11" s="463">
        <f ca="1">IFERROR(SUMIF($A$22:$A$45,"&gt;"&amp;$F$5,$B$22:$B$45),0)</f>
        <v>0</v>
      </c>
      <c r="F11" s="464">
        <f ca="1">IFERROR(1-F10,0)</f>
        <v>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62" t="str">
        <f>Idiomas!D488</f>
        <v>Puntos máximos totales a repartir hoy (Global):</v>
      </c>
      <c r="E12" s="463">
        <f ca="1">IFERROR($E$8*ADMIN!$D$5,0)</f>
        <v>0</v>
      </c>
      <c r="F12" s="464">
        <f ca="1">IFERROR(E12/B47,0)</f>
        <v>0</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65" t="str">
        <f>Idiomas!D489</f>
        <v>Puntos repartidos hoy (Global)</v>
      </c>
      <c r="E13" s="463">
        <f ca="1">IFERROR(SUM(DailyClas!$G$4:INDEX(DailyClas!$G$4:$G$63,ADMIN!$D$5)),0)</f>
        <v>0</v>
      </c>
      <c r="F13" s="464">
        <f ca="1">IFERROR(E13/E12,0)</f>
        <v>0</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62" t="str">
        <f>Idiomas!D490&amp;TEXT($E$5,"dd/mm/aa")&amp;"?"</f>
        <v>¿Cúantos han acertado el máximo de puntos 11/06/aa?</v>
      </c>
      <c r="E14" s="463">
        <f>IFERROR(IF(SUM(ADMIN!$D$8:$D$47)=0,0,COUNTIF(DailyClas!$G$4:INDEX(DailyClas!$G:$G,ADMIN!$D$5+3),Stats!E8)),0)</f>
        <v>0</v>
      </c>
      <c r="F14" s="464">
        <f>IFERROR(E14/ADMIN!$D$5,0)</f>
        <v>0</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65" t="str">
        <f>Idiomas!D491&amp;TEXT($E$5,"dd/mm/aa")&amp;"?"</f>
        <v>¿Cúantos se han llevado algún punto 11/06/aa?</v>
      </c>
      <c r="E15" s="463">
        <f ca="1">IFERROR(COUNTIF(DailyClas!$G$4:INDEX(DailyClas!$G$4:$G$63,ADMIN!$D$5),"&gt;0"),0)</f>
        <v>0</v>
      </c>
      <c r="F15" s="464">
        <f ca="1">IFERROR(E15/ADMIN!$D$5,0)</f>
        <v>0</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62" t="str">
        <f>Idiomas!D492&amp;TEXT($E$5,"dd/mm/aa")&amp;"?"</f>
        <v>¿Cúantos no han acertado nada 11/06/aa?</v>
      </c>
      <c r="E16" s="463">
        <f>IFERROR(IF(SUM(ADMIN!$D$8:$D$47)=0,0,COUNTIF(DailyClas!$G$4:INDEX(DailyClas!$G$4:$G$63,ADMIN!$D$5),0)),0)</f>
        <v>0</v>
      </c>
      <c r="F16" s="464">
        <f>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66" t="str">
        <f>Idiomas!D493&amp;TEXT($E$5,"dd/mm/aa")&amp;"?"</f>
        <v>Media de puntos sumados 11/06/aa?</v>
      </c>
      <c r="E17" s="467">
        <f ca="1">IFERROR(AVERAGE(DailyClas!$G$4:INDEX(DailyClas!$G$4:$G$63,ADMIN!$D$5)),0)</f>
        <v>0</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0</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0</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0</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0</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0</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0</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0</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0</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0</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0</v>
      </c>
      <c r="C34" s="17"/>
      <c r="D34" s="25">
        <f ca="1">IFERROR(IF(OR(AND($F$5&lt;19,LEFT($H$8,1)="1"),AND($F$5&lt;19,LEFT($H$8,1)="2"),AND($F$5&lt;19,LEFT($H$8,1)="X")),1,0),0)</f>
        <v>0</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c r="A35" s="25">
        <v>14</v>
      </c>
      <c r="B35" s="25">
        <f ca="1">IFERROR(SUMIF(ADMIN!$G$6:$G$258,A35,ADMIN!$F$6:$F$258),"")</f>
        <v>0</v>
      </c>
      <c r="C35" s="17"/>
      <c r="D35" s="25">
        <v>1</v>
      </c>
      <c r="E35" s="25" t="e">
        <f ca="1">SUMIFS(_xlfn.ANCHORARRAY($Z$35),_xlfn.ANCHORARRAY($AH$35),D35)</f>
        <v>#NAME?</v>
      </c>
      <c r="F35" s="25">
        <f ca="1">IFERROR(E35/SUM($E$35:E37),0)</f>
        <v>0</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t="str" cm="1">
        <f t="array" aca="1" ref="W35" ca="1">IFERROR(IF(_xlfn.ANCHORARRAY(Y35)&lt;&gt;"",COUNTIF(INDEX(DailyPrediction!$G$4:$AQ$58,,MATCH(Stats!$I$5,DailyPrediction!$G$2:$AQ$2,0)),_xlfn.ANCHORARRAY(Y35)),""),"")</f>
        <v/>
      </c>
      <c r="X35" s="11" t="str" cm="1">
        <f t="array" aca="1" ref="X35" ca="1">IFERROR(_xlfn._xlws.SORT(_xlfn.UNIQUE(_xlfn._xlws.FILTER(INDEX(DailyPrediction!$G$4:$AQ$58,,MATCH(Stats!$I$5,DailyPrediction!$G$2:$AQ$2,0)),LEN(INDEX(DailyPrediction!$G$4:$AQ$58,,MATCH(Stats!$I$5,DailyPrediction!$G$2:$AQ$2,0)))&gt;1))),Idiomas!D501)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e" cm="1">
        <f t="array" aca="1" ref="AC35:AE35" ca="1">_xlfn.SORTBY(OFFSET($Y$35,0,0,COUNTA(_xlfn.ANCHORARRAY($Y$35)),3),OFFSET(Z35,0,0,COUNTA(_xlfn.ANCHORARRAY($Y$35))),-1)</f>
        <v>#NAME?</v>
      </c>
      <c r="AD35" s="11" t="e">
        <f ca="1"/>
        <v>#NAME?</v>
      </c>
      <c r="AE35" s="11" t="e">
        <f ca="1"/>
        <v>#NAME?</v>
      </c>
      <c r="AF35" s="11"/>
      <c r="AG35" s="11" t="e" cm="1">
        <f t="array" aca="1" ref="AG35" ca="1">_xlfn.UNIQUE(_xlfn._xlws.FILTER(DailyPrediction!$A$4:$A$35,DailyPrediction!$A$4:$A$35&lt;&gt;""))</f>
        <v>#NAME?</v>
      </c>
      <c r="AH35" s="11" t="e" cm="1">
        <f t="array" aca="1" ref="AH35" ca="1">LEFT(OFFSET(_xlfn.ANCHORARRAY(Y35),0,0,COUNTA(_xlfn.ANCHORARRAY(Y35)),1))</f>
        <v>#NAME?</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#NAME?</v>
      </c>
      <c r="AQ35" s="11"/>
      <c r="AR35" s="11"/>
      <c r="AS35" s="11"/>
      <c r="AT35" s="11"/>
      <c r="AU35" s="11"/>
      <c r="AV35" s="11"/>
      <c r="AW35" s="11"/>
      <c r="AX35" s="11"/>
      <c r="AY35" s="11"/>
      <c r="AZ35" s="11"/>
      <c r="BA35" s="11"/>
    </row>
    <row r="36" spans="1:53" ht="15" customHeight="1">
      <c r="A36" s="25">
        <v>15</v>
      </c>
      <c r="B36" s="25">
        <f ca="1">IFERROR(SUMIF(ADMIN!$G$6:$G$258,A36,ADMIN!$F$6:$F$258),"")</f>
        <v>0</v>
      </c>
      <c r="C36" s="17"/>
      <c r="D36" s="25" t="s">
        <v>13</v>
      </c>
      <c r="E36" s="25" t="e">
        <f ca="1">SUMIFS(_xlfn.ANCHORARRAY($Z$35),_xlfn.ANCHORARRAY($AH$35),D36)</f>
        <v>#NAME?</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0</v>
      </c>
      <c r="C37" s="17"/>
      <c r="D37" s="25">
        <v>2</v>
      </c>
      <c r="E37" s="25" t="e">
        <f ca="1">SUMIFS(_xlfn.ANCHORARRAY($Z$35),_xlfn.ANCHORARRAY($AH$35),D37)</f>
        <v>#NAME?</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0</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0</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0</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0</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0</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0</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0</v>
      </c>
      <c r="C45" s="17"/>
      <c r="D45" s="461"/>
      <c r="E45" s="461" t="str">
        <f ca="1">IF(Home!E41&lt;Home!E42,"",IF(Home!E41&gt;=Home!E42,Idiomas!D511&amp;" "&amp;SUM(WORLDCUP!$BJ$6:$BJ$53,WORLDCUP!$AC$101:$AD$147)&amp;" "&amp;Idiomas!D512,""))</f>
        <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11">
        <f ca="1">SUM(B22:B45)</f>
        <v>0</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 thickBot="1">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21" priority="4">
      <formula>IF(AND($I8=$J8,$I8&lt;&gt;""),1,0)</formula>
    </cfRule>
  </conditionalFormatting>
  <conditionalFormatting sqref="H8:I31">
    <cfRule type="expression" dxfId="20" priority="1">
      <formula>IF(AND($I8=$K8,$I8&lt;&gt;""),1,0)</formula>
    </cfRule>
  </conditionalFormatting>
  <conditionalFormatting sqref="H31:I31">
    <cfRule type="expression" dxfId="19"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26953125" style="20" customWidth="1"/>
    <col min="2" max="2" width="2.7265625" style="8" customWidth="1"/>
    <col min="3" max="3" width="5.7265625" style="1" bestFit="1" customWidth="1"/>
    <col min="4" max="5" width="3.26953125" style="1" customWidth="1"/>
    <col min="6" max="6" width="6.1796875" style="1" customWidth="1"/>
    <col min="7" max="7" width="2.453125" style="1" bestFit="1" customWidth="1"/>
    <col min="8" max="9" width="3.81640625" style="1" customWidth="1"/>
    <col min="10" max="10" width="4.453125" style="1" customWidth="1"/>
    <col min="11" max="11" width="4.81640625" style="1" customWidth="1"/>
    <col min="12" max="12" width="3.26953125" style="1" hidden="1" customWidth="1"/>
    <col min="13" max="13" width="1.7265625" style="20" customWidth="1"/>
    <col min="14" max="14" width="2.7265625" style="8" customWidth="1"/>
    <col min="15" max="15" width="4.26953125" style="1" bestFit="1" customWidth="1"/>
    <col min="16" max="17" width="3.26953125" style="1" customWidth="1"/>
    <col min="18" max="18" width="5.1796875" style="1" bestFit="1" customWidth="1"/>
    <col min="19" max="19" width="2.453125" style="1" bestFit="1" customWidth="1"/>
    <col min="20" max="20" width="4.26953125" style="1" bestFit="1" customWidth="1"/>
    <col min="21" max="22" width="3.7265625" style="1" customWidth="1"/>
    <col min="23" max="23" width="4.81640625" style="1" customWidth="1"/>
    <col min="24" max="24" width="4.26953125" style="20" hidden="1" customWidth="1"/>
    <col min="25" max="25" width="2.81640625" style="8" customWidth="1"/>
    <col min="26" max="26" width="7.453125" style="8" bestFit="1" customWidth="1"/>
    <col min="27" max="27" width="5.81640625" style="1" customWidth="1"/>
    <col min="28" max="29" width="4.26953125" style="1" customWidth="1"/>
    <col min="30" max="30" width="2.81640625" style="8" customWidth="1"/>
    <col min="31" max="31" width="5.81640625" style="1" customWidth="1"/>
    <col min="32" max="33" width="4.26953125" style="1" customWidth="1"/>
    <col min="34" max="34" width="2.81640625" style="8" customWidth="1"/>
    <col min="35" max="35" width="5.81640625" style="1" customWidth="1"/>
    <col min="36" max="37" width="4.26953125" style="1" customWidth="1"/>
    <col min="38" max="38" width="2.81640625" style="8" customWidth="1"/>
    <col min="39" max="39" width="5.81640625" style="1" customWidth="1"/>
    <col min="40" max="41" width="4.26953125" style="1" customWidth="1"/>
    <col min="42" max="42" width="2.81640625" style="8" customWidth="1"/>
    <col min="43" max="43" width="5.81640625" style="1" customWidth="1"/>
    <col min="44" max="45" width="4.26953125" style="1" customWidth="1"/>
    <col min="46" max="46" width="2.81640625" style="8" customWidth="1"/>
    <col min="47" max="47" width="5.81640625" style="1" customWidth="1"/>
    <col min="48" max="49" width="4.26953125" style="1" customWidth="1"/>
    <col min="50" max="50" width="4" style="1" bestFit="1" customWidth="1"/>
    <col min="51" max="51" width="3.26953125" style="1" customWidth="1"/>
    <col min="52" max="54" width="7.81640625" style="1" customWidth="1"/>
    <col min="55" max="55" width="3.26953125" style="1" customWidth="1"/>
    <col min="56" max="58" width="2.453125" style="1" bestFit="1" customWidth="1"/>
    <col min="59" max="59" width="18.453125" style="1" customWidth="1"/>
    <col min="60" max="67" width="4.81640625" style="1" customWidth="1"/>
    <col min="68" max="68" width="10.81640625" style="1" customWidth="1"/>
    <col min="69" max="16384" width="10.81640625" style="1" hidden="1"/>
  </cols>
  <sheetData>
    <row r="1" spans="1:67" ht="8.15" customHeight="1">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5" thickBot="1">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1</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f>IF(ISBLANK(INDEX(WORLDCUP!$AC$4:$AC$147,MATCH(M3,WORLDCUP!$AH$4:$AH$147,0))),"",INDEX(WORLDCUP!$AC$4:$AC$147,MATCH(M3,WORLDCUP!$AH$4:$AH$147,0)))</f>
        <v>2</v>
      </c>
      <c r="Q3" s="511">
        <f>IF(ISBLANK(INDEX(WORLDCUP!$AD$4:$AD$147,MATCH(M3,WORLDCUP!$AH$4:$AH$147,0))),"",INDEX(WORLDCUP!$AD$4:$AD$147,MATCH(M3,WORLDCUP!$AH$4:$AH$147,0)))</f>
        <v>0</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Ale</v>
      </c>
      <c r="AB3" s="520">
        <f>+IF(ISBLANK(INDEX(WORLDCUP!$AC$101:$AC$147,MATCH(Y3,WORLDCUP!$Z$101:$Z$147,0))),"",INDEX(WORLDCUP!$AC$101:$AC$147,MATCH(Y3,WORLDCUP!$Z$101:$Z$147,0)))</f>
        <v>1</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5" thickBot="1">
      <c r="A4" s="19">
        <v>2</v>
      </c>
      <c r="B4" s="536"/>
      <c r="C4" s="537" t="str">
        <f ca="1">+MID(INDEX(WORLDCUP!$AA$4:$AA$147,MATCH(A4,WORLDCUP!$AH$4:$AH$147,0)),1,3)</f>
        <v>Cor</v>
      </c>
      <c r="D4" s="538">
        <f>IF(ISBLANK(INDEX(WORLDCUP!$AC$4:$AC$147,MATCH(A4,WORLDCUP!$AH$4:$AH$147,0))),"",INDEX(WORLDCUP!$AC$4:$AC$147,MATCH(A4,WORLDCUP!$AH$4:$AH$147,0)))</f>
        <v>1</v>
      </c>
      <c r="E4" s="538">
        <f>IF(ISBLANK(INDEX(WORLDCUP!$AD$4:$AD$147,MATCH(A4,WORLDCUP!$AH$4:$AH$147,0))),"",INDEX(WORLDCUP!$AD$4:$AD$147,MATCH(A4,WORLDCUP!$AH$4:$AH$147,0)))</f>
        <v>0</v>
      </c>
      <c r="F4" s="539" t="str">
        <f ca="1">+MID(INDEX(WORLDCUP!$AF$4:$AF$147,MATCH(A4,WORLDCUP!$AH$4:$AH$147,0)),1,3)</f>
        <v>Rep</v>
      </c>
      <c r="G4" s="540">
        <v>1</v>
      </c>
      <c r="H4" s="541" t="str">
        <f ca="1">+MID(INDEX(WORLDCUP!$AL$6:$AL$97,MATCH(L4,WORLDCUP!$AI$6:$AI$97,0)),1,3)</f>
        <v>Méx</v>
      </c>
      <c r="I4" s="542">
        <f ca="1">+INDEX(WORLDCUP!$AM$6:$AM$97,MATCH(L4,WORLDCUP!$AI$6:$AI$97,0))</f>
        <v>7</v>
      </c>
      <c r="J4" s="543">
        <f ca="1">+INDEX(WORLDCUP!$AT$6:$AT$97,MATCH(L4,WORLDCUP!$AI$6:$AI$97,0))</f>
        <v>2</v>
      </c>
      <c r="K4" s="544" t="str">
        <f ca="1">+INDEX(WORLDCUP!$AR$6:$AR$97,MATCH(L4,WORLDCUP!$AI$6:$AI$97,0))&amp;"-"&amp;INDEX(WORLDCUP!$AS$6:$AS$97,MATCH(L4,WORLDCUP!$AI$6:$AI$97,0))</f>
        <v>4-2</v>
      </c>
      <c r="L4" s="19" t="s">
        <v>645</v>
      </c>
      <c r="M4" s="19">
        <v>15</v>
      </c>
      <c r="N4" s="545"/>
      <c r="O4" s="537" t="str">
        <f ca="1">+MID(INDEX(WORLDCUP!$AA$4:$AA$147,MATCH(M4,WORLDCUP!$AH$4:$AH$147,0)),1,3)</f>
        <v>Irá</v>
      </c>
      <c r="P4" s="538">
        <f>IF(ISBLANK(INDEX(WORLDCUP!$AC$4:$AC$147,MATCH(M4,WORLDCUP!$AH$4:$AH$147,0))),"",INDEX(WORLDCUP!$AC$4:$AC$147,MATCH(M4,WORLDCUP!$AH$4:$AH$147,0)))</f>
        <v>2</v>
      </c>
      <c r="Q4" s="538">
        <f>IF(ISBLANK(INDEX(WORLDCUP!$AD$4:$AD$147,MATCH(M4,WORLDCUP!$AH$4:$AH$147,0))),"",INDEX(WORLDCUP!$AD$4:$AD$147,MATCH(M4,WORLDCUP!$AH$4:$AH$147,0)))</f>
        <v>1</v>
      </c>
      <c r="R4" s="539" t="str">
        <f ca="1">+MID(INDEX(WORLDCUP!$AF$4:$AF$147,MATCH(M4,WORLDCUP!$AH$4:$AH$147,0)),1,3)</f>
        <v>Nue</v>
      </c>
      <c r="S4" s="540">
        <v>1</v>
      </c>
      <c r="T4" s="541" t="str">
        <f ca="1">+MID(INDEX(WORLDCUP!$AL$6:$AL$97,MATCH(X4,WORLDCUP!$AI$6:$AI$97,0)),1,3)</f>
        <v>Bél</v>
      </c>
      <c r="U4" s="542">
        <f ca="1">+INDEX(WORLDCUP!$AM$6:$AM$97,MATCH(X4,WORLDCUP!$AI$6:$AI$97,0))</f>
        <v>9</v>
      </c>
      <c r="V4" s="543">
        <f ca="1">+INDEX(WORLDCUP!$AT$6:$AT$97,MATCH(X4,WORLDCUP!$AI$6:$AI$97,0))</f>
        <v>7</v>
      </c>
      <c r="W4" s="544" t="str">
        <f ca="1">+INDEX(WORLDCUP!$AR$6:$AR$97,MATCH(X4,WORLDCUP!$AI$6:$AI$97,0))&amp;"-"&amp;INDEX(WORLDCUP!$AS$6:$AS$97,MATCH(X4,WORLDCUP!$AI$6:$AI$97,0))</f>
        <v>8-1</v>
      </c>
      <c r="X4" s="19" t="s">
        <v>667</v>
      </c>
      <c r="Y4" s="19">
        <v>74</v>
      </c>
      <c r="Z4" s="518" t="s">
        <v>722</v>
      </c>
      <c r="AA4" s="519" t="str">
        <f ca="1">+MID(INDEX(WORLDCUP!$AF$101:$AF$147,MATCH(Y4,WORLDCUP!$Z$101:$Z$147,0)),1,IF(WORLDCUP!$H$113&lt;144,6,3))</f>
        <v>Par</v>
      </c>
      <c r="AB4" s="546">
        <f>+IF(ISBLANK(INDEX(WORLDCUP!$AD$101:$AD$147,MATCH(Y4,WORLDCUP!$Z$101:$Z$147,0))),"",INDEX(WORLDCUP!$AD$101:$AD$147,MATCH(Y4,WORLDCUP!$Z$101:$Z$147,0)))</f>
        <v>0</v>
      </c>
      <c r="AC4" s="547" t="str">
        <f>+IF(ISBLANK(INDEX(WORLDCUP!$AE$101:$AE$147,MATCH(Y4,WORLDCUP!$Z$101:$Z$147,0))),"","( "&amp;INDEX(WORLDCUP!$AE$101:$AE$147,MATCH(Y4,WORLDCUP!$Z$101:$Z$147,0))&amp;" )")</f>
        <v/>
      </c>
      <c r="AD4" s="548">
        <v>89</v>
      </c>
      <c r="AE4" s="549" t="str">
        <f ca="1">+MID(INDEX(WORLDCUP!$AA$101:$AA$147,MATCH(AD4,WORLDCUP!$Z$101:$Z$147,0)),1,3)</f>
        <v>Ale</v>
      </c>
      <c r="AF4" s="550">
        <f>+IF(ISBLANK(INDEX(WORLDCUP!$AC$101:$AC$147,MATCH(AD4,WORLDCUP!$Z$101:$Z$147,0))),"",INDEX(WORLDCUP!$AC$101:$AC$147,MATCH(AD4,WORLDCUP!$Z$101:$Z$147,0)))</f>
        <v>2</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0</v>
      </c>
      <c r="BI4" s="556">
        <f ca="1">COUNTIF(ADMIN!$M$130:$M$161,Fixture!BG4)-BJ4-BK4-BL4-BM4-BN4-BO4</f>
        <v>0</v>
      </c>
      <c r="BJ4" s="557">
        <f ca="1">COUNTIF(ADMIN!$M$182:$M$197,Fixture!BG4)-BK4-BL4-BM4-BN4-BO4</f>
        <v>1</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c r="A5" s="19">
        <v>25</v>
      </c>
      <c r="B5" s="536"/>
      <c r="C5" s="537" t="str">
        <f ca="1">+MID(INDEX(WORLDCUP!$AA$4:$AA$147,MATCH(A5,WORLDCUP!$AH$4:$AH$147,0)),1,3)</f>
        <v>Rep</v>
      </c>
      <c r="D5" s="538">
        <f>IF(ISBLANK(INDEX(WORLDCUP!$AC$4:$AC$147,MATCH(A5,WORLDCUP!$AH$4:$AH$147,0))),"",INDEX(WORLDCUP!$AC$4:$AC$147,MATCH(A5,WORLDCUP!$AH$4:$AH$147,0)))</f>
        <v>2</v>
      </c>
      <c r="E5" s="538">
        <f>IF(ISBLANK(INDEX(WORLDCUP!$AD$4:$AD$147,MATCH(A5,WORLDCUP!$AH$4:$AH$147,0))),"",INDEX(WORLDCUP!$AD$4:$AD$147,MATCH(A5,WORLDCUP!$AH$4:$AH$147,0)))</f>
        <v>0</v>
      </c>
      <c r="F5" s="539" t="str">
        <f ca="1">+MID(INDEX(WORLDCUP!$AF$4:$AF$147,MATCH(A5,WORLDCUP!$AH$4:$AH$147,0)),1,3)</f>
        <v>Sud</v>
      </c>
      <c r="G5" s="560">
        <v>2</v>
      </c>
      <c r="H5" s="561" t="str">
        <f ca="1">+MID(INDEX(WORLDCUP!$AL$6:$AL$97,MATCH(L5,WORLDCUP!$AI$6:$AI$97,0)),1,3)</f>
        <v>Cor</v>
      </c>
      <c r="I5" s="229">
        <f ca="1">+INDEX(WORLDCUP!$AM$6:$AM$97,MATCH(L5,WORLDCUP!$AI$6:$AI$97,0))</f>
        <v>7</v>
      </c>
      <c r="J5" s="230">
        <f ca="1">+INDEX(WORLDCUP!$AT$6:$AT$97,MATCH(L5,WORLDCUP!$AI$6:$AI$97,0))</f>
        <v>2</v>
      </c>
      <c r="K5" s="231" t="str">
        <f ca="1">+INDEX(WORLDCUP!$AR$6:$AR$97,MATCH(L5,WORLDCUP!$AI$6:$AI$97,0))&amp;"-"&amp;INDEX(WORLDCUP!$AS$6:$AS$97,MATCH(L5,WORLDCUP!$AI$6:$AI$97,0))</f>
        <v>4-2</v>
      </c>
      <c r="L5" s="19" t="s">
        <v>646</v>
      </c>
      <c r="M5" s="19">
        <v>39</v>
      </c>
      <c r="N5" s="545"/>
      <c r="O5" s="537" t="str">
        <f ca="1">+MID(INDEX(WORLDCUP!$AA$4:$AA$147,MATCH(M5,WORLDCUP!$AH$4:$AH$147,0)),1,3)</f>
        <v>Bél</v>
      </c>
      <c r="P5" s="538">
        <f>IF(ISBLANK(INDEX(WORLDCUP!$AC$4:$AC$147,MATCH(M5,WORLDCUP!$AH$4:$AH$147,0))),"",INDEX(WORLDCUP!$AC$4:$AC$147,MATCH(M5,WORLDCUP!$AH$4:$AH$147,0)))</f>
        <v>2</v>
      </c>
      <c r="Q5" s="538">
        <f>IF(ISBLANK(INDEX(WORLDCUP!$AD$4:$AD$147,MATCH(M5,WORLDCUP!$AH$4:$AH$147,0))),"",INDEX(WORLDCUP!$AD$4:$AD$147,MATCH(M5,WORLDCUP!$AH$4:$AH$147,0)))</f>
        <v>0</v>
      </c>
      <c r="R5" s="539" t="str">
        <f ca="1">+MID(INDEX(WORLDCUP!$AF$4:$AF$147,MATCH(M5,WORLDCUP!$AH$4:$AH$147,0)),1,3)</f>
        <v>Irá</v>
      </c>
      <c r="S5" s="560">
        <v>2</v>
      </c>
      <c r="T5" s="561" t="str">
        <f ca="1">+MID(INDEX(WORLDCUP!$AL$6:$AL$97,MATCH(X5,WORLDCUP!$AI$6:$AI$97,0)),1,3)</f>
        <v>Irá</v>
      </c>
      <c r="U5" s="229">
        <f ca="1">+INDEX(WORLDCUP!$AM$6:$AM$97,MATCH(X5,WORLDCUP!$AI$6:$AI$97,0))</f>
        <v>4</v>
      </c>
      <c r="V5" s="230">
        <f ca="1">+INDEX(WORLDCUP!$AT$6:$AT$97,MATCH(X5,WORLDCUP!$AI$6:$AI$97,0))</f>
        <v>-1</v>
      </c>
      <c r="W5" s="231" t="str">
        <f ca="1">+INDEX(WORLDCUP!$AR$6:$AR$97,MATCH(X5,WORLDCUP!$AI$6:$AI$97,0))&amp;"-"&amp;INDEX(WORLDCUP!$AS$6:$AS$97,MATCH(X5,WORLDCUP!$AI$6:$AI$97,0))</f>
        <v>3-4</v>
      </c>
      <c r="X5" s="19" t="s">
        <v>668</v>
      </c>
      <c r="Y5" s="19"/>
      <c r="Z5" s="518"/>
      <c r="AA5" s="562"/>
      <c r="AB5" s="562"/>
      <c r="AC5" s="563"/>
      <c r="AD5" s="19">
        <v>89</v>
      </c>
      <c r="AE5" s="549" t="str">
        <f ca="1">+MID(INDEX(WORLDCUP!$AF$101:$AF$147,MATCH(AD5,WORLDCUP!$Z$101:$Z$147,0)),1,3)</f>
        <v>Fra</v>
      </c>
      <c r="AF5" s="550">
        <f>+IF(ISBLANK(INDEX(WORLDCUP!$AD$101:$AD$147,MATCH(AD5,WORLDCUP!$Z$101:$Z$147,0))),"",INDEX(WORLDCUP!$AD$101:$AD$147,MATCH(AD5,WORLDCUP!$Z$101:$Z$147,0)))</f>
        <v>3</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5" thickBot="1">
      <c r="A6" s="19">
        <v>28</v>
      </c>
      <c r="B6" s="536"/>
      <c r="C6" s="537" t="str">
        <f ca="1">+MID(INDEX(WORLDCUP!$AA$4:$AA$147,MATCH(A6,WORLDCUP!$AH$4:$AH$147,0)),1,3)</f>
        <v>Méx</v>
      </c>
      <c r="D6" s="538">
        <f>IF(ISBLANK(INDEX(WORLDCUP!$AC$4:$AC$147,MATCH(A6,WORLDCUP!$AH$4:$AH$147,0))),"",INDEX(WORLDCUP!$AC$4:$AC$147,MATCH(A6,WORLDCUP!$AH$4:$AH$147,0)))</f>
        <v>1</v>
      </c>
      <c r="E6" s="538">
        <f>IF(ISBLANK(INDEX(WORLDCUP!$AD$4:$AD$147,MATCH(A6,WORLDCUP!$AH$4:$AH$147,0))),"",INDEX(WORLDCUP!$AD$4:$AD$147,MATCH(A6,WORLDCUP!$AH$4:$AH$147,0)))</f>
        <v>1</v>
      </c>
      <c r="F6" s="539" t="str">
        <f ca="1">+MID(INDEX(WORLDCUP!$AF$4:$AF$147,MATCH(A6,WORLDCUP!$AH$4:$AH$147,0)),1,3)</f>
        <v>Cor</v>
      </c>
      <c r="G6" s="560">
        <v>3</v>
      </c>
      <c r="H6" s="561" t="str">
        <f ca="1">+MID(INDEX(WORLDCUP!$AL$6:$AL$97,MATCH(L6,WORLDCUP!$AI$6:$AI$97,0)),1,3)</f>
        <v>Rep</v>
      </c>
      <c r="I6" s="229">
        <f ca="1">+INDEX(WORLDCUP!$AM$6:$AM$97,MATCH(L6,WORLDCUP!$AI$6:$AI$97,0))</f>
        <v>3</v>
      </c>
      <c r="J6" s="230">
        <f ca="1">+INDEX(WORLDCUP!$AT$6:$AT$97,MATCH(L6,WORLDCUP!$AI$6:$AI$97,0))</f>
        <v>0</v>
      </c>
      <c r="K6" s="231" t="str">
        <f ca="1">+INDEX(WORLDCUP!$AR$6:$AR$97,MATCH(L6,WORLDCUP!$AI$6:$AI$97,0))&amp;"-"&amp;INDEX(WORLDCUP!$AS$6:$AS$97,MATCH(L6,WORLDCUP!$AI$6:$AI$97,0))</f>
        <v>2-2</v>
      </c>
      <c r="L6" s="19" t="s">
        <v>89</v>
      </c>
      <c r="M6" s="19">
        <v>40</v>
      </c>
      <c r="N6" s="545"/>
      <c r="O6" s="537" t="str">
        <f ca="1">+MID(INDEX(WORLDCUP!$AA$4:$AA$147,MATCH(M6,WORLDCUP!$AH$4:$AH$147,0)),1,3)</f>
        <v>Nue</v>
      </c>
      <c r="P6" s="538">
        <f>IF(ISBLANK(INDEX(WORLDCUP!$AC$4:$AC$147,MATCH(M6,WORLDCUP!$AH$4:$AH$147,0))),"",INDEX(WORLDCUP!$AC$4:$AC$147,MATCH(M6,WORLDCUP!$AH$4:$AH$147,0)))</f>
        <v>2</v>
      </c>
      <c r="Q6" s="538">
        <f>IF(ISBLANK(INDEX(WORLDCUP!$AD$4:$AD$147,MATCH(M6,WORLDCUP!$AH$4:$AH$147,0))),"",INDEX(WORLDCUP!$AD$4:$AD$147,MATCH(M6,WORLDCUP!$AH$4:$AH$147,0)))</f>
        <v>2</v>
      </c>
      <c r="R6" s="539" t="str">
        <f ca="1">+MID(INDEX(WORLDCUP!$AF$4:$AF$147,MATCH(M6,WORLDCUP!$AH$4:$AH$147,0)),1,3)</f>
        <v>Egi</v>
      </c>
      <c r="S6" s="560">
        <v>3</v>
      </c>
      <c r="T6" s="561" t="str">
        <f ca="1">+MID(INDEX(WORLDCUP!$AL$6:$AL$97,MATCH(X6,WORLDCUP!$AI$6:$AI$97,0)),1,3)</f>
        <v>Egi</v>
      </c>
      <c r="U6" s="229">
        <f ca="1">+INDEX(WORLDCUP!$AM$6:$AM$97,MATCH(X6,WORLDCUP!$AI$6:$AI$97,0))</f>
        <v>2</v>
      </c>
      <c r="V6" s="230">
        <f ca="1">+INDEX(WORLDCUP!$AT$6:$AT$97,MATCH(X6,WORLDCUP!$AI$6:$AI$97,0))</f>
        <v>-2</v>
      </c>
      <c r="W6" s="231" t="str">
        <f ca="1">+INDEX(WORLDCUP!$AR$6:$AR$97,MATCH(X6,WORLDCUP!$AI$6:$AI$97,0))&amp;"-"&amp;INDEX(WORLDCUP!$AS$6:$AS$97,MATCH(X6,WORLDCUP!$AI$6:$AI$97,0))</f>
        <v>3-5</v>
      </c>
      <c r="X6" s="19" t="s">
        <v>435</v>
      </c>
      <c r="Y6" s="19">
        <v>77</v>
      </c>
      <c r="Z6" s="518" t="s">
        <v>673</v>
      </c>
      <c r="AA6" s="519" t="str">
        <f ca="1">+MID(INDEX(WORLDCUP!$AA$101:$AA$147,MATCH(Y6,WORLDCUP!$Z$101:$Z$147,0)),1,3)</f>
        <v>Fra</v>
      </c>
      <c r="AB6" s="565">
        <f>+IF(ISBLANK(INDEX(WORLDCUP!$AC$101:$AC$147,MATCH(Y6,WORLDCUP!$Z$101:$Z$147,0))),"",INDEX(WORLDCUP!$AC$101:$AC$147,MATCH(Y6,WORLDCUP!$Z$101:$Z$147,0)))</f>
        <v>3</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5" thickBot="1">
      <c r="A7" s="19">
        <v>53</v>
      </c>
      <c r="B7" s="536"/>
      <c r="C7" s="537" t="str">
        <f ca="1">+MID(INDEX(WORLDCUP!$AA$4:$AA$147,MATCH(A7,WORLDCUP!$AH$4:$AH$147,0)),1,3)</f>
        <v>Rep</v>
      </c>
      <c r="D7" s="538">
        <f>IF(ISBLANK(INDEX(WORLDCUP!$AC$4:$AC$147,MATCH(A7,WORLDCUP!$AH$4:$AH$147,0))),"",INDEX(WORLDCUP!$AC$4:$AC$147,MATCH(A7,WORLDCUP!$AH$4:$AH$147,0)))</f>
        <v>0</v>
      </c>
      <c r="E7" s="538">
        <f>IF(ISBLANK(INDEX(WORLDCUP!$AD$4:$AD$147,MATCH(A7,WORLDCUP!$AH$4:$AH$147,0))),"",INDEX(WORLDCUP!$AD$4:$AD$147,MATCH(A7,WORLDCUP!$AH$4:$AH$147,0)))</f>
        <v>1</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-4</v>
      </c>
      <c r="K7" s="572" t="str">
        <f ca="1">+INDEX(WORLDCUP!$AR$6:$AR$97,MATCH(L7,WORLDCUP!$AI$6:$AI$97,0))&amp;"-"&amp;INDEX(WORLDCUP!$AS$6:$AS$97,MATCH(L7,WORLDCUP!$AI$6:$AI$97,0))</f>
        <v>2-6</v>
      </c>
      <c r="L7" s="19" t="s">
        <v>647</v>
      </c>
      <c r="M7" s="19">
        <v>63</v>
      </c>
      <c r="N7" s="545"/>
      <c r="O7" s="537" t="str">
        <f ca="1">+MID(INDEX(WORLDCUP!$AA$4:$AA$147,MATCH(M7,WORLDCUP!$AH$4:$AH$147,0)),1,3)</f>
        <v>Egi</v>
      </c>
      <c r="P7" s="538">
        <f>IF(ISBLANK(INDEX(WORLDCUP!$AC$4:$AC$147,MATCH(M7,WORLDCUP!$AH$4:$AH$147,0))),"",INDEX(WORLDCUP!$AC$4:$AC$147,MATCH(M7,WORLDCUP!$AH$4:$AH$147,0)))</f>
        <v>1</v>
      </c>
      <c r="Q7" s="538">
        <f>IF(ISBLANK(INDEX(WORLDCUP!$AD$4:$AD$147,MATCH(M7,WORLDCUP!$AH$4:$AH$147,0))),"",INDEX(WORLDCUP!$AD$4:$AD$147,MATCH(M7,WORLDCUP!$AH$4:$AH$147,0)))</f>
        <v>1</v>
      </c>
      <c r="R7" s="539" t="str">
        <f ca="1">+MID(INDEX(WORLDCUP!$AF$4:$AF$147,MATCH(M7,WORLDCUP!$AH$4:$AH$147,0)),1,3)</f>
        <v>Irá</v>
      </c>
      <c r="S7" s="560">
        <v>4</v>
      </c>
      <c r="T7" s="569" t="str">
        <f ca="1">+MID(INDEX(WORLDCUP!$AL$6:$AL$97,MATCH(X7,WORLDCUP!$AI$6:$AI$97,0)),1,3)</f>
        <v>Nue</v>
      </c>
      <c r="U7" s="570">
        <f ca="1">+INDEX(WORLDCUP!$AM$6:$AM$97,MATCH(X7,WORLDCUP!$AI$6:$AI$97,0))</f>
        <v>1</v>
      </c>
      <c r="V7" s="571">
        <f ca="1">+INDEX(WORLDCUP!$AT$6:$AT$97,MATCH(X7,WORLDCUP!$AI$6:$AI$97,0))</f>
        <v>-4</v>
      </c>
      <c r="W7" s="572" t="str">
        <f ca="1">+INDEX(WORLDCUP!$AR$6:$AR$97,MATCH(X7,WORLDCUP!$AI$6:$AI$97,0))&amp;"-"&amp;INDEX(WORLDCUP!$AS$6:$AS$97,MATCH(X7,WORLDCUP!$AI$6:$AI$97,0))</f>
        <v>4-8</v>
      </c>
      <c r="X7" s="19" t="s">
        <v>669</v>
      </c>
      <c r="Y7" s="19">
        <v>77</v>
      </c>
      <c r="Z7" s="518" t="s">
        <v>723</v>
      </c>
      <c r="AA7" s="573" t="str">
        <f ca="1">+MID(INDEX(WORLDCUP!$AF$101:$AF$147,MATCH(Y7,WORLDCUP!$Z$101:$Z$147,0)),1,IF(WORLDCUP!$H$113&lt;144,6,3))</f>
        <v>Sue</v>
      </c>
      <c r="AB7" s="574">
        <f>+IF(ISBLANK(INDEX(WORLDCUP!$AD$101:$AD$147,MATCH(Y7,WORLDCUP!$Z$101:$Z$147,0))),"",INDEX(WORLDCUP!$AD$101:$AD$147,MATCH(Y7,WORLDCUP!$Z$101:$Z$147,0)))</f>
        <v>2</v>
      </c>
      <c r="AC7" s="575" t="str">
        <f>+IF(ISBLANK(INDEX(WORLDCUP!$AE$101:$AE$147,MATCH(Y7,WORLDCUP!$Z$101:$Z$147,0))),"","( "&amp;INDEX(WORLDCUP!$AE$101:$AE$147,MATCH(Y7,WORLDCUP!$Z$101:$Z$147,0))&amp;" )")</f>
        <v/>
      </c>
      <c r="AD7" s="19"/>
      <c r="AE7" s="567"/>
      <c r="AF7" s="567"/>
      <c r="AG7" s="568"/>
      <c r="AH7" s="548">
        <v>97</v>
      </c>
      <c r="AI7" s="576" t="str">
        <f ca="1">+MID(INDEX(WORLDCUP!$AA$101:$AA$147,MATCH(AH7,WORLDCUP!$Z$101:$Z$147,0)),1,3)</f>
        <v>Fra</v>
      </c>
      <c r="AJ7" s="577">
        <f>+IF(ISBLANK(INDEX(WORLDCUP!$AC$101:$AC$147,MATCH(AH7,WORLDCUP!$Z$101:$Z$147,0))),"",INDEX(WORLDCUP!$AC$101:$AC$147,MATCH(AH7,WORLDCUP!$Z$101:$Z$147,0)))</f>
        <v>1</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0</v>
      </c>
      <c r="BI7" s="556">
        <f ca="1">COUNTIF(ADMIN!$M$130:$M$161,Fixture!BG7)-BJ7-BK7-BL7-BM7-BN7-BO7</f>
        <v>0</v>
      </c>
      <c r="BJ7" s="557">
        <f ca="1">COUNTIF(ADMIN!$M$182:$M$197,Fixture!BG7)-BK7-BL7-BM7-BN7-BO7</f>
        <v>0</v>
      </c>
      <c r="BK7" s="558">
        <f ca="1">COUNTIF(ADMIN!$M$210:$M$217,Fixture!BG7)-BL7-BM7-BN7-BO7</f>
        <v>1</v>
      </c>
      <c r="BL7" s="558">
        <f ca="1">COUNTIF(ADMIN!$M$226:$M$229,BG7)-BM7-BN7-BO7</f>
        <v>0</v>
      </c>
      <c r="BM7" s="556">
        <f ca="1">COUNTIF(ADMIN!$M$252,Fixture!BG7)</f>
        <v>0</v>
      </c>
      <c r="BN7" s="556">
        <f ca="1">COUNTIF(ADMIN!$M$251,Fixture!BG7)</f>
        <v>0</v>
      </c>
      <c r="BO7" s="559">
        <f ca="1">COUNTIF(ADMIN!$M$250,Fixture!BG7)</f>
        <v>0</v>
      </c>
    </row>
    <row r="8" spans="1:67" ht="15" thickBot="1">
      <c r="A8" s="19">
        <v>54</v>
      </c>
      <c r="B8" s="579"/>
      <c r="C8" s="580" t="str">
        <f ca="1">+MID(INDEX(WORLDCUP!$AA$4:$AA$147,MATCH(A8,WORLDCUP!$AH$4:$AH$147,0)),1,3)</f>
        <v>Sud</v>
      </c>
      <c r="D8" s="581">
        <f>IF(ISBLANK(INDEX(WORLDCUP!$AC$4:$AC$147,MATCH(A8,WORLDCUP!$AH$4:$AH$147,0))),"",INDEX(WORLDCUP!$AC$4:$AC$147,MATCH(A8,WORLDCUP!$AH$4:$AH$147,0)))</f>
        <v>1</v>
      </c>
      <c r="E8" s="581">
        <f>IF(ISBLANK(INDEX(WORLDCUP!$AD$4:$AD$147,MATCH(A8,WORLDCUP!$AH$4:$AH$147,0))),"",INDEX(WORLDCUP!$AD$4:$AD$147,MATCH(A8,WORLDCUP!$AH$4:$AH$147,0)))</f>
        <v>2</v>
      </c>
      <c r="F8" s="582" t="str">
        <f ca="1">+MID(INDEX(WORLDCUP!$AF$4:$AF$147,MATCH(A8,WORLDCUP!$AH$4:$AH$147,0)),1,3)</f>
        <v>Cor</v>
      </c>
      <c r="G8" s="583"/>
      <c r="H8" s="583"/>
      <c r="I8" s="584"/>
      <c r="J8" s="584"/>
      <c r="K8" s="585"/>
      <c r="L8" s="19"/>
      <c r="M8" s="19">
        <v>64</v>
      </c>
      <c r="N8" s="586"/>
      <c r="O8" s="580" t="str">
        <f ca="1">+MID(INDEX(WORLDCUP!$AA$4:$AA$147,MATCH(M8,WORLDCUP!$AH$4:$AH$147,0)),1,3)</f>
        <v>Nue</v>
      </c>
      <c r="P8" s="581">
        <f>IF(ISBLANK(INDEX(WORLDCUP!$AC$4:$AC$147,MATCH(M8,WORLDCUP!$AH$4:$AH$147,0))),"",INDEX(WORLDCUP!$AC$4:$AC$147,MATCH(M8,WORLDCUP!$AH$4:$AH$147,0)))</f>
        <v>1</v>
      </c>
      <c r="Q8" s="581">
        <f>IF(ISBLANK(INDEX(WORLDCUP!$AD$4:$AD$147,MATCH(M8,WORLDCUP!$AH$4:$AH$147,0))),"",INDEX(WORLDCUP!$AD$4:$AD$147,MATCH(M8,WORLDCUP!$AH$4:$AH$147,0)))</f>
        <v>4</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 ca="1">+MID(INDEX(WORLDCUP!$AF$101:$AF$147,MATCH(AH8,WORLDCUP!$Z$101:$Z$147,0)),1,3)</f>
        <v>Jap</v>
      </c>
      <c r="AJ8" s="577">
        <f>+IF(ISBLANK(INDEX(WORLDCUP!$AD$101:$AD$147,MATCH(AH8,WORLDCUP!$Z$101:$Z$147,0))),"",INDEX(WORLDCUP!$AD$101:$AD$147,MATCH(AH8,WORLDCUP!$Z$101:$Z$147,0)))</f>
        <v>0</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5" thickBot="1">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Cor</v>
      </c>
      <c r="AB9" s="520">
        <f>+IF(ISBLANK(INDEX(WORLDCUP!$AC$101:$AC$147,MATCH(Y9,WORLDCUP!$Z$101:$Z$147,0))),"",INDEX(WORLDCUP!$AC$101:$AC$147,MATCH(Y9,WORLDCUP!$Z$101:$Z$147,0)))</f>
        <v>2</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0</v>
      </c>
      <c r="BI9" s="556">
        <f ca="1">COUNTIF(ADMIN!$M$130:$M$161,Fixture!BG9)-BJ9-BK9-BL9-BM9-BN9-BO9</f>
        <v>1</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5" thickBot="1">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Bos</v>
      </c>
      <c r="AB10" s="546">
        <f>+IF(ISBLANK(INDEX(WORLDCUP!$AD$101:$AD$147,MATCH(Y10,WORLDCUP!$Z$101:$Z$147,0))),"",INDEX(WORLDCUP!$AD$101:$AD$147,MATCH(Y10,WORLDCUP!$Z$101:$Z$147,0)))</f>
        <v>1</v>
      </c>
      <c r="AC10" s="547" t="str">
        <f>+IF(ISBLANK(INDEX(WORLDCUP!$AE$101:$AE$147,MATCH(Y10,WORLDCUP!$Z$101:$Z$147,0))),"","( "&amp;INDEX(WORLDCUP!$AE$101:$AE$147,MATCH(Y10,WORLDCUP!$Z$101:$Z$147,0))&amp;" )")</f>
        <v/>
      </c>
      <c r="AD10" s="592">
        <v>90</v>
      </c>
      <c r="AE10" s="549" t="str">
        <f ca="1">+MID(INDEX(WORLDCUP!$AA$101:$AA$147,MATCH(AD10,WORLDCUP!$Z$101:$Z$147,0)),1,3)</f>
        <v>Cor</v>
      </c>
      <c r="AF10" s="550">
        <f>+IF(ISBLANK(INDEX(WORLDCUP!$AC$101:$AC$147,MATCH(AD10,WORLDCUP!$Z$101:$Z$147,0))),"",INDEX(WORLDCUP!$AC$101:$AC$147,MATCH(AD10,WORLDCUP!$Z$101:$Z$147,0)))</f>
        <v>1</v>
      </c>
      <c r="AG10" s="593" t="str">
        <f>+IF(ISBLANK(INDEX(WORLDCUP!$AB$101:$AB$147,MATCH(AD10,WORLDCUP!$Z$101:$Z$147,0))),"","( "&amp;INDEX(WORLDCUP!$AB$101:$AB$147,MATCH(AD10,WORLDCUP!$Z$101:$Z$147,0))&amp;" )")</f>
        <v>( 3 )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0</v>
      </c>
      <c r="BI10" s="556">
        <f ca="1">COUNTIF(ADMIN!$M$130:$M$161,Fixture!BG10)-BJ10-BK10-BL10-BM10-BN10-BO10</f>
        <v>0</v>
      </c>
      <c r="BJ10" s="557">
        <f ca="1">COUNTIF(ADMIN!$M$182:$M$197,Fixture!BG10)-BK10-BL10-BM10-BN10-BO10</f>
        <v>0</v>
      </c>
      <c r="BK10" s="558">
        <f ca="1">COUNTIF(ADMIN!$M$210:$M$217,Fixture!BG10)-BL10-BM10-BN10-BO10</f>
        <v>1</v>
      </c>
      <c r="BL10" s="558">
        <f ca="1">COUNTIF(ADMIN!$M$226:$M$229,BG10)-BM10-BN10-BO10</f>
        <v>0</v>
      </c>
      <c r="BM10" s="556">
        <f ca="1">COUNTIF(ADMIN!$M$252,Fixture!BG10)</f>
        <v>0</v>
      </c>
      <c r="BN10" s="556">
        <f ca="1">COUNTIF(ADMIN!$M$251,Fixture!BG10)</f>
        <v>0</v>
      </c>
      <c r="BO10" s="559">
        <f ca="1">COUNTIF(ADMIN!$M$250,Fixture!BG10)</f>
        <v>0</v>
      </c>
    </row>
    <row r="11" spans="1:67">
      <c r="A11" s="19">
        <v>3</v>
      </c>
      <c r="B11" s="595" t="s">
        <v>1</v>
      </c>
      <c r="C11" s="510" t="str">
        <f ca="1">+MID(INDEX(WORLDCUP!$AA$4:$AA$147,MATCH(A11,WORLDCUP!$AH$4:$AH$147,0)),1,3)</f>
        <v>Can</v>
      </c>
      <c r="D11" s="511">
        <f>IF(ISBLANK(INDEX(WORLDCUP!$AC$4:$AC$147,MATCH(A11,WORLDCUP!$AH$4:$AH$147,0))),"",INDEX(WORLDCUP!$AC$4:$AC$147,MATCH(A11,WORLDCUP!$AH$4:$AH$147,0)))</f>
        <v>0</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f>IF(ISBLANK(INDEX(WORLDCUP!$AC$4:$AC$147,MATCH(M11,WORLDCUP!$AH$4:$AH$147,0))),"",INDEX(WORLDCUP!$AC$4:$AC$147,MATCH(M11,WORLDCUP!$AH$4:$AH$147,0)))</f>
        <v>3</v>
      </c>
      <c r="Q11" s="511">
        <f>IF(ISBLANK(INDEX(WORLDCUP!$AD$4:$AD$147,MATCH(M11,WORLDCUP!$AH$4:$AH$147,0))),"",INDEX(WORLDCUP!$AD$4:$AD$147,MATCH(M11,WORLDCUP!$AH$4:$AH$147,0)))</f>
        <v>0</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 ca="1">+MID(INDEX(WORLDCUP!$AF$101:$AF$147,MATCH(AD11,WORLDCUP!$Z$101:$Z$147,0)),1,3)</f>
        <v>Jap</v>
      </c>
      <c r="AF11" s="550">
        <f>+IF(ISBLANK(INDEX(WORLDCUP!$AD$101:$AD$147,MATCH(AD11,WORLDCUP!$Z$101:$Z$147,0))),"",INDEX(WORLDCUP!$AD$101:$AD$147,MATCH(AD11,WORLDCUP!$Z$101:$Z$147,0)))</f>
        <v>1</v>
      </c>
      <c r="AG11" s="567" t="str">
        <f>+IF(ISBLANK(INDEX(WORLDCUP!$AE$101:$AE$147,MATCH(AD11,WORLDCUP!$Z$101:$Z$147,0))),"","( "&amp;INDEX(WORLDCUP!$AE$101:$AE$147,MATCH(AD11,WORLDCUP!$Z$101:$Z$147,0))&amp;" )")</f>
        <v>( 4 )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0</v>
      </c>
      <c r="BI11" s="556">
        <f ca="1">COUNTIF(ADMIN!$M$130:$M$161,Fixture!BG11)-BJ11-BK11-BL11-BM11-BN11-BO11</f>
        <v>1</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5" thickBot="1">
      <c r="A12" s="19">
        <v>8</v>
      </c>
      <c r="B12" s="597"/>
      <c r="C12" s="537" t="str">
        <f ca="1">+MID(INDEX(WORLDCUP!$AA$4:$AA$147,MATCH(A12,WORLDCUP!$AH$4:$AH$147,0)),1,3)</f>
        <v>Cat</v>
      </c>
      <c r="D12" s="538">
        <f>IF(ISBLANK(INDEX(WORLDCUP!$AC$4:$AC$147,MATCH(A12,WORLDCUP!$AH$4:$AH$147,0))),"",INDEX(WORLDCUP!$AC$4:$AC$147,MATCH(A12,WORLDCUP!$AH$4:$AH$147,0)))</f>
        <v>0</v>
      </c>
      <c r="E12" s="538">
        <f>IF(ISBLANK(INDEX(WORLDCUP!$AD$4:$AD$147,MATCH(A12,WORLDCUP!$AH$4:$AH$147,0))),"",INDEX(WORLDCUP!$AD$4:$AD$147,MATCH(A12,WORLDCUP!$AH$4:$AH$147,0)))</f>
        <v>5</v>
      </c>
      <c r="F12" s="539" t="str">
        <f ca="1">+MID(INDEX(WORLDCUP!$AF$4:$AF$147,MATCH(A12,WORLDCUP!$AH$4:$AH$147,0)),1,3)</f>
        <v>Sui</v>
      </c>
      <c r="G12" s="540">
        <v>1</v>
      </c>
      <c r="H12" s="541" t="str">
        <f ca="1">+MID(INDEX(WORLDCUP!$AL$6:$AL$97,MATCH(L12,WORLDCUP!$AI$6:$AI$97,0)),1,3)</f>
        <v>Sui</v>
      </c>
      <c r="I12" s="542">
        <f ca="1">+INDEX(WORLDCUP!$AM$6:$AM$97,MATCH(L12,WORLDCUP!$AI$6:$AI$97,0))</f>
        <v>7</v>
      </c>
      <c r="J12" s="543">
        <f ca="1">+INDEX(WORLDCUP!$AT$6:$AT$97,MATCH(L12,WORLDCUP!$AI$6:$AI$97,0))</f>
        <v>7</v>
      </c>
      <c r="K12" s="544" t="str">
        <f ca="1">+INDEX(WORLDCUP!$AR$6:$AR$97,MATCH(L12,WORLDCUP!$AI$6:$AI$97,0))&amp;"-"&amp;INDEX(WORLDCUP!$AS$6:$AS$97,MATCH(L12,WORLDCUP!$AI$6:$AI$97,0))</f>
        <v>9-2</v>
      </c>
      <c r="L12" s="19" t="s">
        <v>648</v>
      </c>
      <c r="M12" s="19">
        <v>13</v>
      </c>
      <c r="N12" s="598"/>
      <c r="O12" s="537" t="str">
        <f ca="1">+MID(INDEX(WORLDCUP!$AA$4:$AA$147,MATCH(M12,WORLDCUP!$AH$4:$AH$147,0)),1,3)</f>
        <v>Ara</v>
      </c>
      <c r="P12" s="538">
        <f>IF(ISBLANK(INDEX(WORLDCUP!$AC$4:$AC$147,MATCH(M12,WORLDCUP!$AH$4:$AH$147,0))),"",INDEX(WORLDCUP!$AC$4:$AC$147,MATCH(M12,WORLDCUP!$AH$4:$AH$147,0)))</f>
        <v>1</v>
      </c>
      <c r="Q12" s="538">
        <f>IF(ISBLANK(INDEX(WORLDCUP!$AD$4:$AD$147,MATCH(M12,WORLDCUP!$AH$4:$AH$147,0))),"",INDEX(WORLDCUP!$AD$4:$AD$147,MATCH(M12,WORLDCUP!$AH$4:$AH$147,0)))</f>
        <v>2</v>
      </c>
      <c r="R12" s="539" t="str">
        <f ca="1">+MID(INDEX(WORLDCUP!$AF$4:$AF$147,MATCH(M12,WORLDCUP!$AH$4:$AH$147,0)),1,3)</f>
        <v>Uru</v>
      </c>
      <c r="S12" s="540">
        <v>1</v>
      </c>
      <c r="T12" s="541" t="str">
        <f ca="1">+MID(INDEX(WORLDCUP!$AL$6:$AL$97,MATCH(X12,WORLDCUP!$AI$6:$AI$97,0)),1,3)</f>
        <v>Esp</v>
      </c>
      <c r="U12" s="542">
        <f ca="1">+INDEX(WORLDCUP!$AM$6:$AM$97,MATCH(X12,WORLDCUP!$AI$6:$AI$97,0))</f>
        <v>7</v>
      </c>
      <c r="V12" s="543">
        <f ca="1">+INDEX(WORLDCUP!$AT$6:$AT$97,MATCH(X12,WORLDCUP!$AI$6:$AI$97,0))</f>
        <v>7</v>
      </c>
      <c r="W12" s="544" t="str">
        <f ca="1">+INDEX(WORLDCUP!$AR$6:$AR$97,MATCH(X12,WORLDCUP!$AI$6:$AI$97,0))&amp;"-"&amp;INDEX(WORLDCUP!$AS$6:$AS$97,MATCH(X12,WORLDCUP!$AI$6:$AI$97,0))</f>
        <v>8-1</v>
      </c>
      <c r="X12" s="19" t="s">
        <v>670</v>
      </c>
      <c r="Y12" s="19">
        <v>75</v>
      </c>
      <c r="Z12" s="518" t="s">
        <v>664</v>
      </c>
      <c r="AA12" s="519" t="str">
        <f ca="1">+MID(INDEX(WORLDCUP!$AA$101:$AA$147,MATCH(Y12,WORLDCUP!$Z$101:$Z$147,0)),1,3)</f>
        <v>Jap</v>
      </c>
      <c r="AB12" s="565">
        <f>+IF(ISBLANK(INDEX(WORLDCUP!$AC$101:$AC$147,MATCH(Y12,WORLDCUP!$Z$101:$Z$147,0))),"",INDEX(WORLDCUP!$AC$101:$AC$147,MATCH(Y12,WORLDCUP!$Z$101:$Z$147,0)))</f>
        <v>2</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0</v>
      </c>
      <c r="BI12" s="556">
        <f ca="1">COUNTIF(ADMIN!$M$130:$M$161,Fixture!BG12)-BJ12-BK12-BL12-BM12-BN12-BO12</f>
        <v>0</v>
      </c>
      <c r="BJ12" s="557">
        <f ca="1">COUNTIF(ADMIN!$M$182:$M$197,Fixture!BG12)-BK12-BL12-BM12-BN12-BO12</f>
        <v>0</v>
      </c>
      <c r="BK12" s="558">
        <f ca="1">COUNTIF(ADMIN!$M$210:$M$217,Fixture!BG12)-BL12-BM12-BN12-BO12</f>
        <v>1</v>
      </c>
      <c r="BL12" s="558">
        <f ca="1">COUNTIF(ADMIN!$M$226:$M$229,BG12)-BM12-BN12-BO12</f>
        <v>0</v>
      </c>
      <c r="BM12" s="556">
        <f ca="1">COUNTIF(ADMIN!$M$252,Fixture!BG12)</f>
        <v>0</v>
      </c>
      <c r="BN12" s="556">
        <f ca="1">COUNTIF(ADMIN!$M$251,Fixture!BG12)</f>
        <v>0</v>
      </c>
      <c r="BO12" s="559">
        <f ca="1">COUNTIF(ADMIN!$M$250,Fixture!BG12)</f>
        <v>0</v>
      </c>
    </row>
    <row r="13" spans="1:67" ht="15" thickBot="1">
      <c r="A13" s="19">
        <v>26</v>
      </c>
      <c r="B13" s="597"/>
      <c r="C13" s="537" t="str">
        <f ca="1">+MID(INDEX(WORLDCUP!$AA$4:$AA$147,MATCH(A13,WORLDCUP!$AH$4:$AH$147,0)),1,3)</f>
        <v>Sui</v>
      </c>
      <c r="D13" s="538">
        <f>IF(ISBLANK(INDEX(WORLDCUP!$AC$4:$AC$147,MATCH(A13,WORLDCUP!$AH$4:$AH$147,0))),"",INDEX(WORLDCUP!$AC$4:$AC$147,MATCH(A13,WORLDCUP!$AH$4:$AH$147,0)))</f>
        <v>2</v>
      </c>
      <c r="E13" s="538">
        <f>IF(ISBLANK(INDEX(WORLDCUP!$AD$4:$AD$147,MATCH(A13,WORLDCUP!$AH$4:$AH$147,0))),"",INDEX(WORLDCUP!$AD$4:$AD$147,MATCH(A13,WORLDCUP!$AH$4:$AH$147,0)))</f>
        <v>2</v>
      </c>
      <c r="F13" s="539" t="str">
        <f ca="1">+MID(INDEX(WORLDCUP!$AF$4:$AF$147,MATCH(A13,WORLDCUP!$AH$4:$AH$147,0)),1,3)</f>
        <v>Bos</v>
      </c>
      <c r="G13" s="560">
        <v>2</v>
      </c>
      <c r="H13" s="561" t="str">
        <f ca="1">+MID(INDEX(WORLDCUP!$AL$6:$AL$97,MATCH(L13,WORLDCUP!$AI$6:$AI$97,0)),1,3)</f>
        <v>Bos</v>
      </c>
      <c r="I13" s="229">
        <f ca="1">+INDEX(WORLDCUP!$AM$6:$AM$97,MATCH(L13,WORLDCUP!$AI$6:$AI$97,0))</f>
        <v>7</v>
      </c>
      <c r="J13" s="230">
        <f ca="1">+INDEX(WORLDCUP!$AT$6:$AT$97,MATCH(L13,WORLDCUP!$AI$6:$AI$97,0))</f>
        <v>5</v>
      </c>
      <c r="K13" s="231" t="str">
        <f ca="1">+INDEX(WORLDCUP!$AR$6:$AR$97,MATCH(L13,WORLDCUP!$AI$6:$AI$97,0))&amp;"-"&amp;INDEX(WORLDCUP!$AS$6:$AS$97,MATCH(L13,WORLDCUP!$AI$6:$AI$97,0))</f>
        <v>7-2</v>
      </c>
      <c r="L13" s="19" t="s">
        <v>649</v>
      </c>
      <c r="M13" s="19">
        <v>38</v>
      </c>
      <c r="N13" s="598"/>
      <c r="O13" s="537" t="str">
        <f ca="1">+MID(INDEX(WORLDCUP!$AA$4:$AA$147,MATCH(M13,WORLDCUP!$AH$4:$AH$147,0)),1,3)</f>
        <v>Esp</v>
      </c>
      <c r="P13" s="538">
        <f>IF(ISBLANK(INDEX(WORLDCUP!$AC$4:$AC$147,MATCH(M13,WORLDCUP!$AH$4:$AH$147,0))),"",INDEX(WORLDCUP!$AC$4:$AC$147,MATCH(M13,WORLDCUP!$AH$4:$AH$147,0)))</f>
        <v>4</v>
      </c>
      <c r="Q13" s="538">
        <f>IF(ISBLANK(INDEX(WORLDCUP!$AD$4:$AD$147,MATCH(M13,WORLDCUP!$AH$4:$AH$147,0))),"",INDEX(WORLDCUP!$AD$4:$AD$147,MATCH(M13,WORLDCUP!$AH$4:$AH$147,0)))</f>
        <v>0</v>
      </c>
      <c r="R13" s="539" t="str">
        <f ca="1">+MID(INDEX(WORLDCUP!$AF$4:$AF$147,MATCH(M13,WORLDCUP!$AH$4:$AH$147,0)),1,3)</f>
        <v>Ara</v>
      </c>
      <c r="S13" s="560">
        <v>2</v>
      </c>
      <c r="T13" s="561" t="str">
        <f ca="1">+MID(INDEX(WORLDCUP!$AL$6:$AL$97,MATCH(X13,WORLDCUP!$AI$6:$AI$97,0)),1,3)</f>
        <v>Uru</v>
      </c>
      <c r="U13" s="229">
        <f ca="1">+INDEX(WORLDCUP!$AM$6:$AM$97,MATCH(X13,WORLDCUP!$AI$6:$AI$97,0))</f>
        <v>5</v>
      </c>
      <c r="V13" s="230">
        <f ca="1">+INDEX(WORLDCUP!$AT$6:$AT$97,MATCH(X13,WORLDCUP!$AI$6:$AI$97,0))</f>
        <v>1</v>
      </c>
      <c r="W13" s="231" t="str">
        <f ca="1">+INDEX(WORLDCUP!$AR$6:$AR$97,MATCH(X13,WORLDCUP!$AI$6:$AI$97,0))&amp;"-"&amp;INDEX(WORLDCUP!$AS$6:$AS$97,MATCH(X13,WORLDCUP!$AI$6:$AI$97,0))</f>
        <v>4-3</v>
      </c>
      <c r="X13" s="19" t="s">
        <v>671</v>
      </c>
      <c r="Y13" s="19">
        <v>75</v>
      </c>
      <c r="Z13" s="518" t="s">
        <v>656</v>
      </c>
      <c r="AA13" s="573" t="str">
        <f ca="1">+MID(INDEX(WORLDCUP!$AF$101:$AF$147,MATCH(Y13,WORLDCUP!$Z$101:$Z$147,0)),1,3)</f>
        <v>Esc</v>
      </c>
      <c r="AB13" s="574">
        <f>+IF(ISBLANK(INDEX(WORLDCUP!$AD$101:$AD$147,MATCH(Y13,WORLDCUP!$Z$101:$Z$147,0))),"",INDEX(WORLDCUP!$AD$101:$AD$147,MATCH(Y13,WORLDCUP!$Z$101:$Z$147,0)))</f>
        <v>1</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 ca="1">+MID(INDEX(WORLDCUP!$AA$101:$AA$147,MATCH(AL13,WORLDCUP!$Z$101:$Z$147,0)),1,3)</f>
        <v>Fra</v>
      </c>
      <c r="AN13" s="602">
        <f>+IF(ISBLANK(INDEX(WORLDCUP!$AC$101:$AC$147,MATCH(AL13,WORLDCUP!$Z$101:$Z$147,0))),"",INDEX(WORLDCUP!$AC$101:$AC$147,MATCH(AL13,WORLDCUP!$Z$101:$Z$147,0)))</f>
        <v>1</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c r="A14" s="19">
        <v>27</v>
      </c>
      <c r="B14" s="597"/>
      <c r="C14" s="537" t="str">
        <f ca="1">+MID(INDEX(WORLDCUP!$AA$4:$AA$147,MATCH(A14,WORLDCUP!$AH$4:$AH$147,0)),1,3)</f>
        <v>Can</v>
      </c>
      <c r="D14" s="538">
        <f>IF(ISBLANK(INDEX(WORLDCUP!$AC$4:$AC$147,MATCH(A14,WORLDCUP!$AH$4:$AH$147,0))),"",INDEX(WORLDCUP!$AC$4:$AC$147,MATCH(A14,WORLDCUP!$AH$4:$AH$147,0)))</f>
        <v>1</v>
      </c>
      <c r="E14" s="538">
        <f>IF(ISBLANK(INDEX(WORLDCUP!$AD$4:$AD$147,MATCH(A14,WORLDCUP!$AH$4:$AH$147,0))),"",INDEX(WORLDCUP!$AD$4:$AD$147,MATCH(A14,WORLDCUP!$AH$4:$AH$147,0)))</f>
        <v>1</v>
      </c>
      <c r="F14" s="539" t="str">
        <f ca="1">+MID(INDEX(WORLDCUP!$AF$4:$AF$147,MATCH(A14,WORLDCUP!$AH$4:$AH$147,0)),1,3)</f>
        <v>Cat</v>
      </c>
      <c r="G14" s="560">
        <v>3</v>
      </c>
      <c r="H14" s="561" t="str">
        <f ca="1">+MID(INDEX(WORLDCUP!$AL$6:$AL$97,MATCH(L14,WORLDCUP!$AI$6:$AI$97,0)),1,3)</f>
        <v>Can</v>
      </c>
      <c r="I14" s="229">
        <f ca="1">+INDEX(WORLDCUP!$AM$6:$AM$97,MATCH(L14,WORLDCUP!$AI$6:$AI$97,0))</f>
        <v>1</v>
      </c>
      <c r="J14" s="230">
        <f ca="1">+INDEX(WORLDCUP!$AT$6:$AT$97,MATCH(L14,WORLDCUP!$AI$6:$AI$97,0))</f>
        <v>-3</v>
      </c>
      <c r="K14" s="231" t="str">
        <f ca="1">+INDEX(WORLDCUP!$AR$6:$AR$97,MATCH(L14,WORLDCUP!$AI$6:$AI$97,0))&amp;"-"&amp;INDEX(WORLDCUP!$AS$6:$AS$97,MATCH(L14,WORLDCUP!$AI$6:$AI$97,0))</f>
        <v>1-4</v>
      </c>
      <c r="L14" s="19" t="s">
        <v>90</v>
      </c>
      <c r="M14" s="19">
        <v>37</v>
      </c>
      <c r="N14" s="598"/>
      <c r="O14" s="537" t="str">
        <f ca="1">+MID(INDEX(WORLDCUP!$AA$4:$AA$147,MATCH(M14,WORLDCUP!$AH$4:$AH$147,0)),1,3)</f>
        <v>Uru</v>
      </c>
      <c r="P14" s="538">
        <f>IF(ISBLANK(INDEX(WORLDCUP!$AC$4:$AC$147,MATCH(M14,WORLDCUP!$AH$4:$AH$147,0))),"",INDEX(WORLDCUP!$AC$4:$AC$147,MATCH(M14,WORLDCUP!$AH$4:$AH$147,0)))</f>
        <v>1</v>
      </c>
      <c r="Q14" s="538">
        <f>IF(ISBLANK(INDEX(WORLDCUP!$AD$4:$AD$147,MATCH(M14,WORLDCUP!$AH$4:$AH$147,0))),"",INDEX(WORLDCUP!$AD$4:$AD$147,MATCH(M14,WORLDCUP!$AH$4:$AH$147,0)))</f>
        <v>1</v>
      </c>
      <c r="R14" s="539" t="str">
        <f ca="1">+MID(INDEX(WORLDCUP!$AF$4:$AF$147,MATCH(M14,WORLDCUP!$AH$4:$AH$147,0)),1,3)</f>
        <v>Cab</v>
      </c>
      <c r="S14" s="560">
        <v>3</v>
      </c>
      <c r="T14" s="561" t="str">
        <f ca="1">+MID(INDEX(WORLDCUP!$AL$6:$AL$97,MATCH(X14,WORLDCUP!$AI$6:$AI$97,0)),1,3)</f>
        <v>Ara</v>
      </c>
      <c r="U14" s="229">
        <f ca="1">+INDEX(WORLDCUP!$AM$6:$AM$97,MATCH(X14,WORLDCUP!$AI$6:$AI$97,0))</f>
        <v>3</v>
      </c>
      <c r="V14" s="230">
        <f ca="1">+INDEX(WORLDCUP!$AT$6:$AT$97,MATCH(X14,WORLDCUP!$AI$6:$AI$97,0))</f>
        <v>-4</v>
      </c>
      <c r="W14" s="231" t="str">
        <f ca="1">+INDEX(WORLDCUP!$AR$6:$AR$97,MATCH(X14,WORLDCUP!$AI$6:$AI$97,0))&amp;"-"&amp;INDEX(WORLDCUP!$AS$6:$AS$97,MATCH(X14,WORLDCUP!$AI$6:$AI$97,0))</f>
        <v>3-7</v>
      </c>
      <c r="X14" s="19" t="s">
        <v>436</v>
      </c>
      <c r="Y14" s="19"/>
      <c r="Z14" s="518"/>
      <c r="AA14" s="587"/>
      <c r="AB14" s="587"/>
      <c r="AC14" s="587"/>
      <c r="AD14" s="19"/>
      <c r="AE14" s="522"/>
      <c r="AF14" s="522"/>
      <c r="AG14" s="522"/>
      <c r="AH14" s="19"/>
      <c r="AI14" s="552"/>
      <c r="AJ14" s="552"/>
      <c r="AK14" s="591"/>
      <c r="AL14" s="19">
        <v>101</v>
      </c>
      <c r="AM14" s="601" t="str">
        <f ca="1">+MID(INDEX(WORLDCUP!$AF$101:$AF$147,MATCH(AL14,WORLDCUP!$Z$101:$Z$147,0)),1,3)</f>
        <v>Esp</v>
      </c>
      <c r="AN14" s="602">
        <f>+IF(ISBLANK(INDEX(WORLDCUP!$AD$101:$AD$147,MATCH(AL14,WORLDCUP!$Z$101:$Z$147,0))),"",INDEX(WORLDCUP!$AD$101:$AD$147,MATCH(AL14,WORLDCUP!$Z$101:$Z$147,0)))</f>
        <v>2</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1</v>
      </c>
      <c r="BI14" s="556">
        <f ca="1">COUNTIF(ADMIN!$M$130:$M$161,Fixture!BG14)-BJ14-BK14-BL14-BM14-BN14-BO14</f>
        <v>0</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5" thickBot="1">
      <c r="A15" s="19">
        <v>51</v>
      </c>
      <c r="B15" s="597"/>
      <c r="C15" s="537" t="str">
        <f ca="1">+MID(INDEX(WORLDCUP!$AA$4:$AA$147,MATCH(A15,WORLDCUP!$AH$4:$AH$147,0)),1,3)</f>
        <v>Sui</v>
      </c>
      <c r="D15" s="538">
        <f>IF(ISBLANK(INDEX(WORLDCUP!$AC$4:$AC$147,MATCH(A15,WORLDCUP!$AH$4:$AH$147,0))),"",INDEX(WORLDCUP!$AC$4:$AC$147,MATCH(A15,WORLDCUP!$AH$4:$AH$147,0)))</f>
        <v>2</v>
      </c>
      <c r="E15" s="538">
        <f>IF(ISBLANK(INDEX(WORLDCUP!$AD$4:$AD$147,MATCH(A15,WORLDCUP!$AH$4:$AH$147,0))),"",INDEX(WORLDCUP!$AD$4:$AD$147,MATCH(A15,WORLDCUP!$AH$4:$AH$147,0)))</f>
        <v>0</v>
      </c>
      <c r="F15" s="539" t="str">
        <f ca="1">+MID(INDEX(WORLDCUP!$AF$4:$AF$147,MATCH(A15,WORLDCUP!$AH$4:$AH$147,0)),1,3)</f>
        <v>Can</v>
      </c>
      <c r="G15" s="560">
        <v>4</v>
      </c>
      <c r="H15" s="569" t="str">
        <f ca="1">+MID(INDEX(WORLDCUP!$AL$6:$AL$97,MATCH(L15,WORLDCUP!$AI$6:$AI$97,0)),1,3)</f>
        <v>Cat</v>
      </c>
      <c r="I15" s="570">
        <f ca="1">+INDEX(WORLDCUP!$AM$6:$AM$97,MATCH(L15,WORLDCUP!$AI$6:$AI$97,0))</f>
        <v>1</v>
      </c>
      <c r="J15" s="571">
        <f ca="1">+INDEX(WORLDCUP!$AT$6:$AT$97,MATCH(L15,WORLDCUP!$AI$6:$AI$97,0))</f>
        <v>-9</v>
      </c>
      <c r="K15" s="572" t="str">
        <f ca="1">+INDEX(WORLDCUP!$AR$6:$AR$97,MATCH(L15,WORLDCUP!$AI$6:$AI$97,0))&amp;"-"&amp;INDEX(WORLDCUP!$AS$6:$AS$97,MATCH(L15,WORLDCUP!$AI$6:$AI$97,0))</f>
        <v>1-10</v>
      </c>
      <c r="L15" s="19" t="s">
        <v>650</v>
      </c>
      <c r="M15" s="19">
        <v>65</v>
      </c>
      <c r="N15" s="598"/>
      <c r="O15" s="537" t="str">
        <f ca="1">+MID(INDEX(WORLDCUP!$AA$4:$AA$147,MATCH(M15,WORLDCUP!$AH$4:$AH$147,0)),1,3)</f>
        <v>Cab</v>
      </c>
      <c r="P15" s="538">
        <f>IF(ISBLANK(INDEX(WORLDCUP!$AC$4:$AC$147,MATCH(M15,WORLDCUP!$AH$4:$AH$147,0))),"",INDEX(WORLDCUP!$AC$4:$AC$147,MATCH(M15,WORLDCUP!$AH$4:$AH$147,0)))</f>
        <v>1</v>
      </c>
      <c r="Q15" s="538">
        <f>IF(ISBLANK(INDEX(WORLDCUP!$AD$4:$AD$147,MATCH(M15,WORLDCUP!$AH$4:$AH$147,0))),"",INDEX(WORLDCUP!$AD$4:$AD$147,MATCH(M15,WORLDCUP!$AH$4:$AH$147,0)))</f>
        <v>2</v>
      </c>
      <c r="R15" s="539" t="str">
        <f ca="1">+MID(INDEX(WORLDCUP!$AF$4:$AF$147,MATCH(M15,WORLDCUP!$AH$4:$AH$147,0)),1,3)</f>
        <v>Ara</v>
      </c>
      <c r="S15" s="560">
        <v>4</v>
      </c>
      <c r="T15" s="569" t="str">
        <f ca="1">+MID(INDEX(WORLDCUP!$AL$6:$AL$97,MATCH(X15,WORLDCUP!$AI$6:$AI$97,0)),1,3)</f>
        <v>Cab</v>
      </c>
      <c r="U15" s="570">
        <f ca="1">+INDEX(WORLDCUP!$AM$6:$AM$97,MATCH(X15,WORLDCUP!$AI$6:$AI$97,0))</f>
        <v>1</v>
      </c>
      <c r="V15" s="571">
        <f ca="1">+INDEX(WORLDCUP!$AT$6:$AT$97,MATCH(X15,WORLDCUP!$AI$6:$AI$97,0))</f>
        <v>-4</v>
      </c>
      <c r="W15" s="572" t="str">
        <f ca="1">+INDEX(WORLDCUP!$AR$6:$AR$97,MATCH(X15,WORLDCUP!$AI$6:$AI$97,0))&amp;"-"&amp;INDEX(WORLDCUP!$AS$6:$AS$97,MATCH(X15,WORLDCUP!$AI$6:$AI$97,0))</f>
        <v>2-6</v>
      </c>
      <c r="X15" s="19" t="s">
        <v>672</v>
      </c>
      <c r="Y15" s="19">
        <v>83</v>
      </c>
      <c r="Z15" s="518" t="s">
        <v>680</v>
      </c>
      <c r="AA15" s="519" t="str">
        <f ca="1">+MID(INDEX(WORLDCUP!$AA$101:$AA$147,MATCH(Y15,WORLDCUP!$Z$101:$Z$147,0)),1,3)</f>
        <v>Col</v>
      </c>
      <c r="AB15" s="520">
        <f>+IF(ISBLANK(INDEX(WORLDCUP!$AC$101:$AC$147,MATCH(Y15,WORLDCUP!$Z$101:$Z$147,0))),"",INDEX(WORLDCUP!$AC$101:$AC$147,MATCH(Y15,WORLDCUP!$Z$101:$Z$147,0)))</f>
        <v>1</v>
      </c>
      <c r="AC15" s="590" t="str">
        <f>+IF(ISBLANK(INDEX(WORLDCUP!$AB$101:$AB$147,MATCH(Y15,WORLDCUP!$Z$101:$Z$147,0))),"","( "&amp;INDEX(WORLDCUP!$AB$101:$AB$147,MATCH(Y15,WORLDCUP!$Z$101:$Z$147,0))&amp;" )")</f>
        <v>( 5 )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5" thickBot="1">
      <c r="A16" s="19">
        <v>52</v>
      </c>
      <c r="B16" s="606"/>
      <c r="C16" s="580" t="str">
        <f ca="1">+MID(INDEX(WORLDCUP!$AA$4:$AA$147,MATCH(A16,WORLDCUP!$AH$4:$AH$147,0)),1,3)</f>
        <v>Bos</v>
      </c>
      <c r="D16" s="581">
        <f>IF(ISBLANK(INDEX(WORLDCUP!$AC$4:$AC$147,MATCH(A16,WORLDCUP!$AH$4:$AH$147,0))),"",INDEX(WORLDCUP!$AC$4:$AC$147,MATCH(A16,WORLDCUP!$AH$4:$AH$147,0)))</f>
        <v>4</v>
      </c>
      <c r="E16" s="581">
        <f>IF(ISBLANK(INDEX(WORLDCUP!$AD$4:$AD$147,MATCH(A16,WORLDCUP!$AH$4:$AH$147,0))),"",INDEX(WORLDCUP!$AD$4:$AD$147,MATCH(A16,WORLDCUP!$AH$4:$AH$147,0)))</f>
        <v>0</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f>IF(ISBLANK(INDEX(WORLDCUP!$AC$4:$AC$147,MATCH(M16,WORLDCUP!$AH$4:$AH$147,0))),"",INDEX(WORLDCUP!$AC$4:$AC$147,MATCH(M16,WORLDCUP!$AH$4:$AH$147,0)))</f>
        <v>1</v>
      </c>
      <c r="Q16" s="581">
        <f>IF(ISBLANK(INDEX(WORLDCUP!$AD$4:$AD$147,MATCH(M16,WORLDCUP!$AH$4:$AH$147,0))),"",INDEX(WORLDCUP!$AD$4:$AD$147,MATCH(M16,WORLDCUP!$AH$4:$AH$147,0)))</f>
        <v>1</v>
      </c>
      <c r="R16" s="582" t="str">
        <f ca="1">+MID(INDEX(WORLDCUP!$AF$4:$AF$147,MATCH(M16,WORLDCUP!$AH$4:$AH$147,0)),1,3)</f>
        <v>Esp</v>
      </c>
      <c r="S16" s="583"/>
      <c r="T16" s="583"/>
      <c r="U16" s="584"/>
      <c r="V16" s="584"/>
      <c r="W16" s="585"/>
      <c r="X16" s="19"/>
      <c r="Y16" s="19">
        <v>83</v>
      </c>
      <c r="Z16" s="518" t="s">
        <v>683</v>
      </c>
      <c r="AA16" s="519" t="str">
        <f ca="1">+MID(INDEX(WORLDCUP!$AF$101:$AF$147,MATCH(Y16,WORLDCUP!$Z$101:$Z$147,0)),1,3)</f>
        <v>Cro</v>
      </c>
      <c r="AB16" s="546">
        <f>+IF(ISBLANK(INDEX(WORLDCUP!$AD$101:$AD$147,MATCH(Y16,WORLDCUP!$Z$101:$Z$147,0))),"",INDEX(WORLDCUP!$AD$101:$AD$147,MATCH(Y16,WORLDCUP!$Z$101:$Z$147,0)))</f>
        <v>1</v>
      </c>
      <c r="AC16" s="547" t="str">
        <f>+IF(ISBLANK(INDEX(WORLDCUP!$AE$101:$AE$147,MATCH(Y16,WORLDCUP!$Z$101:$Z$147,0))),"","( "&amp;INDEX(WORLDCUP!$AE$101:$AE$147,MATCH(Y16,WORLDCUP!$Z$101:$Z$147,0))&amp;" )")</f>
        <v>( 4 )</v>
      </c>
      <c r="AD16" s="548">
        <v>93</v>
      </c>
      <c r="AE16" s="549" t="str">
        <f ca="1">+MID(INDEX(WORLDCUP!$AA$101:$AA$147,MATCH(AD16,WORLDCUP!$Z$101:$Z$147,0)),1,3)</f>
        <v>Col</v>
      </c>
      <c r="AF16" s="550">
        <f>+IF(ISBLANK(INDEX(WORLDCUP!$AC$101:$AC$147,MATCH(AD16,WORLDCUP!$Z$101:$Z$147,0))),"",INDEX(WORLDCUP!$AC$101:$AC$147,MATCH(AD16,WORLDCUP!$Z$101:$Z$147,0)))</f>
        <v>2</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0</v>
      </c>
      <c r="BI16" s="556">
        <f ca="1">COUNTIF(ADMIN!$M$130:$M$161,Fixture!BG16)-BJ16-BK16-BL16-BM16-BN16-BO16</f>
        <v>0</v>
      </c>
      <c r="BJ16" s="557">
        <f ca="1">COUNTIF(ADMIN!$M$182:$M$197,Fixture!BG16)-BK16-BL16-BM16-BN16-BO16</f>
        <v>1</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 ca="1">+MID(INDEX(WORLDCUP!$AF$101:$AF$147,MATCH(AD17,WORLDCUP!$Z$101:$Z$147,0)),1,3)</f>
        <v>Esp</v>
      </c>
      <c r="AF17" s="550">
        <f>+IF(ISBLANK(INDEX(WORLDCUP!$AD$101:$AD$147,MATCH(AD17,WORLDCUP!$Z$101:$Z$147,0))),"",INDEX(WORLDCUP!$AD$101:$AD$147,MATCH(AD17,WORLDCUP!$Z$101:$Z$147,0)))</f>
        <v>3</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0</v>
      </c>
      <c r="BI17" s="556">
        <f ca="1">COUNTIF(ADMIN!$M$130:$M$161,Fixture!BG17)-BJ17-BK17-BL17-BM17-BN17-BO17</f>
        <v>0</v>
      </c>
      <c r="BJ17" s="557">
        <f ca="1">COUNTIF(ADMIN!$M$182:$M$197,Fixture!BG17)-BK17-BL17-BM17-BN17-BO17</f>
        <v>1</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5" thickBot="1">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Esp</v>
      </c>
      <c r="AB18" s="565">
        <f>+IF(ISBLANK(INDEX(WORLDCUP!$AC$101:$AC$147,MATCH(Y18,WORLDCUP!$Z$101:$Z$147,0))),"",INDEX(WORLDCUP!$AC$101:$AC$147,MATCH(Y18,WORLDCUP!$Z$101:$Z$147,0)))</f>
        <v>1</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0</v>
      </c>
      <c r="BI18" s="556">
        <f ca="1">COUNTIF(ADMIN!$M$130:$M$161,Fixture!BG18)-BJ18-BK18-BL18-BM18-BN18-BO18</f>
        <v>1</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5" thickBot="1">
      <c r="A19" s="19">
        <v>7</v>
      </c>
      <c r="B19" s="611" t="s">
        <v>2</v>
      </c>
      <c r="C19" s="510" t="str">
        <f ca="1">+MID(INDEX(WORLDCUP!$AA$4:$AA$147,MATCH(A19,WORLDCUP!$AH$4:$AH$147,0)),1,3)</f>
        <v>Bra</v>
      </c>
      <c r="D19" s="511">
        <f>IF(ISBLANK(INDEX(WORLDCUP!$AC$4:$AC$147,MATCH(A19,WORLDCUP!$AH$4:$AH$147,0))),"",INDEX(WORLDCUP!$AC$4:$AC$147,MATCH(A19,WORLDCUP!$AH$4:$AH$147,0)))</f>
        <v>2</v>
      </c>
      <c r="E19" s="511">
        <f>IF(ISBLANK(INDEX(WORLDCUP!$AD$4:$AD$147,MATCH(A19,WORLDCUP!$AH$4:$AH$147,0))),"",INDEX(WORLDCUP!$AD$4:$AD$147,MATCH(A19,WORLDCUP!$AH$4:$AH$147,0)))</f>
        <v>1</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f>IF(ISBLANK(INDEX(WORLDCUP!$AC$4:$AC$147,MATCH(M19,WORLDCUP!$AH$4:$AH$147,0))),"",INDEX(WORLDCUP!$AC$4:$AC$147,MATCH(M19,WORLDCUP!$AH$4:$AH$147,0)))</f>
        <v>2</v>
      </c>
      <c r="Q19" s="511">
        <f>IF(ISBLANK(INDEX(WORLDCUP!$AD$4:$AD$147,MATCH(M19,WORLDCUP!$AH$4:$AH$147,0))),"",INDEX(WORLDCUP!$AD$4:$AD$147,MATCH(M19,WORLDCUP!$AH$4:$AH$147,0)))</f>
        <v>1</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Aus</v>
      </c>
      <c r="AB19" s="574">
        <f>+IF(ISBLANK(INDEX(WORLDCUP!$AD$101:$AD$147,MATCH(Y19,WORLDCUP!$Z$101:$Z$147,0))),"",INDEX(WORLDCUP!$AD$101:$AD$147,MATCH(Y19,WORLDCUP!$Z$101:$Z$147,0)))</f>
        <v>0</v>
      </c>
      <c r="AC19" s="600" t="str">
        <f>+IF(ISBLANK(INDEX(WORLDCUP!$AE$101:$AE$147,MATCH(Y19,WORLDCUP!$Z$101:$Z$147,0))),"","( "&amp;INDEX(WORLDCUP!$AE$101:$AE$147,MATCH(Y19,WORLDCUP!$Z$101:$Z$147,0))&amp;" )")</f>
        <v/>
      </c>
      <c r="AD19" s="19"/>
      <c r="AE19" s="567"/>
      <c r="AF19" s="567"/>
      <c r="AG19" s="568"/>
      <c r="AH19" s="592">
        <v>98</v>
      </c>
      <c r="AI19" s="576" t="str">
        <f ca="1">+MID(INDEX(WORLDCUP!$AA$101:$AA$147,MATCH(AH19,WORLDCUP!$Z$101:$Z$147,0)),1,3)</f>
        <v>Esp</v>
      </c>
      <c r="AJ19" s="577">
        <f>+IF(ISBLANK(INDEX(WORLDCUP!$AC$101:$AC$147,MATCH(AH19,WORLDCUP!$Z$101:$Z$147,0))),"",INDEX(WORLDCUP!$AC$101:$AC$147,MATCH(AH19,WORLDCUP!$Z$101:$Z$147,0)))</f>
        <v>2</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0</v>
      </c>
      <c r="BI19" s="556">
        <f ca="1">COUNTIF(ADMIN!$M$130:$M$161,Fixture!BG19)-BJ19-BK19-BL19-BM19-BN19-BO19</f>
        <v>1</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c r="A20" s="19">
        <v>5</v>
      </c>
      <c r="B20" s="614"/>
      <c r="C20" s="537" t="str">
        <f ca="1">+MID(INDEX(WORLDCUP!$AA$4:$AA$147,MATCH(A20,WORLDCUP!$AH$4:$AH$147,0)),1,3)</f>
        <v>Hai</v>
      </c>
      <c r="D20" s="538">
        <f>IF(ISBLANK(INDEX(WORLDCUP!$AC$4:$AC$147,MATCH(A20,WORLDCUP!$AH$4:$AH$147,0))),"",INDEX(WORLDCUP!$AC$4:$AC$147,MATCH(A20,WORLDCUP!$AH$4:$AH$147,0)))</f>
        <v>0</v>
      </c>
      <c r="E20" s="538">
        <f>IF(ISBLANK(INDEX(WORLDCUP!$AD$4:$AD$147,MATCH(A20,WORLDCUP!$AH$4:$AH$147,0))),"",INDEX(WORLDCUP!$AD$4:$AD$147,MATCH(A20,WORLDCUP!$AH$4:$AH$147,0)))</f>
        <v>1</v>
      </c>
      <c r="F20" s="539" t="str">
        <f ca="1">+MID(INDEX(WORLDCUP!$AF$4:$AF$147,MATCH(A20,WORLDCUP!$AH$4:$AH$147,0)),1,3)</f>
        <v>Esc</v>
      </c>
      <c r="G20" s="540">
        <v>1</v>
      </c>
      <c r="H20" s="541" t="str">
        <f ca="1">+MID(INDEX(WORLDCUP!$AL$6:$AL$97,MATCH(L20,WORLDCUP!$AI$6:$AI$97,0)),1,3)</f>
        <v>Bra</v>
      </c>
      <c r="I20" s="542">
        <f ca="1">+INDEX(WORLDCUP!$AM$6:$AM$97,MATCH(L20,WORLDCUP!$AI$6:$AI$97,0))</f>
        <v>9</v>
      </c>
      <c r="J20" s="543">
        <f ca="1">+INDEX(WORLDCUP!$AT$6:$AT$97,MATCH(L20,WORLDCUP!$AI$6:$AI$97,0))</f>
        <v>7</v>
      </c>
      <c r="K20" s="544" t="str">
        <f ca="1">+INDEX(WORLDCUP!$AR$6:$AR$97,MATCH(L20,WORLDCUP!$AI$6:$AI$97,0))&amp;"-"&amp;INDEX(WORLDCUP!$AS$6:$AS$97,MATCH(L20,WORLDCUP!$AI$6:$AI$97,0))</f>
        <v>9-2</v>
      </c>
      <c r="L20" s="19" t="s">
        <v>651</v>
      </c>
      <c r="M20" s="19">
        <v>18</v>
      </c>
      <c r="N20" s="615"/>
      <c r="O20" s="537" t="str">
        <f ca="1">+MID(INDEX(WORLDCUP!$AA$4:$AA$147,MATCH(M20,WORLDCUP!$AH$4:$AH$147,0)),1,3)</f>
        <v>Ira</v>
      </c>
      <c r="P20" s="538">
        <f>IF(ISBLANK(INDEX(WORLDCUP!$AC$4:$AC$147,MATCH(M20,WORLDCUP!$AH$4:$AH$147,0))),"",INDEX(WORLDCUP!$AC$4:$AC$147,MATCH(M20,WORLDCUP!$AH$4:$AH$147,0)))</f>
        <v>1</v>
      </c>
      <c r="Q20" s="538">
        <f>IF(ISBLANK(INDEX(WORLDCUP!$AD$4:$AD$147,MATCH(M20,WORLDCUP!$AH$4:$AH$147,0))),"",INDEX(WORLDCUP!$AD$4:$AD$147,MATCH(M20,WORLDCUP!$AH$4:$AH$147,0)))</f>
        <v>4</v>
      </c>
      <c r="R20" s="539" t="str">
        <f ca="1">+MID(INDEX(WORLDCUP!$AF$4:$AF$147,MATCH(M20,WORLDCUP!$AH$4:$AH$147,0)),1,3)</f>
        <v>Nor</v>
      </c>
      <c r="S20" s="540">
        <v>1</v>
      </c>
      <c r="T20" s="541" t="str">
        <f ca="1">+MID(INDEX(WORLDCUP!$AL$6:$AL$97,MATCH(X20,WORLDCUP!$AI$6:$AI$97,0)),1,3)</f>
        <v>Fra</v>
      </c>
      <c r="U20" s="542">
        <f ca="1">+INDEX(WORLDCUP!$AM$6:$AM$97,MATCH(X20,WORLDCUP!$AI$6:$AI$97,0))</f>
        <v>9</v>
      </c>
      <c r="V20" s="543">
        <f ca="1">+INDEX(WORLDCUP!$AT$6:$AT$97,MATCH(X20,WORLDCUP!$AI$6:$AI$97,0))</f>
        <v>7</v>
      </c>
      <c r="W20" s="544" t="str">
        <f ca="1">+INDEX(WORLDCUP!$AR$6:$AR$97,MATCH(X20,WORLDCUP!$AI$6:$AI$97,0))&amp;"-"&amp;INDEX(WORLDCUP!$AS$6:$AS$97,MATCH(X20,WORLDCUP!$AI$6:$AI$97,0))</f>
        <v>9-2</v>
      </c>
      <c r="X20" s="19" t="s">
        <v>673</v>
      </c>
      <c r="Y20" s="19"/>
      <c r="Z20" s="518"/>
      <c r="AA20" s="587"/>
      <c r="AB20" s="587"/>
      <c r="AC20" s="587"/>
      <c r="AD20" s="19"/>
      <c r="AE20" s="522"/>
      <c r="AF20" s="522"/>
      <c r="AG20" s="568"/>
      <c r="AH20" s="19">
        <v>98</v>
      </c>
      <c r="AI20" s="576" t="str">
        <f ca="1">+MID(INDEX(WORLDCUP!$AF$101:$AF$147,MATCH(AH20,WORLDCUP!$Z$101:$Z$147,0)),1,3)</f>
        <v>Bél</v>
      </c>
      <c r="AJ20" s="577">
        <f>+IF(ISBLANK(INDEX(WORLDCUP!$AD$101:$AD$147,MATCH(AH20,WORLDCUP!$Z$101:$Z$147,0))),"",INDEX(WORLDCUP!$AD$101:$AD$147,MATCH(AH20,WORLDCUP!$Z$101:$Z$147,0)))</f>
        <v>1</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5" thickBot="1">
      <c r="A21" s="19">
        <v>30</v>
      </c>
      <c r="B21" s="614"/>
      <c r="C21" s="537" t="str">
        <f ca="1">+MID(INDEX(WORLDCUP!$AA$4:$AA$147,MATCH(A21,WORLDCUP!$AH$4:$AH$147,0)),1,3)</f>
        <v>Esc</v>
      </c>
      <c r="D21" s="538">
        <f>IF(ISBLANK(INDEX(WORLDCUP!$AC$4:$AC$147,MATCH(A21,WORLDCUP!$AH$4:$AH$147,0))),"",INDEX(WORLDCUP!$AC$4:$AC$147,MATCH(A21,WORLDCUP!$AH$4:$AH$147,0)))</f>
        <v>2</v>
      </c>
      <c r="E21" s="538">
        <f>IF(ISBLANK(INDEX(WORLDCUP!$AD$4:$AD$147,MATCH(A21,WORLDCUP!$AH$4:$AH$147,0))),"",INDEX(WORLDCUP!$AD$4:$AD$147,MATCH(A21,WORLDCUP!$AH$4:$AH$147,0)))</f>
        <v>1</v>
      </c>
      <c r="F21" s="539" t="str">
        <f ca="1">+MID(INDEX(WORLDCUP!$AF$4:$AF$147,MATCH(A21,WORLDCUP!$AH$4:$AH$147,0)),1,3)</f>
        <v>Mar</v>
      </c>
      <c r="G21" s="560">
        <v>2</v>
      </c>
      <c r="H21" s="561" t="str">
        <f ca="1">+MID(INDEX(WORLDCUP!$AL$6:$AL$97,MATCH(L21,WORLDCUP!$AI$6:$AI$97,0)),1,3)</f>
        <v>Esc</v>
      </c>
      <c r="I21" s="229">
        <f ca="1">+INDEX(WORLDCUP!$AM$6:$AM$97,MATCH(L21,WORLDCUP!$AI$6:$AI$97,0))</f>
        <v>6</v>
      </c>
      <c r="J21" s="230">
        <f ca="1">+INDEX(WORLDCUP!$AT$6:$AT$97,MATCH(L21,WORLDCUP!$AI$6:$AI$97,0))</f>
        <v>1</v>
      </c>
      <c r="K21" s="231" t="str">
        <f ca="1">+INDEX(WORLDCUP!$AR$6:$AR$97,MATCH(L21,WORLDCUP!$AI$6:$AI$97,0))&amp;"-"&amp;INDEX(WORLDCUP!$AS$6:$AS$97,MATCH(L21,WORLDCUP!$AI$6:$AI$97,0))</f>
        <v>4-3</v>
      </c>
      <c r="L21" s="19" t="s">
        <v>656</v>
      </c>
      <c r="M21" s="19">
        <v>42</v>
      </c>
      <c r="N21" s="615"/>
      <c r="O21" s="537" t="str">
        <f ca="1">+MID(INDEX(WORLDCUP!$AA$4:$AA$147,MATCH(M21,WORLDCUP!$AH$4:$AH$147,0)),1,3)</f>
        <v>Fra</v>
      </c>
      <c r="P21" s="538">
        <f>IF(ISBLANK(INDEX(WORLDCUP!$AC$4:$AC$147,MATCH(M21,WORLDCUP!$AH$4:$AH$147,0))),"",INDEX(WORLDCUP!$AC$4:$AC$147,MATCH(M21,WORLDCUP!$AH$4:$AH$147,0)))</f>
        <v>5</v>
      </c>
      <c r="Q21" s="538">
        <f>IF(ISBLANK(INDEX(WORLDCUP!$AD$4:$AD$147,MATCH(M21,WORLDCUP!$AH$4:$AH$147,0))),"",INDEX(WORLDCUP!$AD$4:$AD$147,MATCH(M21,WORLDCUP!$AH$4:$AH$147,0)))</f>
        <v>0</v>
      </c>
      <c r="R21" s="539" t="str">
        <f ca="1">+MID(INDEX(WORLDCUP!$AF$4:$AF$147,MATCH(M21,WORLDCUP!$AH$4:$AH$147,0)),1,3)</f>
        <v>Ira</v>
      </c>
      <c r="S21" s="560">
        <v>2</v>
      </c>
      <c r="T21" s="561" t="str">
        <f ca="1">+MID(INDEX(WORLDCUP!$AL$6:$AL$97,MATCH(X21,WORLDCUP!$AI$6:$AI$97,0)),1,3)</f>
        <v>Nor</v>
      </c>
      <c r="U21" s="229">
        <f ca="1">+INDEX(WORLDCUP!$AM$6:$AM$97,MATCH(X21,WORLDCUP!$AI$6:$AI$97,0))</f>
        <v>4</v>
      </c>
      <c r="V21" s="230">
        <f ca="1">+INDEX(WORLDCUP!$AT$6:$AT$97,MATCH(X21,WORLDCUP!$AI$6:$AI$97,0))</f>
        <v>2</v>
      </c>
      <c r="W21" s="231" t="str">
        <f ca="1">+INDEX(WORLDCUP!$AR$6:$AR$97,MATCH(X21,WORLDCUP!$AI$6:$AI$97,0))&amp;"-"&amp;INDEX(WORLDCUP!$AS$6:$AS$97,MATCH(X21,WORLDCUP!$AI$6:$AI$97,0))</f>
        <v>7-5</v>
      </c>
      <c r="X21" s="19" t="s">
        <v>674</v>
      </c>
      <c r="Y21" s="19">
        <v>81</v>
      </c>
      <c r="Z21" s="518" t="s">
        <v>658</v>
      </c>
      <c r="AA21" s="519" t="str">
        <f ca="1">+MID(INDEX(WORLDCUP!$AA$101:$AA$147,MATCH(Y21,WORLDCUP!$Z$101:$Z$147,0)),1,3)</f>
        <v>Tur</v>
      </c>
      <c r="AB21" s="520">
        <f>+IF(ISBLANK(INDEX(WORLDCUP!$AC$101:$AC$147,MATCH(Y21,WORLDCUP!$Z$101:$Z$147,0))),"",INDEX(WORLDCUP!$AC$101:$AC$147,MATCH(Y21,WORLDCUP!$Z$101:$Z$147,0)))</f>
        <v>2</v>
      </c>
      <c r="AC21" s="590" t="str">
        <f>+IF(ISBLANK(INDEX(WORLDCUP!$AB$101:$AB$147,MATCH(Y21,WORLDCUP!$Z$101:$Z$147,0))),"","( "&amp;INDEX(WORLDCUP!$AB$101:$AB$147,MATCH(Y21,WORLDCUP!$Z$101:$Z$147,0))&amp;" )")</f>
        <v>( 5 )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 ca="1">WORLDCUP!AA150</f>
        <v>España</v>
      </c>
      <c r="BB21" s="622"/>
      <c r="BC21" s="623"/>
      <c r="BD21" s="303"/>
      <c r="BE21" s="303"/>
      <c r="BG21" s="555" t="str">
        <f ca="1">Horarios!Q20</f>
        <v>Ecuador</v>
      </c>
      <c r="BH21" s="556">
        <f t="shared" ca="1" si="0"/>
        <v>0</v>
      </c>
      <c r="BI21" s="556">
        <f ca="1">COUNTIF(ADMIN!$M$130:$M$161,Fixture!BG21)-BJ21-BK21-BL21-BM21-BN21-BO21</f>
        <v>1</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5" thickBot="1">
      <c r="A22" s="19">
        <v>29</v>
      </c>
      <c r="B22" s="614"/>
      <c r="C22" s="537" t="str">
        <f ca="1">+MID(INDEX(WORLDCUP!$AA$4:$AA$147,MATCH(A22,WORLDCUP!$AH$4:$AH$147,0)),1,3)</f>
        <v>Bra</v>
      </c>
      <c r="D22" s="538">
        <f>IF(ISBLANK(INDEX(WORLDCUP!$AC$4:$AC$147,MATCH(A22,WORLDCUP!$AH$4:$AH$147,0))),"",INDEX(WORLDCUP!$AC$4:$AC$147,MATCH(A22,WORLDCUP!$AH$4:$AH$147,0)))</f>
        <v>5</v>
      </c>
      <c r="E22" s="538">
        <f>IF(ISBLANK(INDEX(WORLDCUP!$AD$4:$AD$147,MATCH(A22,WORLDCUP!$AH$4:$AH$147,0))),"",INDEX(WORLDCUP!$AD$4:$AD$147,MATCH(A22,WORLDCUP!$AH$4:$AH$147,0)))</f>
        <v>0</v>
      </c>
      <c r="F22" s="539" t="str">
        <f ca="1">+MID(INDEX(WORLDCUP!$AF$4:$AF$147,MATCH(A22,WORLDCUP!$AH$4:$AH$147,0)),1,3)</f>
        <v>Hai</v>
      </c>
      <c r="G22" s="560">
        <v>3</v>
      </c>
      <c r="H22" s="561" t="str">
        <f ca="1">+MID(INDEX(WORLDCUP!$AL$6:$AL$97,MATCH(L22,WORLDCUP!$AI$6:$AI$97,0)),1,3)</f>
        <v>Mar</v>
      </c>
      <c r="I22" s="229">
        <f ca="1">+INDEX(WORLDCUP!$AM$6:$AM$97,MATCH(L22,WORLDCUP!$AI$6:$AI$97,0))</f>
        <v>3</v>
      </c>
      <c r="J22" s="230">
        <f ca="1">+INDEX(WORLDCUP!$AT$6:$AT$97,MATCH(L22,WORLDCUP!$AI$6:$AI$97,0))</f>
        <v>-1</v>
      </c>
      <c r="K22" s="231" t="str">
        <f ca="1">+INDEX(WORLDCUP!$AR$6:$AR$97,MATCH(L22,WORLDCUP!$AI$6:$AI$97,0))&amp;"-"&amp;INDEX(WORLDCUP!$AS$6:$AS$97,MATCH(L22,WORLDCUP!$AI$6:$AI$97,0))</f>
        <v>3-4</v>
      </c>
      <c r="L22" s="19" t="s">
        <v>91</v>
      </c>
      <c r="M22" s="19">
        <v>41</v>
      </c>
      <c r="N22" s="615"/>
      <c r="O22" s="537" t="str">
        <f ca="1">+MID(INDEX(WORLDCUP!$AA$4:$AA$147,MATCH(M22,WORLDCUP!$AH$4:$AH$147,0)),1,3)</f>
        <v>Nor</v>
      </c>
      <c r="P22" s="538">
        <f>IF(ISBLANK(INDEX(WORLDCUP!$AC$4:$AC$147,MATCH(M22,WORLDCUP!$AH$4:$AH$147,0))),"",INDEX(WORLDCUP!$AC$4:$AC$147,MATCH(M22,WORLDCUP!$AH$4:$AH$147,0)))</f>
        <v>2</v>
      </c>
      <c r="Q22" s="538">
        <f>IF(ISBLANK(INDEX(WORLDCUP!$AD$4:$AD$147,MATCH(M22,WORLDCUP!$AH$4:$AH$147,0))),"",INDEX(WORLDCUP!$AD$4:$AD$147,MATCH(M22,WORLDCUP!$AH$4:$AH$147,0)))</f>
        <v>2</v>
      </c>
      <c r="R22" s="539" t="str">
        <f ca="1">+MID(INDEX(WORLDCUP!$AF$4:$AF$147,MATCH(M22,WORLDCUP!$AH$4:$AH$147,0)),1,3)</f>
        <v>Sen</v>
      </c>
      <c r="S22" s="560">
        <v>3</v>
      </c>
      <c r="T22" s="561" t="str">
        <f ca="1">+MID(INDEX(WORLDCUP!$AL$6:$AL$97,MATCH(X22,WORLDCUP!$AI$6:$AI$97,0)),1,3)</f>
        <v>Sen</v>
      </c>
      <c r="U22" s="229">
        <f ca="1">+INDEX(WORLDCUP!$AM$6:$AM$97,MATCH(X22,WORLDCUP!$AI$6:$AI$97,0))</f>
        <v>4</v>
      </c>
      <c r="V22" s="230">
        <f ca="1">+INDEX(WORLDCUP!$AT$6:$AT$97,MATCH(X22,WORLDCUP!$AI$6:$AI$97,0))</f>
        <v>1</v>
      </c>
      <c r="W22" s="231" t="str">
        <f ca="1">+INDEX(WORLDCUP!$AR$6:$AR$97,MATCH(X22,WORLDCUP!$AI$6:$AI$97,0))&amp;"-"&amp;INDEX(WORLDCUP!$AS$6:$AS$97,MATCH(X22,WORLDCUP!$AI$6:$AI$97,0))</f>
        <v>5-4</v>
      </c>
      <c r="X22" s="19" t="s">
        <v>440</v>
      </c>
      <c r="Y22" s="19">
        <v>81</v>
      </c>
      <c r="Z22" s="518" t="s">
        <v>726</v>
      </c>
      <c r="AA22" s="519" t="str">
        <f ca="1">+MID(INDEX(WORLDCUP!$AF$101:$AF$147,MATCH(Y22,WORLDCUP!$Z$101:$Z$147,0)),1,IF(WORLDCUP!$H$113&lt;144,6,3))</f>
        <v>Sen</v>
      </c>
      <c r="AB22" s="546">
        <f>+IF(ISBLANK(INDEX(WORLDCUP!$AD$101:$AD$147,MATCH(Y22,WORLDCUP!$Z$101:$Z$147,0))),"",INDEX(WORLDCUP!$AD$101:$AD$147,MATCH(Y22,WORLDCUP!$Z$101:$Z$147,0)))</f>
        <v>2</v>
      </c>
      <c r="AC22" s="547" t="str">
        <f>+IF(ISBLANK(INDEX(WORLDCUP!$AE$101:$AE$147,MATCH(Y22,WORLDCUP!$Z$101:$Z$147,0))),"","( "&amp;INDEX(WORLDCUP!$AE$101:$AE$147,MATCH(Y22,WORLDCUP!$Z$101:$Z$147,0))&amp;" )")</f>
        <v>( 6 )</v>
      </c>
      <c r="AD22" s="548">
        <v>94</v>
      </c>
      <c r="AE22" s="549" t="str">
        <f ca="1">+MID(INDEX(WORLDCUP!$AA$101:$AA$147,MATCH(AD22,WORLDCUP!$Z$101:$Z$147,0)),1,3)</f>
        <v>Sen</v>
      </c>
      <c r="AF22" s="550">
        <f>+IF(ISBLANK(INDEX(WORLDCUP!$AC$101:$AC$147,MATCH(AD22,WORLDCUP!$Z$101:$Z$147,0))),"",INDEX(WORLDCUP!$AC$101:$AC$147,MATCH(AD22,WORLDCUP!$Z$101:$Z$147,0)))</f>
        <v>0</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c r="A23" s="19">
        <v>49</v>
      </c>
      <c r="B23" s="614"/>
      <c r="C23" s="537" t="str">
        <f ca="1">+MID(INDEX(WORLDCUP!$AA$4:$AA$147,MATCH(A23,WORLDCUP!$AH$4:$AH$147,0)),1,3)</f>
        <v>Esc</v>
      </c>
      <c r="D23" s="538">
        <f>IF(ISBLANK(INDEX(WORLDCUP!$AC$4:$AC$147,MATCH(A23,WORLDCUP!$AH$4:$AH$147,0))),"",INDEX(WORLDCUP!$AC$4:$AC$147,MATCH(A23,WORLDCUP!$AH$4:$AH$147,0)))</f>
        <v>1</v>
      </c>
      <c r="E23" s="538">
        <f>IF(ISBLANK(INDEX(WORLDCUP!$AD$4:$AD$147,MATCH(A23,WORLDCUP!$AH$4:$AH$147,0))),"",INDEX(WORLDCUP!$AD$4:$AD$147,MATCH(A23,WORLDCUP!$AH$4:$AH$147,0)))</f>
        <v>2</v>
      </c>
      <c r="F23" s="539" t="str">
        <f ca="1">+MID(INDEX(WORLDCUP!$AF$4:$AF$147,MATCH(A23,WORLDCUP!$AH$4:$AH$147,0)),1,3)</f>
        <v>Bra</v>
      </c>
      <c r="G23" s="560">
        <v>4</v>
      </c>
      <c r="H23" s="569" t="str">
        <f ca="1">+MID(INDEX(WORLDCUP!$AL$6:$AL$97,MATCH(L23,WORLDCUP!$AI$6:$AI$97,0)),1,3)</f>
        <v>Hai</v>
      </c>
      <c r="I23" s="570">
        <f ca="1">+INDEX(WORLDCUP!$AM$6:$AM$97,MATCH(L23,WORLDCUP!$AI$6:$AI$97,0))</f>
        <v>0</v>
      </c>
      <c r="J23" s="571">
        <f ca="1">+INDEX(WORLDCUP!$AT$6:$AT$97,MATCH(L23,WORLDCUP!$AI$6:$AI$97,0))</f>
        <v>-7</v>
      </c>
      <c r="K23" s="572" t="str">
        <f ca="1">+INDEX(WORLDCUP!$AR$6:$AR$97,MATCH(L23,WORLDCUP!$AI$6:$AI$97,0))&amp;"-"&amp;INDEX(WORLDCUP!$AS$6:$AS$97,MATCH(L23,WORLDCUP!$AI$6:$AI$97,0))</f>
        <v>0-7</v>
      </c>
      <c r="L23" s="19" t="s">
        <v>657</v>
      </c>
      <c r="M23" s="19">
        <v>61</v>
      </c>
      <c r="N23" s="615"/>
      <c r="O23" s="537" t="str">
        <f ca="1">+MID(INDEX(WORLDCUP!$AA$4:$AA$147,MATCH(M23,WORLDCUP!$AH$4:$AH$147,0)),1,3)</f>
        <v>Nor</v>
      </c>
      <c r="P23" s="538">
        <f>IF(ISBLANK(INDEX(WORLDCUP!$AC$4:$AC$147,MATCH(M23,WORLDCUP!$AH$4:$AH$147,0))),"",INDEX(WORLDCUP!$AC$4:$AC$147,MATCH(M23,WORLDCUP!$AH$4:$AH$147,0)))</f>
        <v>1</v>
      </c>
      <c r="Q23" s="538">
        <f>IF(ISBLANK(INDEX(WORLDCUP!$AD$4:$AD$147,MATCH(M23,WORLDCUP!$AH$4:$AH$147,0))),"",INDEX(WORLDCUP!$AD$4:$AD$147,MATCH(M23,WORLDCUP!$AH$4:$AH$147,0)))</f>
        <v>2</v>
      </c>
      <c r="R23" s="539" t="str">
        <f ca="1">+MID(INDEX(WORLDCUP!$AF$4:$AF$147,MATCH(M23,WORLDCUP!$AH$4:$AH$147,0)),1,3)</f>
        <v>Fra</v>
      </c>
      <c r="S23" s="560">
        <v>4</v>
      </c>
      <c r="T23" s="569" t="str">
        <f ca="1">+MID(INDEX(WORLDCUP!$AL$6:$AL$97,MATCH(X23,WORLDCUP!$AI$6:$AI$97,0)),1,3)</f>
        <v>Ira</v>
      </c>
      <c r="U23" s="570">
        <f ca="1">+INDEX(WORLDCUP!$AM$6:$AM$97,MATCH(X23,WORLDCUP!$AI$6:$AI$97,0))</f>
        <v>0</v>
      </c>
      <c r="V23" s="571">
        <f ca="1">+INDEX(WORLDCUP!$AT$6:$AT$97,MATCH(X23,WORLDCUP!$AI$6:$AI$97,0))</f>
        <v>-10</v>
      </c>
      <c r="W23" s="572" t="str">
        <f ca="1">+INDEX(WORLDCUP!$AR$6:$AR$97,MATCH(X23,WORLDCUP!$AI$6:$AI$97,0))&amp;"-"&amp;INDEX(WORLDCUP!$AS$6:$AS$97,MATCH(X23,WORLDCUP!$AI$6:$AI$97,0))</f>
        <v>1-11</v>
      </c>
      <c r="X23" s="19" t="s">
        <v>675</v>
      </c>
      <c r="Y23" s="19"/>
      <c r="Z23" s="518"/>
      <c r="AA23" s="562"/>
      <c r="AB23" s="562"/>
      <c r="AC23" s="563"/>
      <c r="AD23" s="19">
        <v>94</v>
      </c>
      <c r="AE23" s="549" t="str">
        <f ca="1">+MID(INDEX(WORLDCUP!$AF$101:$AF$147,MATCH(AD23,WORLDCUP!$Z$101:$Z$147,0)),1,3)</f>
        <v>Bél</v>
      </c>
      <c r="AF23" s="550">
        <f>+IF(ISBLANK(INDEX(WORLDCUP!$AD$101:$AD$147,MATCH(AD23,WORLDCUP!$Z$101:$Z$147,0))),"",INDEX(WORLDCUP!$AD$101:$AD$147,MATCH(AD23,WORLDCUP!$Z$101:$Z$147,0)))</f>
        <v>2</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 ca="1">+WORLDCUP!AA151</f>
        <v>Portugal</v>
      </c>
      <c r="BC23" s="623"/>
      <c r="BD23" s="303"/>
      <c r="BE23" s="303"/>
      <c r="BG23" s="555" t="str">
        <f ca="1">Horarios!Q22</f>
        <v>Escocia</v>
      </c>
      <c r="BH23" s="556">
        <f t="shared" ca="1" si="0"/>
        <v>0</v>
      </c>
      <c r="BI23" s="556">
        <f ca="1">COUNTIF(ADMIN!$M$130:$M$161,Fixture!BG23)-BJ23-BK23-BL23-BM23-BN23-BO23</f>
        <v>1</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5" thickBot="1">
      <c r="A24" s="19">
        <v>50</v>
      </c>
      <c r="B24" s="625"/>
      <c r="C24" s="580" t="str">
        <f ca="1">+MID(INDEX(WORLDCUP!$AA$4:$AA$147,MATCH(A24,WORLDCUP!$AH$4:$AH$147,0)),1,3)</f>
        <v>Mar</v>
      </c>
      <c r="D24" s="581">
        <f>IF(ISBLANK(INDEX(WORLDCUP!$AC$4:$AC$147,MATCH(A24,WORLDCUP!$AH$4:$AH$147,0))),"",INDEX(WORLDCUP!$AC$4:$AC$147,MATCH(A24,WORLDCUP!$AH$4:$AH$147,0)))</f>
        <v>1</v>
      </c>
      <c r="E24" s="581">
        <f>IF(ISBLANK(INDEX(WORLDCUP!$AD$4:$AD$147,MATCH(A24,WORLDCUP!$AH$4:$AH$147,0))),"",INDEX(WORLDCUP!$AD$4:$AD$147,MATCH(A24,WORLDCUP!$AH$4:$AH$147,0)))</f>
        <v>0</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f>IF(ISBLANK(INDEX(WORLDCUP!$AC$4:$AC$147,MATCH(M24,WORLDCUP!$AH$4:$AH$147,0))),"",INDEX(WORLDCUP!$AC$4:$AC$147,MATCH(M24,WORLDCUP!$AH$4:$AH$147,0)))</f>
        <v>2</v>
      </c>
      <c r="Q24" s="581">
        <f>IF(ISBLANK(INDEX(WORLDCUP!$AD$4:$AD$147,MATCH(M24,WORLDCUP!$AH$4:$AH$147,0))),"",INDEX(WORLDCUP!$AD$4:$AD$147,MATCH(M24,WORLDCUP!$AH$4:$AH$147,0)))</f>
        <v>0</v>
      </c>
      <c r="R24" s="582" t="str">
        <f ca="1">+MID(INDEX(WORLDCUP!$AF$4:$AF$147,MATCH(M24,WORLDCUP!$AH$4:$AH$147,0)),1,3)</f>
        <v>Ira</v>
      </c>
      <c r="S24" s="583"/>
      <c r="T24" s="583"/>
      <c r="U24" s="584"/>
      <c r="V24" s="584"/>
      <c r="W24" s="585"/>
      <c r="X24" s="19"/>
      <c r="Y24" s="19">
        <v>82</v>
      </c>
      <c r="Z24" s="518" t="s">
        <v>667</v>
      </c>
      <c r="AA24" s="519" t="str">
        <f ca="1">+MID(INDEX(WORLDCUP!$AA$101:$AA$147,MATCH(Y24,WORLDCUP!$Z$101:$Z$147,0)),1,3)</f>
        <v>Bél</v>
      </c>
      <c r="AB24" s="565">
        <f>+IF(ISBLANK(INDEX(WORLDCUP!$AC$101:$AC$147,MATCH(Y24,WORLDCUP!$Z$101:$Z$147,0))),"",INDEX(WORLDCUP!$AC$101:$AC$147,MATCH(Y24,WORLDCUP!$Z$101:$Z$147,0)))</f>
        <v>3</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0</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1</v>
      </c>
    </row>
    <row r="25" spans="1:67" ht="15" thickBot="1">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Rep</v>
      </c>
      <c r="AB25" s="574">
        <f>+IF(ISBLANK(INDEX(WORLDCUP!$AD$101:$AD$147,MATCH(Y25,WORLDCUP!$Z$101:$Z$147,0))),"",INDEX(WORLDCUP!$AD$101:$AD$147,MATCH(Y25,WORLDCUP!$Z$101:$Z$147,0)))</f>
        <v>1</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 ca="1">+MID(INDEX(WORLDCUP!$AA$101:$AA$147,MATCH(AT25,WORLDCUP!$Z$101:$Z$147,0)),1,4)</f>
        <v>Espa</v>
      </c>
      <c r="AV25" s="632">
        <f>+IF(ISBLANK(INDEX(WORLDCUP!$AC$101:$AC$147,MATCH(AT25,WORLDCUP!$Z$101:$Z$147,0))),"",INDEX(WORLDCUP!$AC$101:$AC$147,MATCH(AT25,WORLDCUP!$Z$101:$Z$147,0)))</f>
        <v>2</v>
      </c>
      <c r="AW25" s="633" t="str">
        <f>+IF(ISBLANK(INDEX(WORLDCUP!$AB$101:$AB$147,MATCH(AT25,WORLDCUP!$Z$101:$Z$147,0))),"","( "&amp;INDEX(WORLDCUP!$AB$101:$AB$147,MATCH(AT25,WORLDCUP!$Z$101:$Z$147,0))&amp;" )")</f>
        <v/>
      </c>
      <c r="AX25" s="634"/>
      <c r="AY25" s="621"/>
      <c r="AZ25" s="622" t="str">
        <f ca="1">+WORLDCUP!AA152</f>
        <v>Francia</v>
      </c>
      <c r="BA25" s="624"/>
      <c r="BB25" s="627"/>
      <c r="BC25" s="623"/>
      <c r="BD25" s="303"/>
      <c r="BE25" s="303"/>
      <c r="BG25" s="555" t="str">
        <f ca="1">Horarios!Q24</f>
        <v>Estados Unidos</v>
      </c>
      <c r="BH25" s="556">
        <f t="shared" ca="1" si="0"/>
        <v>0</v>
      </c>
      <c r="BI25" s="556">
        <f ca="1">COUNTIF(ADMIN!$M$130:$M$161,Fixture!BG25)-BJ25-BK25-BL25-BM25-BN25-BO25</f>
        <v>0</v>
      </c>
      <c r="BJ25" s="557">
        <f ca="1">COUNTIF(ADMIN!$M$182:$M$197,Fixture!BG25)-BK25-BL25-BM25-BN25-BO25</f>
        <v>1</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5" thickBot="1">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 ca="1">+MID(INDEX(WORLDCUP!$AF$101:$AF$147,MATCH(AT26,WORLDCUP!$Z$101:$Z$147,0)),1,4)</f>
        <v>Port</v>
      </c>
      <c r="AV26" s="632">
        <f>+IF(ISBLANK(INDEX(WORLDCUP!$AD$101:$AD$147,MATCH(AT26,WORLDCUP!$Z$101:$Z$147,0))),"",INDEX(WORLDCUP!$AD$101:$AD$147,MATCH(AT26,WORLDCUP!$Z$101:$Z$147,0)))</f>
        <v>1</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0</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1</v>
      </c>
      <c r="BN26" s="556">
        <f ca="1">COUNTIF(ADMIN!$M$251,Fixture!BG26)</f>
        <v>0</v>
      </c>
      <c r="BO26" s="559">
        <f ca="1">COUNTIF(ADMIN!$M$250,Fixture!BG26)</f>
        <v>0</v>
      </c>
    </row>
    <row r="27" spans="1:67" ht="15" thickBot="1">
      <c r="A27" s="19">
        <v>4</v>
      </c>
      <c r="B27" s="636" t="s">
        <v>73</v>
      </c>
      <c r="C27" s="510" t="str">
        <f ca="1">+MID(INDEX(WORLDCUP!$AA$4:$AA$147,MATCH(A27,WORLDCUP!$AH$4:$AH$147,0)),1,3)</f>
        <v>Est</v>
      </c>
      <c r="D27" s="511">
        <f>IF(ISBLANK(INDEX(WORLDCUP!$AC$4:$AC$147,MATCH(A27,WORLDCUP!$AH$4:$AH$147,0))),"",INDEX(WORLDCUP!$AC$4:$AC$147,MATCH(A27,WORLDCUP!$AH$4:$AH$147,0)))</f>
        <v>1</v>
      </c>
      <c r="E27" s="511">
        <f>IF(ISBLANK(INDEX(WORLDCUP!$AD$4:$AD$147,MATCH(A27,WORLDCUP!$AH$4:$AH$147,0))),"",INDEX(WORLDCUP!$AD$4:$AD$147,MATCH(A27,WORLDCUP!$AH$4:$AH$147,0)))</f>
        <v>1</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f>IF(ISBLANK(INDEX(WORLDCUP!$AC$4:$AC$147,MATCH(M27,WORLDCUP!$AH$4:$AH$147,0))),"",INDEX(WORLDCUP!$AC$4:$AC$147,MATCH(M27,WORLDCUP!$AH$4:$AH$147,0)))</f>
        <v>2</v>
      </c>
      <c r="Q27" s="511">
        <f>IF(ISBLANK(INDEX(WORLDCUP!$AD$4:$AD$147,MATCH(M27,WORLDCUP!$AH$4:$AH$147,0))),"",INDEX(WORLDCUP!$AD$4:$AD$147,MATCH(M27,WORLDCUP!$AH$4:$AH$147,0)))</f>
        <v>0</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Bra</v>
      </c>
      <c r="AB27" s="520">
        <f>+IF(ISBLANK(INDEX(WORLDCUP!$AC$101:$AC$147,MATCH(Y27,WORLDCUP!$Z$101:$Z$147,0))),"",INDEX(WORLDCUP!$AC$101:$AC$147,MATCH(Y27,WORLDCUP!$Z$101:$Z$147,0)))</f>
        <v>3</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0</v>
      </c>
      <c r="BI27" s="556">
        <f ca="1">COUNTIF(ADMIN!$M$130:$M$161,Fixture!BG27)-BJ27-BK27-BL27-BM27-BN27-BO27</f>
        <v>1</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5" thickBot="1">
      <c r="A28" s="19">
        <v>6</v>
      </c>
      <c r="B28" s="638"/>
      <c r="C28" s="537" t="str">
        <f ca="1">+MID(INDEX(WORLDCUP!$AA$4:$AA$147,MATCH(A28,WORLDCUP!$AH$4:$AH$147,0)),1,3)</f>
        <v>Aus</v>
      </c>
      <c r="D28" s="538">
        <f>IF(ISBLANK(INDEX(WORLDCUP!$AC$4:$AC$147,MATCH(A28,WORLDCUP!$AH$4:$AH$147,0))),"",INDEX(WORLDCUP!$AC$4:$AC$147,MATCH(A28,WORLDCUP!$AH$4:$AH$147,0)))</f>
        <v>2</v>
      </c>
      <c r="E28" s="538">
        <f>IF(ISBLANK(INDEX(WORLDCUP!$AD$4:$AD$147,MATCH(A28,WORLDCUP!$AH$4:$AH$147,0))),"",INDEX(WORLDCUP!$AD$4:$AD$147,MATCH(A28,WORLDCUP!$AH$4:$AH$147,0)))</f>
        <v>3</v>
      </c>
      <c r="F28" s="539" t="str">
        <f ca="1">+MID(INDEX(WORLDCUP!$AF$4:$AF$147,MATCH(A28,WORLDCUP!$AH$4:$AH$147,0)),1,3)</f>
        <v>Tur</v>
      </c>
      <c r="G28" s="540">
        <v>1</v>
      </c>
      <c r="H28" s="541" t="str">
        <f ca="1">+MID(INDEX(WORLDCUP!$AL$6:$AL$97,MATCH(L28,WORLDCUP!$AI$6:$AI$97,0)),1,3)</f>
        <v>Tur</v>
      </c>
      <c r="I28" s="542">
        <f ca="1">+INDEX(WORLDCUP!$AM$6:$AM$97,MATCH(L28,WORLDCUP!$AI$6:$AI$97,0))</f>
        <v>7</v>
      </c>
      <c r="J28" s="543">
        <f ca="1">+INDEX(WORLDCUP!$AT$6:$AT$97,MATCH(L28,WORLDCUP!$AI$6:$AI$97,0))</f>
        <v>3</v>
      </c>
      <c r="K28" s="544" t="str">
        <f ca="1">+INDEX(WORLDCUP!$AR$6:$AR$97,MATCH(L28,WORLDCUP!$AI$6:$AI$97,0))&amp;"-"&amp;INDEX(WORLDCUP!$AS$6:$AS$97,MATCH(L28,WORLDCUP!$AI$6:$AI$97,0))</f>
        <v>7-4</v>
      </c>
      <c r="L28" s="19" t="s">
        <v>658</v>
      </c>
      <c r="M28" s="19">
        <v>20</v>
      </c>
      <c r="N28" s="639"/>
      <c r="O28" s="537" t="str">
        <f ca="1">+MID(INDEX(WORLDCUP!$AA$4:$AA$147,MATCH(M28,WORLDCUP!$AH$4:$AH$147,0)),1,3)</f>
        <v>Aus</v>
      </c>
      <c r="P28" s="538">
        <f>IF(ISBLANK(INDEX(WORLDCUP!$AC$4:$AC$147,MATCH(M28,WORLDCUP!$AH$4:$AH$147,0))),"",INDEX(WORLDCUP!$AC$4:$AC$147,MATCH(M28,WORLDCUP!$AH$4:$AH$147,0)))</f>
        <v>1</v>
      </c>
      <c r="Q28" s="538">
        <f>IF(ISBLANK(INDEX(WORLDCUP!$AD$4:$AD$147,MATCH(M28,WORLDCUP!$AH$4:$AH$147,0))),"",INDEX(WORLDCUP!$AD$4:$AD$147,MATCH(M28,WORLDCUP!$AH$4:$AH$147,0)))</f>
        <v>0</v>
      </c>
      <c r="R28" s="539" t="str">
        <f ca="1">+MID(INDEX(WORLDCUP!$AF$4:$AF$147,MATCH(M28,WORLDCUP!$AH$4:$AH$147,0)),1,3)</f>
        <v>Jor</v>
      </c>
      <c r="S28" s="540">
        <v>1</v>
      </c>
      <c r="T28" s="541" t="str">
        <f ca="1">+MID(INDEX(WORLDCUP!$AL$6:$AL$97,MATCH(X28,WORLDCUP!$AI$6:$AI$97,0)),1,3)</f>
        <v>Arg</v>
      </c>
      <c r="U28" s="542">
        <f ca="1">+INDEX(WORLDCUP!$AM$6:$AM$97,MATCH(X28,WORLDCUP!$AI$6:$AI$97,0))</f>
        <v>9</v>
      </c>
      <c r="V28" s="543">
        <f ca="1">+INDEX(WORLDCUP!$AT$6:$AT$97,MATCH(X28,WORLDCUP!$AI$6:$AI$97,0))</f>
        <v>7</v>
      </c>
      <c r="W28" s="544" t="str">
        <f ca="1">+INDEX(WORLDCUP!$AR$6:$AR$97,MATCH(X28,WORLDCUP!$AI$6:$AI$97,0))&amp;"-"&amp;INDEX(WORLDCUP!$AS$6:$AS$97,MATCH(X28,WORLDCUP!$AI$6:$AI$97,0))</f>
        <v>7-0</v>
      </c>
      <c r="X28" s="19" t="s">
        <v>676</v>
      </c>
      <c r="Y28" s="19">
        <v>76</v>
      </c>
      <c r="Z28" s="518" t="s">
        <v>665</v>
      </c>
      <c r="AA28" s="519" t="str">
        <f ca="1">+MID(INDEX(WORLDCUP!$AF$101:$AF$147,MATCH(Y28,WORLDCUP!$Z$101:$Z$147,0)),1,3)</f>
        <v>Paí</v>
      </c>
      <c r="AB28" s="546">
        <f>+IF(ISBLANK(INDEX(WORLDCUP!$AD$101:$AD$147,MATCH(Y28,WORLDCUP!$Z$101:$Z$147,0))),"",INDEX(WORLDCUP!$AD$101:$AD$147,MATCH(Y28,WORLDCUP!$Z$101:$Z$147,0)))</f>
        <v>2</v>
      </c>
      <c r="AC28" s="547" t="str">
        <f>+IF(ISBLANK(INDEX(WORLDCUP!$AE$101:$AE$147,MATCH(Y28,WORLDCUP!$Z$101:$Z$147,0))),"","( "&amp;INDEX(WORLDCUP!$AE$101:$AE$147,MATCH(Y28,WORLDCUP!$Z$101:$Z$147,0))&amp;" )")</f>
        <v/>
      </c>
      <c r="AD28" s="548">
        <v>91</v>
      </c>
      <c r="AE28" s="549" t="str">
        <f ca="1">+MID(INDEX(WORLDCUP!$AA$101:$AA$147,MATCH(AD28,WORLDCUP!$Z$101:$Z$147,0)),1,3)</f>
        <v>Bra</v>
      </c>
      <c r="AF28" s="550">
        <f>+IF(ISBLANK(INDEX(WORLDCUP!$AC$101:$AC$147,MATCH(AD28,WORLDCUP!$Z$101:$Z$147,0))),"",INDEX(WORLDCUP!$AC$101:$AC$147,MATCH(AD28,WORLDCUP!$Z$101:$Z$147,0)))</f>
        <v>4</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c r="A29" s="19">
        <v>32</v>
      </c>
      <c r="B29" s="638"/>
      <c r="C29" s="537" t="str">
        <f ca="1">+MID(INDEX(WORLDCUP!$AA$4:$AA$147,MATCH(A29,WORLDCUP!$AH$4:$AH$147,0)),1,3)</f>
        <v>Est</v>
      </c>
      <c r="D29" s="538">
        <f>IF(ISBLANK(INDEX(WORLDCUP!$AC$4:$AC$147,MATCH(A29,WORLDCUP!$AH$4:$AH$147,0))),"",INDEX(WORLDCUP!$AC$4:$AC$147,MATCH(A29,WORLDCUP!$AH$4:$AH$147,0)))</f>
        <v>1</v>
      </c>
      <c r="E29" s="538">
        <f>IF(ISBLANK(INDEX(WORLDCUP!$AD$4:$AD$147,MATCH(A29,WORLDCUP!$AH$4:$AH$147,0))),"",INDEX(WORLDCUP!$AD$4:$AD$147,MATCH(A29,WORLDCUP!$AH$4:$AH$147,0)))</f>
        <v>0</v>
      </c>
      <c r="F29" s="539" t="str">
        <f ca="1">+MID(INDEX(WORLDCUP!$AF$4:$AF$147,MATCH(A29,WORLDCUP!$AH$4:$AH$147,0)),1,3)</f>
        <v>Aus</v>
      </c>
      <c r="G29" s="560">
        <v>2</v>
      </c>
      <c r="H29" s="561" t="str">
        <f ca="1">+MID(INDEX(WORLDCUP!$AL$6:$AL$97,MATCH(L29,WORLDCUP!$AI$6:$AI$97,0)),1,3)</f>
        <v>Est</v>
      </c>
      <c r="I29" s="229">
        <f ca="1">+INDEX(WORLDCUP!$AM$6:$AM$97,MATCH(L29,WORLDCUP!$AI$6:$AI$97,0))</f>
        <v>5</v>
      </c>
      <c r="J29" s="230">
        <f ca="1">+INDEX(WORLDCUP!$AT$6:$AT$97,MATCH(L29,WORLDCUP!$AI$6:$AI$97,0))</f>
        <v>1</v>
      </c>
      <c r="K29" s="231" t="str">
        <f ca="1">+INDEX(WORLDCUP!$AR$6:$AR$97,MATCH(L29,WORLDCUP!$AI$6:$AI$97,0))&amp;"-"&amp;INDEX(WORLDCUP!$AS$6:$AS$97,MATCH(L29,WORLDCUP!$AI$6:$AI$97,0))</f>
        <v>3-2</v>
      </c>
      <c r="L29" s="19" t="s">
        <v>659</v>
      </c>
      <c r="M29" s="19">
        <v>43</v>
      </c>
      <c r="N29" s="639"/>
      <c r="O29" s="537" t="str">
        <f ca="1">+MID(INDEX(WORLDCUP!$AA$4:$AA$147,MATCH(M29,WORLDCUP!$AH$4:$AH$147,0)),1,3)</f>
        <v>Arg</v>
      </c>
      <c r="P29" s="538">
        <f>IF(ISBLANK(INDEX(WORLDCUP!$AC$4:$AC$147,MATCH(M29,WORLDCUP!$AH$4:$AH$147,0))),"",INDEX(WORLDCUP!$AC$4:$AC$147,MATCH(M29,WORLDCUP!$AH$4:$AH$147,0)))</f>
        <v>1</v>
      </c>
      <c r="Q29" s="538">
        <f>IF(ISBLANK(INDEX(WORLDCUP!$AD$4:$AD$147,MATCH(M29,WORLDCUP!$AH$4:$AH$147,0))),"",INDEX(WORLDCUP!$AD$4:$AD$147,MATCH(M29,WORLDCUP!$AH$4:$AH$147,0)))</f>
        <v>0</v>
      </c>
      <c r="R29" s="539" t="str">
        <f ca="1">+MID(INDEX(WORLDCUP!$AF$4:$AF$147,MATCH(M29,WORLDCUP!$AH$4:$AH$147,0)),1,3)</f>
        <v>Aus</v>
      </c>
      <c r="S29" s="560">
        <v>2</v>
      </c>
      <c r="T29" s="561" t="str">
        <f ca="1">+MID(INDEX(WORLDCUP!$AL$6:$AL$97,MATCH(X29,WORLDCUP!$AI$6:$AI$97,0)),1,3)</f>
        <v>Aus</v>
      </c>
      <c r="U29" s="229">
        <f ca="1">+INDEX(WORLDCUP!$AM$6:$AM$97,MATCH(X29,WORLDCUP!$AI$6:$AI$97,0))</f>
        <v>4</v>
      </c>
      <c r="V29" s="230">
        <f ca="1">+INDEX(WORLDCUP!$AT$6:$AT$97,MATCH(X29,WORLDCUP!$AI$6:$AI$97,0))</f>
        <v>0</v>
      </c>
      <c r="W29" s="231" t="str">
        <f ca="1">+INDEX(WORLDCUP!$AR$6:$AR$97,MATCH(X29,WORLDCUP!$AI$6:$AI$97,0))&amp;"-"&amp;INDEX(WORLDCUP!$AS$6:$AS$97,MATCH(X29,WORLDCUP!$AI$6:$AI$97,0))</f>
        <v>1-1</v>
      </c>
      <c r="X29" s="19" t="s">
        <v>677</v>
      </c>
      <c r="Y29" s="19"/>
      <c r="Z29" s="518"/>
      <c r="AA29" s="562"/>
      <c r="AB29" s="562"/>
      <c r="AC29" s="563"/>
      <c r="AD29" s="19">
        <v>91</v>
      </c>
      <c r="AE29" s="549" t="str">
        <f ca="1">+MID(INDEX(WORLDCUP!$AF$101:$AF$147,MATCH(AD29,WORLDCUP!$Z$101:$Z$147,0)),1,3)</f>
        <v>Nor</v>
      </c>
      <c r="AF29" s="550">
        <f>+IF(ISBLANK(INDEX(WORLDCUP!$AD$101:$AD$147,MATCH(AD29,WORLDCUP!$Z$101:$Z$147,0))),"",INDEX(WORLDCUP!$AD$101:$AD$147,MATCH(AD29,WORLDCUP!$Z$101:$Z$147,0)))</f>
        <v>3</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0</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1</v>
      </c>
      <c r="BM29" s="556">
        <f ca="1">COUNTIF(ADMIN!$M$252,Fixture!BG29)</f>
        <v>0</v>
      </c>
      <c r="BN29" s="556">
        <f ca="1">COUNTIF(ADMIN!$M$251,Fixture!BG29)</f>
        <v>0</v>
      </c>
      <c r="BO29" s="559">
        <f ca="1">COUNTIF(ADMIN!$M$250,Fixture!BG29)</f>
        <v>0</v>
      </c>
    </row>
    <row r="30" spans="1:67" ht="15" thickBot="1">
      <c r="A30" s="19">
        <v>31</v>
      </c>
      <c r="B30" s="638"/>
      <c r="C30" s="537" t="str">
        <f ca="1">+MID(INDEX(WORLDCUP!$AA$4:$AA$147,MATCH(A30,WORLDCUP!$AH$4:$AH$147,0)),1,3)</f>
        <v>Tur</v>
      </c>
      <c r="D30" s="538">
        <f>IF(ISBLANK(INDEX(WORLDCUP!$AC$4:$AC$147,MATCH(A30,WORLDCUP!$AH$4:$AH$147,0))),"",INDEX(WORLDCUP!$AC$4:$AC$147,MATCH(A30,WORLDCUP!$AH$4:$AH$147,0)))</f>
        <v>3</v>
      </c>
      <c r="E30" s="538">
        <f>IF(ISBLANK(INDEX(WORLDCUP!$AD$4:$AD$147,MATCH(A30,WORLDCUP!$AH$4:$AH$147,0))),"",INDEX(WORLDCUP!$AD$4:$AD$147,MATCH(A30,WORLDCUP!$AH$4:$AH$147,0)))</f>
        <v>1</v>
      </c>
      <c r="F30" s="539" t="str">
        <f ca="1">+MID(INDEX(WORLDCUP!$AF$4:$AF$147,MATCH(A30,WORLDCUP!$AH$4:$AH$147,0)),1,3)</f>
        <v>Par</v>
      </c>
      <c r="G30" s="560">
        <v>3</v>
      </c>
      <c r="H30" s="561" t="str">
        <f ca="1">+MID(INDEX(WORLDCUP!$AL$6:$AL$97,MATCH(L30,WORLDCUP!$AI$6:$AI$97,0)),1,3)</f>
        <v>Par</v>
      </c>
      <c r="I30" s="229">
        <f ca="1">+INDEX(WORLDCUP!$AM$6:$AM$97,MATCH(L30,WORLDCUP!$AI$6:$AI$97,0))</f>
        <v>4</v>
      </c>
      <c r="J30" s="230">
        <f ca="1">+INDEX(WORLDCUP!$AT$6:$AT$97,MATCH(L30,WORLDCUP!$AI$6:$AI$97,0))</f>
        <v>-1</v>
      </c>
      <c r="K30" s="231" t="str">
        <f ca="1">+INDEX(WORLDCUP!$AR$6:$AR$97,MATCH(L30,WORLDCUP!$AI$6:$AI$97,0))&amp;"-"&amp;INDEX(WORLDCUP!$AS$6:$AS$97,MATCH(L30,WORLDCUP!$AI$6:$AI$97,0))</f>
        <v>4-5</v>
      </c>
      <c r="L30" s="19" t="s">
        <v>92</v>
      </c>
      <c r="M30" s="19">
        <v>44</v>
      </c>
      <c r="N30" s="639"/>
      <c r="O30" s="537" t="str">
        <f ca="1">+MID(INDEX(WORLDCUP!$AA$4:$AA$147,MATCH(M30,WORLDCUP!$AH$4:$AH$147,0)),1,3)</f>
        <v>Jor</v>
      </c>
      <c r="P30" s="538">
        <f>IF(ISBLANK(INDEX(WORLDCUP!$AC$4:$AC$147,MATCH(M30,WORLDCUP!$AH$4:$AH$147,0))),"",INDEX(WORLDCUP!$AC$4:$AC$147,MATCH(M30,WORLDCUP!$AH$4:$AH$147,0)))</f>
        <v>1</v>
      </c>
      <c r="Q30" s="538">
        <f>IF(ISBLANK(INDEX(WORLDCUP!$AD$4:$AD$147,MATCH(M30,WORLDCUP!$AH$4:$AH$147,0))),"",INDEX(WORLDCUP!$AD$4:$AD$147,MATCH(M30,WORLDCUP!$AH$4:$AH$147,0)))</f>
        <v>1</v>
      </c>
      <c r="R30" s="539" t="str">
        <f ca="1">+MID(INDEX(WORLDCUP!$AF$4:$AF$147,MATCH(M30,WORLDCUP!$AH$4:$AH$147,0)),1,3)</f>
        <v>Arg</v>
      </c>
      <c r="S30" s="560">
        <v>3</v>
      </c>
      <c r="T30" s="561" t="str">
        <f ca="1">+MID(INDEX(WORLDCUP!$AL$6:$AL$97,MATCH(X30,WORLDCUP!$AI$6:$AI$97,0)),1,3)</f>
        <v>Arg</v>
      </c>
      <c r="U30" s="229">
        <f ca="1">+INDEX(WORLDCUP!$AM$6:$AM$97,MATCH(X30,WORLDCUP!$AI$6:$AI$97,0))</f>
        <v>2</v>
      </c>
      <c r="V30" s="230">
        <f ca="1">+INDEX(WORLDCUP!$AT$6:$AT$97,MATCH(X30,WORLDCUP!$AI$6:$AI$97,0))</f>
        <v>-2</v>
      </c>
      <c r="W30" s="231" t="str">
        <f ca="1">+INDEX(WORLDCUP!$AR$6:$AR$97,MATCH(X30,WORLDCUP!$AI$6:$AI$97,0))&amp;"-"&amp;INDEX(WORLDCUP!$AS$6:$AS$97,MATCH(X30,WORLDCUP!$AI$6:$AI$97,0))</f>
        <v>1-3</v>
      </c>
      <c r="X30" s="19" t="s">
        <v>441</v>
      </c>
      <c r="Y30" s="19">
        <v>78</v>
      </c>
      <c r="Z30" s="518" t="s">
        <v>662</v>
      </c>
      <c r="AA30" s="519" t="str">
        <f ca="1">+MID(INDEX(WORLDCUP!$AA$101:$AA$147,MATCH(Y30,WORLDCUP!$Z$101:$Z$147,0)),1,3)</f>
        <v>Cos</v>
      </c>
      <c r="AB30" s="565">
        <f>+IF(ISBLANK(INDEX(WORLDCUP!$AC$101:$AC$147,MATCH(Y30,WORLDCUP!$Z$101:$Z$147,0))),"",INDEX(WORLDCUP!$AC$101:$AC$147,MATCH(Y30,WORLDCUP!$Z$101:$Z$147,0)))</f>
        <v>0</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5" thickBot="1">
      <c r="A31" s="19">
        <v>59</v>
      </c>
      <c r="B31" s="638"/>
      <c r="C31" s="537" t="str">
        <f ca="1">+MID(INDEX(WORLDCUP!$AA$4:$AA$147,MATCH(A31,WORLDCUP!$AH$4:$AH$147,0)),1,3)</f>
        <v>Tur</v>
      </c>
      <c r="D31" s="538">
        <f>IF(ISBLANK(INDEX(WORLDCUP!$AC$4:$AC$147,MATCH(A31,WORLDCUP!$AH$4:$AH$147,0))),"",INDEX(WORLDCUP!$AC$4:$AC$147,MATCH(A31,WORLDCUP!$AH$4:$AH$147,0)))</f>
        <v>1</v>
      </c>
      <c r="E31" s="538">
        <f>IF(ISBLANK(INDEX(WORLDCUP!$AD$4:$AD$147,MATCH(A31,WORLDCUP!$AH$4:$AH$147,0))),"",INDEX(WORLDCUP!$AD$4:$AD$147,MATCH(A31,WORLDCUP!$AH$4:$AH$147,0)))</f>
        <v>1</v>
      </c>
      <c r="F31" s="539" t="str">
        <f ca="1">+MID(INDEX(WORLDCUP!$AF$4:$AF$147,MATCH(A31,WORLDCUP!$AH$4:$AH$147,0)),1,3)</f>
        <v>Est</v>
      </c>
      <c r="G31" s="560">
        <v>4</v>
      </c>
      <c r="H31" s="569" t="str">
        <f ca="1">+MID(INDEX(WORLDCUP!$AL$6:$AL$97,MATCH(L31,WORLDCUP!$AI$6:$AI$97,0)),1,3)</f>
        <v>Aus</v>
      </c>
      <c r="I31" s="570">
        <f ca="1">+INDEX(WORLDCUP!$AM$6:$AM$97,MATCH(L31,WORLDCUP!$AI$6:$AI$97,0))</f>
        <v>0</v>
      </c>
      <c r="J31" s="571">
        <f ca="1">+INDEX(WORLDCUP!$AT$6:$AT$97,MATCH(L31,WORLDCUP!$AI$6:$AI$97,0))</f>
        <v>-3</v>
      </c>
      <c r="K31" s="572" t="str">
        <f ca="1">+INDEX(WORLDCUP!$AR$6:$AR$97,MATCH(L31,WORLDCUP!$AI$6:$AI$97,0))&amp;"-"&amp;INDEX(WORLDCUP!$AS$6:$AS$97,MATCH(L31,WORLDCUP!$AI$6:$AI$97,0))</f>
        <v>3-6</v>
      </c>
      <c r="L31" s="19" t="s">
        <v>660</v>
      </c>
      <c r="M31" s="19">
        <v>69</v>
      </c>
      <c r="N31" s="639"/>
      <c r="O31" s="537" t="str">
        <f ca="1">+MID(INDEX(WORLDCUP!$AA$4:$AA$147,MATCH(M31,WORLDCUP!$AH$4:$AH$147,0)),1,3)</f>
        <v>Arg</v>
      </c>
      <c r="P31" s="538">
        <f>IF(ISBLANK(INDEX(WORLDCUP!$AC$4:$AC$147,MATCH(M31,WORLDCUP!$AH$4:$AH$147,0))),"",INDEX(WORLDCUP!$AC$4:$AC$147,MATCH(M31,WORLDCUP!$AH$4:$AH$147,0)))</f>
        <v>0</v>
      </c>
      <c r="Q31" s="538">
        <f>IF(ISBLANK(INDEX(WORLDCUP!$AD$4:$AD$147,MATCH(M31,WORLDCUP!$AH$4:$AH$147,0))),"",INDEX(WORLDCUP!$AD$4:$AD$147,MATCH(M31,WORLDCUP!$AH$4:$AH$147,0)))</f>
        <v>0</v>
      </c>
      <c r="R31" s="539" t="str">
        <f ca="1">+MID(INDEX(WORLDCUP!$AF$4:$AF$147,MATCH(M31,WORLDCUP!$AH$4:$AH$147,0)),1,3)</f>
        <v>Aus</v>
      </c>
      <c r="S31" s="560">
        <v>4</v>
      </c>
      <c r="T31" s="569" t="str">
        <f ca="1">+MID(INDEX(WORLDCUP!$AL$6:$AL$97,MATCH(X31,WORLDCUP!$AI$6:$AI$97,0)),1,3)</f>
        <v>Jor</v>
      </c>
      <c r="U31" s="570">
        <f ca="1">+INDEX(WORLDCUP!$AM$6:$AM$97,MATCH(X31,WORLDCUP!$AI$6:$AI$97,0))</f>
        <v>1</v>
      </c>
      <c r="V31" s="571">
        <f ca="1">+INDEX(WORLDCUP!$AT$6:$AT$97,MATCH(X31,WORLDCUP!$AI$6:$AI$97,0))</f>
        <v>-5</v>
      </c>
      <c r="W31" s="572" t="str">
        <f ca="1">+INDEX(WORLDCUP!$AR$6:$AR$97,MATCH(X31,WORLDCUP!$AI$6:$AI$97,0))&amp;"-"&amp;INDEX(WORLDCUP!$AS$6:$AS$97,MATCH(X31,WORLDCUP!$AI$6:$AI$97,0))</f>
        <v>1-6</v>
      </c>
      <c r="X31" s="19" t="s">
        <v>678</v>
      </c>
      <c r="Y31" s="19">
        <v>78</v>
      </c>
      <c r="Z31" s="518" t="s">
        <v>674</v>
      </c>
      <c r="AA31" s="573" t="str">
        <f ca="1">+MID(INDEX(WORLDCUP!$AF$101:$AF$147,MATCH(Y31,WORLDCUP!$Z$101:$Z$147,0)),1,3)</f>
        <v>Nor</v>
      </c>
      <c r="AB31" s="574">
        <f>+IF(ISBLANK(INDEX(WORLDCUP!$AD$101:$AD$147,MATCH(Y31,WORLDCUP!$Z$101:$Z$147,0))),"",INDEX(WORLDCUP!$AD$101:$AD$147,MATCH(Y31,WORLDCUP!$Z$101:$Z$147,0)))</f>
        <v>2</v>
      </c>
      <c r="AC31" s="600" t="str">
        <f>+IF(ISBLANK(INDEX(WORLDCUP!$AE$101:$AE$147,MATCH(Y31,WORLDCUP!$Z$101:$Z$147,0))),"","( "&amp;INDEX(WORLDCUP!$AE$101:$AE$147,MATCH(Y31,WORLDCUP!$Z$101:$Z$147,0))&amp;" )")</f>
        <v/>
      </c>
      <c r="AD31" s="19"/>
      <c r="AE31" s="567"/>
      <c r="AF31" s="567"/>
      <c r="AG31" s="568"/>
      <c r="AH31" s="592">
        <v>99</v>
      </c>
      <c r="AI31" s="576" t="str">
        <f ca="1">+MID(INDEX(WORLDCUP!$AA$101:$AA$147,MATCH(AH31,WORLDCUP!$Z$101:$Z$147,0)),1,3)</f>
        <v>Bra</v>
      </c>
      <c r="AJ31" s="577">
        <f>+IF(ISBLANK(INDEX(WORLDCUP!$AC$101:$AC$147,MATCH(AH31,WORLDCUP!$Z$101:$Z$147,0))),"",INDEX(WORLDCUP!$AC$101:$AC$147,MATCH(AH31,WORLDCUP!$Z$101:$Z$147,0)))</f>
        <v>1</v>
      </c>
      <c r="AK31" s="578" t="str">
        <f>+IF(ISBLANK(INDEX(WORLDCUP!$AB$101:$AB$147,MATCH(AH31,WORLDCUP!$Z$101:$Z$147,0))),"","( "&amp;INDEX(WORLDCUP!$AB$101:$AB$147,MATCH(AH31,WORLDCUP!$Z$101:$Z$147,0))&amp;" )")</f>
        <v>( 4 )</v>
      </c>
      <c r="AL31" s="19"/>
      <c r="AM31" s="524"/>
      <c r="AN31" s="524"/>
      <c r="AO31" s="605"/>
      <c r="AP31" s="640">
        <v>103</v>
      </c>
      <c r="AQ31" s="641" t="str">
        <f ca="1">+MID(INDEX(WORLDCUP!$AA$101:$AA$147,MATCH(AP31,WORLDCUP!$Z$101:$Z$147,0)),1,4)</f>
        <v>Fran</v>
      </c>
      <c r="AR31" s="642">
        <f>+IF(ISBLANK(INDEX(WORLDCUP!$AC$101:$AC$147,MATCH(AP31,WORLDCUP!$Z$101:$Z$147,0))),"",INDEX(WORLDCUP!$AC$101:$AC$147,MATCH(AP31,WORLDCUP!$Z$101:$Z$147,0)))</f>
        <v>2</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0</v>
      </c>
      <c r="BI31" s="556">
        <f ca="1">COUNTIF(ADMIN!$M$130:$M$161,Fixture!BG31)-BJ31-BK31-BL31-BM31-BN31-BO31</f>
        <v>1</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5" thickBot="1">
      <c r="A32" s="19">
        <v>60</v>
      </c>
      <c r="B32" s="649"/>
      <c r="C32" s="580" t="str">
        <f ca="1">+MID(INDEX(WORLDCUP!$AA$4:$AA$147,MATCH(A32,WORLDCUP!$AH$4:$AH$147,0)),1,3)</f>
        <v>Par</v>
      </c>
      <c r="D32" s="581">
        <f>IF(ISBLANK(INDEX(WORLDCUP!$AC$4:$AC$147,MATCH(A32,WORLDCUP!$AH$4:$AH$147,0))),"",INDEX(WORLDCUP!$AC$4:$AC$147,MATCH(A32,WORLDCUP!$AH$4:$AH$147,0)))</f>
        <v>2</v>
      </c>
      <c r="E32" s="581">
        <f>IF(ISBLANK(INDEX(WORLDCUP!$AD$4:$AD$147,MATCH(A32,WORLDCUP!$AH$4:$AH$147,0))),"",INDEX(WORLDCUP!$AD$4:$AD$147,MATCH(A32,WORLDCUP!$AH$4:$AH$147,0)))</f>
        <v>1</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f>IF(ISBLANK(INDEX(WORLDCUP!$AC$4:$AC$147,MATCH(M32,WORLDCUP!$AH$4:$AH$147,0))),"",INDEX(WORLDCUP!$AC$4:$AC$147,MATCH(M32,WORLDCUP!$AH$4:$AH$147,0)))</f>
        <v>0</v>
      </c>
      <c r="Q32" s="581">
        <f>IF(ISBLANK(INDEX(WORLDCUP!$AD$4:$AD$147,MATCH(M32,WORLDCUP!$AH$4:$AH$147,0))),"",INDEX(WORLDCUP!$AD$4:$AD$147,MATCH(M32,WORLDCUP!$AH$4:$AH$147,0)))</f>
        <v>4</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 ca="1">+MID(INDEX(WORLDCUP!$AF$101:$AF$147,MATCH(AH32,WORLDCUP!$Z$101:$Z$147,0)),1,3)</f>
        <v>Ing</v>
      </c>
      <c r="AJ32" s="577">
        <f>+IF(ISBLANK(INDEX(WORLDCUP!$AD$101:$AD$147,MATCH(AH32,WORLDCUP!$Z$101:$Z$147,0))),"",INDEX(WORLDCUP!$AD$101:$AD$147,MATCH(AH32,WORLDCUP!$Z$101:$Z$147,0)))</f>
        <v>1</v>
      </c>
      <c r="AK32" s="588" t="str">
        <f>+IF(ISBLANK(INDEX(WORLDCUP!$AE$101:$AE$147,MATCH(AH32,WORLDCUP!$Z$101:$Z$147,0))),"","( "&amp;INDEX(WORLDCUP!$AE$101:$AE$147,MATCH(AH32,WORLDCUP!$Z$101:$Z$147,0))&amp;" )")</f>
        <v>( 5 )</v>
      </c>
      <c r="AL32" s="19"/>
      <c r="AM32" s="524"/>
      <c r="AN32" s="524"/>
      <c r="AO32" s="605"/>
      <c r="AP32" s="98">
        <v>103</v>
      </c>
      <c r="AQ32" s="641" t="str">
        <f ca="1">+MID(INDEX(WORLDCUP!$AF$101:$AF$147,MATCH(AP32,WORLDCUP!$Z$101:$Z$147,0)),1,4)</f>
        <v>Ingl</v>
      </c>
      <c r="AR32" s="642">
        <f>+IF(ISBLANK(INDEX(WORLDCUP!$AD$101:$AD$147,MATCH(AP32,WORLDCUP!$Z$101:$Z$147,0))),"",INDEX(WORLDCUP!$AD$101:$AD$147,MATCH(AP32,WORLDCUP!$Z$101:$Z$147,0)))</f>
        <v>0</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0</v>
      </c>
      <c r="BI32" s="556">
        <f ca="1">COUNTIF(ADMIN!$M$130:$M$161,Fixture!BG32)-BJ32-BK32-BL32-BM32-BN32-BO32</f>
        <v>0</v>
      </c>
      <c r="BJ32" s="557">
        <f ca="1">COUNTIF(ADMIN!$M$182:$M$197,Fixture!BG32)-BK32-BL32-BM32-BN32-BO32</f>
        <v>0</v>
      </c>
      <c r="BK32" s="558">
        <f ca="1">COUNTIF(ADMIN!$M$210:$M$217,Fixture!BG32)-BL32-BM32-BN32-BO32</f>
        <v>1</v>
      </c>
      <c r="BL32" s="558">
        <f ca="1">COUNTIF(ADMIN!$M$226:$M$229,BG32)-BM32-BN32-BO32</f>
        <v>0</v>
      </c>
      <c r="BM32" s="556">
        <f ca="1">COUNTIF(ADMIN!$M$252,Fixture!BG32)</f>
        <v>0</v>
      </c>
      <c r="BN32" s="556">
        <f ca="1">COUNTIF(ADMIN!$M$251,Fixture!BG32)</f>
        <v>0</v>
      </c>
      <c r="BO32" s="559">
        <f ca="1">COUNTIF(ADMIN!$M$250,Fixture!BG32)</f>
        <v>0</v>
      </c>
    </row>
    <row r="33" spans="1:67" ht="15" thickBot="1">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Méx</v>
      </c>
      <c r="AB33" s="520">
        <f>+IF(ISBLANK(INDEX(WORLDCUP!$AC$101:$AC$147,MATCH(Y33,WORLDCUP!$Z$101:$Z$147,0))),"",INDEX(WORLDCUP!$AC$101:$AC$147,MATCH(Y33,WORLDCUP!$Z$101:$Z$147,0)))</f>
        <v>1</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5" thickBot="1">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Mar</v>
      </c>
      <c r="AB34" s="546">
        <f>+IF(ISBLANK(INDEX(WORLDCUP!$AD$101:$AD$147,MATCH(Y34,WORLDCUP!$Z$101:$Z$147,0))),"",INDEX(WORLDCUP!$AD$101:$AD$147,MATCH(Y34,WORLDCUP!$Z$101:$Z$147,0)))</f>
        <v>0</v>
      </c>
      <c r="AC34" s="547" t="str">
        <f>+IF(ISBLANK(INDEX(WORLDCUP!$AE$101:$AE$147,MATCH(Y34,WORLDCUP!$Z$101:$Z$147,0))),"","( "&amp;INDEX(WORLDCUP!$AE$101:$AE$147,MATCH(Y34,WORLDCUP!$Z$101:$Z$147,0))&amp;" )")</f>
        <v/>
      </c>
      <c r="AD34" s="548">
        <v>92</v>
      </c>
      <c r="AE34" s="549" t="str">
        <f ca="1">+MID(INDEX(WORLDCUP!$AA$101:$AA$147,MATCH(AD34,WORLDCUP!$Z$101:$Z$147,0)),1,3)</f>
        <v>Méx</v>
      </c>
      <c r="AF34" s="550">
        <f>+IF(ISBLANK(INDEX(WORLDCUP!$AC$101:$AC$147,MATCH(AD34,WORLDCUP!$Z$101:$Z$147,0))),"",INDEX(WORLDCUP!$AC$101:$AC$147,MATCH(AD34,WORLDCUP!$Z$101:$Z$147,0)))</f>
        <v>1</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0</v>
      </c>
      <c r="BI34" s="556">
        <f ca="1">COUNTIF(ADMIN!$M$130:$M$161,Fixture!BG34)-BJ34-BK34-BL34-BM34-BN34-BO34</f>
        <v>1</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c r="A35" s="19">
        <v>10</v>
      </c>
      <c r="B35" s="651" t="s">
        <v>3</v>
      </c>
      <c r="C35" s="510" t="str">
        <f ca="1">+MID(INDEX(WORLDCUP!$AA$4:$AA$147,MATCH(A35,WORLDCUP!$AH$4:$AH$147,0)),1,3)</f>
        <v>Ale</v>
      </c>
      <c r="D35" s="511">
        <f>IF(ISBLANK(INDEX(WORLDCUP!$AC$4:$AC$147,MATCH(A35,WORLDCUP!$AH$4:$AH$147,0))),"",INDEX(WORLDCUP!$AC$4:$AC$147,MATCH(A35,WORLDCUP!$AH$4:$AH$147,0)))</f>
        <v>3</v>
      </c>
      <c r="E35" s="511">
        <f>IF(ISBLANK(INDEX(WORLDCUP!$AD$4:$AD$147,MATCH(A35,WORLDCUP!$AH$4:$AH$147,0))),"",INDEX(WORLDCUP!$AD$4:$AD$147,MATCH(A35,WORLDCUP!$AH$4:$AH$147,0)))</f>
        <v>0</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f>IF(ISBLANK(INDEX(WORLDCUP!$AC$4:$AC$147,MATCH(M35,WORLDCUP!$AH$4:$AH$147,0))),"",INDEX(WORLDCUP!$AC$4:$AC$147,MATCH(M35,WORLDCUP!$AH$4:$AH$147,0)))</f>
        <v>2</v>
      </c>
      <c r="Q35" s="511">
        <f>IF(ISBLANK(INDEX(WORLDCUP!$AD$4:$AD$147,MATCH(M35,WORLDCUP!$AH$4:$AH$147,0))),"",INDEX(WORLDCUP!$AD$4:$AD$147,MATCH(M35,WORLDCUP!$AH$4:$AH$147,0)))</f>
        <v>0</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 ca="1">+MID(INDEX(WORLDCUP!$AF$101:$AF$147,MATCH(AD35,WORLDCUP!$Z$101:$Z$147,0)),1,3)</f>
        <v>Ing</v>
      </c>
      <c r="AF35" s="550">
        <f>+IF(ISBLANK(INDEX(WORLDCUP!$AD$101:$AD$147,MATCH(AD35,WORLDCUP!$Z$101:$Z$147,0))),"",INDEX(WORLDCUP!$AD$101:$AD$147,MATCH(AD35,WORLDCUP!$Z$101:$Z$147,0)))</f>
        <v>2</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0</v>
      </c>
      <c r="BI35" s="556">
        <f ca="1">COUNTIF(ADMIN!$M$130:$M$161,Fixture!BG35)-BJ35-BK35-BL35-BM35-BN35-BO35</f>
        <v>0</v>
      </c>
      <c r="BJ35" s="557">
        <f ca="1">COUNTIF(ADMIN!$M$182:$M$197,Fixture!BG35)-BK35-BL35-BM35-BN35-BO35</f>
        <v>1</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5" thickBot="1">
      <c r="A36" s="19">
        <v>9</v>
      </c>
      <c r="B36" s="654"/>
      <c r="C36" s="537" t="str">
        <f ca="1">+MID(INDEX(WORLDCUP!$AA$4:$AA$147,MATCH(A36,WORLDCUP!$AH$4:$AH$147,0)),1,3)</f>
        <v>Cos</v>
      </c>
      <c r="D36" s="538">
        <f>IF(ISBLANK(INDEX(WORLDCUP!$AC$4:$AC$147,MATCH(A36,WORLDCUP!$AH$4:$AH$147,0))),"",INDEX(WORLDCUP!$AC$4:$AC$147,MATCH(A36,WORLDCUP!$AH$4:$AH$147,0)))</f>
        <v>3</v>
      </c>
      <c r="E36" s="538">
        <f>IF(ISBLANK(INDEX(WORLDCUP!$AD$4:$AD$147,MATCH(A36,WORLDCUP!$AH$4:$AH$147,0))),"",INDEX(WORLDCUP!$AD$4:$AD$147,MATCH(A36,WORLDCUP!$AH$4:$AH$147,0)))</f>
        <v>3</v>
      </c>
      <c r="F36" s="539" t="str">
        <f ca="1">+MID(INDEX(WORLDCUP!$AF$4:$AF$147,MATCH(A36,WORLDCUP!$AH$4:$AH$147,0)),1,3)</f>
        <v>Ecu</v>
      </c>
      <c r="G36" s="540">
        <v>1</v>
      </c>
      <c r="H36" s="541" t="str">
        <f ca="1">+MID(INDEX(WORLDCUP!$AL$6:$AL$97,MATCH(L36,WORLDCUP!$AI$6:$AI$97,0)),1,3)</f>
        <v>Ale</v>
      </c>
      <c r="I36" s="542">
        <f ca="1">+INDEX(WORLDCUP!$AM$6:$AM$97,MATCH(L36,WORLDCUP!$AI$6:$AI$97,0))</f>
        <v>7</v>
      </c>
      <c r="J36" s="543">
        <f ca="1">+INDEX(WORLDCUP!$AT$6:$AT$97,MATCH(L36,WORLDCUP!$AI$6:$AI$97,0))</f>
        <v>4</v>
      </c>
      <c r="K36" s="544" t="str">
        <f ca="1">+INDEX(WORLDCUP!$AR$6:$AR$97,MATCH(L36,WORLDCUP!$AI$6:$AI$97,0))&amp;"-"&amp;INDEX(WORLDCUP!$AS$6:$AS$97,MATCH(L36,WORLDCUP!$AI$6:$AI$97,0))</f>
        <v>8-4</v>
      </c>
      <c r="L36" s="19" t="s">
        <v>661</v>
      </c>
      <c r="M36" s="19">
        <v>24</v>
      </c>
      <c r="N36" s="655"/>
      <c r="O36" s="537" t="str">
        <f ca="1">+MID(INDEX(WORLDCUP!$AA$4:$AA$147,MATCH(M36,WORLDCUP!$AH$4:$AH$147,0)),1,3)</f>
        <v>Uzb</v>
      </c>
      <c r="P36" s="538">
        <f>IF(ISBLANK(INDEX(WORLDCUP!$AC$4:$AC$147,MATCH(M36,WORLDCUP!$AH$4:$AH$147,0))),"",INDEX(WORLDCUP!$AC$4:$AC$147,MATCH(M36,WORLDCUP!$AH$4:$AH$147,0)))</f>
        <v>0</v>
      </c>
      <c r="Q36" s="538">
        <f>IF(ISBLANK(INDEX(WORLDCUP!$AD$4:$AD$147,MATCH(M36,WORLDCUP!$AH$4:$AH$147,0))),"",INDEX(WORLDCUP!$AD$4:$AD$147,MATCH(M36,WORLDCUP!$AH$4:$AH$147,0)))</f>
        <v>3</v>
      </c>
      <c r="R36" s="539" t="str">
        <f ca="1">+MID(INDEX(WORLDCUP!$AF$4:$AF$147,MATCH(M36,WORLDCUP!$AH$4:$AH$147,0)),1,3)</f>
        <v>Col</v>
      </c>
      <c r="S36" s="540">
        <v>1</v>
      </c>
      <c r="T36" s="541" t="str">
        <f ca="1">+MID(INDEX(WORLDCUP!$AL$6:$AL$97,MATCH(X36,WORLDCUP!$AI$6:$AI$97,0)),1,3)</f>
        <v>Por</v>
      </c>
      <c r="U36" s="542">
        <f ca="1">+INDEX(WORLDCUP!$AM$6:$AM$97,MATCH(X36,WORLDCUP!$AI$6:$AI$97,0))</f>
        <v>9</v>
      </c>
      <c r="V36" s="543">
        <f ca="1">+INDEX(WORLDCUP!$AT$6:$AT$97,MATCH(X36,WORLDCUP!$AI$6:$AI$97,0))</f>
        <v>4</v>
      </c>
      <c r="W36" s="544" t="str">
        <f ca="1">+INDEX(WORLDCUP!$AR$6:$AR$97,MATCH(X36,WORLDCUP!$AI$6:$AI$97,0))&amp;"-"&amp;INDEX(WORLDCUP!$AS$6:$AS$97,MATCH(X36,WORLDCUP!$AI$6:$AI$97,0))</f>
        <v>5-1</v>
      </c>
      <c r="X36" s="19" t="s">
        <v>679</v>
      </c>
      <c r="Y36" s="19">
        <v>80</v>
      </c>
      <c r="Z36" s="518" t="s">
        <v>682</v>
      </c>
      <c r="AA36" s="519" t="str">
        <f ca="1">+MID(INDEX(WORLDCUP!$AA$101:$AA$147,MATCH(Y36,WORLDCUP!$Z$101:$Z$147,0)),1,3)</f>
        <v>Ing</v>
      </c>
      <c r="AB36" s="565">
        <f>+IF(ISBLANK(INDEX(WORLDCUP!$AC$101:$AC$147,MATCH(Y36,WORLDCUP!$Z$101:$Z$147,0))),"",INDEX(WORLDCUP!$AC$101:$AC$147,MATCH(Y36,WORLDCUP!$Z$101:$Z$147,0)))</f>
        <v>4</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0</v>
      </c>
      <c r="BI36" s="556">
        <f ca="1">COUNTIF(ADMIN!$M$130:$M$161,Fixture!BG36)-BJ36-BK36-BL36-BM36-BN36-BO36</f>
        <v>0</v>
      </c>
      <c r="BJ36" s="557">
        <f ca="1">COUNTIF(ADMIN!$M$182:$M$197,Fixture!BG36)-BK36-BL36-BM36-BN36-BO36</f>
        <v>1</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5" thickBot="1">
      <c r="A37" s="19">
        <v>33</v>
      </c>
      <c r="B37" s="654"/>
      <c r="C37" s="537" t="str">
        <f ca="1">+MID(INDEX(WORLDCUP!$AA$4:$AA$147,MATCH(A37,WORLDCUP!$AH$4:$AH$147,0)),1,3)</f>
        <v>Ale</v>
      </c>
      <c r="D37" s="538">
        <f>IF(ISBLANK(INDEX(WORLDCUP!$AC$4:$AC$147,MATCH(A37,WORLDCUP!$AH$4:$AH$147,0))),"",INDEX(WORLDCUP!$AC$4:$AC$147,MATCH(A37,WORLDCUP!$AH$4:$AH$147,0)))</f>
        <v>2</v>
      </c>
      <c r="E37" s="538">
        <f>IF(ISBLANK(INDEX(WORLDCUP!$AD$4:$AD$147,MATCH(A37,WORLDCUP!$AH$4:$AH$147,0))),"",INDEX(WORLDCUP!$AD$4:$AD$147,MATCH(A37,WORLDCUP!$AH$4:$AH$147,0)))</f>
        <v>2</v>
      </c>
      <c r="F37" s="539" t="str">
        <f ca="1">+MID(INDEX(WORLDCUP!$AF$4:$AF$147,MATCH(A37,WORLDCUP!$AH$4:$AH$147,0)),1,3)</f>
        <v>Cos</v>
      </c>
      <c r="G37" s="560">
        <v>2</v>
      </c>
      <c r="H37" s="561" t="str">
        <f ca="1">+MID(INDEX(WORLDCUP!$AL$6:$AL$97,MATCH(L37,WORLDCUP!$AI$6:$AI$97,0)),1,3)</f>
        <v>Cos</v>
      </c>
      <c r="I37" s="229">
        <f ca="1">+INDEX(WORLDCUP!$AM$6:$AM$97,MATCH(L37,WORLDCUP!$AI$6:$AI$97,0))</f>
        <v>5</v>
      </c>
      <c r="J37" s="230">
        <f ca="1">+INDEX(WORLDCUP!$AT$6:$AT$97,MATCH(L37,WORLDCUP!$AI$6:$AI$97,0))</f>
        <v>3</v>
      </c>
      <c r="K37" s="231" t="str">
        <f ca="1">+INDEX(WORLDCUP!$AR$6:$AR$97,MATCH(L37,WORLDCUP!$AI$6:$AI$97,0))&amp;"-"&amp;INDEX(WORLDCUP!$AS$6:$AS$97,MATCH(L37,WORLDCUP!$AI$6:$AI$97,0))</f>
        <v>9-6</v>
      </c>
      <c r="L37" s="19" t="s">
        <v>662</v>
      </c>
      <c r="M37" s="19">
        <v>47</v>
      </c>
      <c r="N37" s="655"/>
      <c r="O37" s="537" t="str">
        <f ca="1">+MID(INDEX(WORLDCUP!$AA$4:$AA$147,MATCH(M37,WORLDCUP!$AH$4:$AH$147,0)),1,3)</f>
        <v>Por</v>
      </c>
      <c r="P37" s="538">
        <f>IF(ISBLANK(INDEX(WORLDCUP!$AC$4:$AC$147,MATCH(M37,WORLDCUP!$AH$4:$AH$147,0))),"",INDEX(WORLDCUP!$AC$4:$AC$147,MATCH(M37,WORLDCUP!$AH$4:$AH$147,0)))</f>
        <v>1</v>
      </c>
      <c r="Q37" s="538">
        <f>IF(ISBLANK(INDEX(WORLDCUP!$AD$4:$AD$147,MATCH(M37,WORLDCUP!$AH$4:$AH$147,0))),"",INDEX(WORLDCUP!$AD$4:$AD$147,MATCH(M37,WORLDCUP!$AH$4:$AH$147,0)))</f>
        <v>0</v>
      </c>
      <c r="R37" s="539" t="str">
        <f ca="1">+MID(INDEX(WORLDCUP!$AF$4:$AF$147,MATCH(M37,WORLDCUP!$AH$4:$AH$147,0)),1,3)</f>
        <v>Uzb</v>
      </c>
      <c r="S37" s="560">
        <v>2</v>
      </c>
      <c r="T37" s="561" t="str">
        <f ca="1">+MID(INDEX(WORLDCUP!$AL$6:$AL$97,MATCH(X37,WORLDCUP!$AI$6:$AI$97,0)),1,3)</f>
        <v>Col</v>
      </c>
      <c r="U37" s="229">
        <f ca="1">+INDEX(WORLDCUP!$AM$6:$AM$97,MATCH(X37,WORLDCUP!$AI$6:$AI$97,0))</f>
        <v>4</v>
      </c>
      <c r="V37" s="230">
        <f ca="1">+INDEX(WORLDCUP!$AT$6:$AT$97,MATCH(X37,WORLDCUP!$AI$6:$AI$97,0))</f>
        <v>2</v>
      </c>
      <c r="W37" s="231" t="str">
        <f ca="1">+INDEX(WORLDCUP!$AR$6:$AR$97,MATCH(X37,WORLDCUP!$AI$6:$AI$97,0))&amp;"-"&amp;INDEX(WORLDCUP!$AS$6:$AS$97,MATCH(X37,WORLDCUP!$AI$6:$AI$97,0))</f>
        <v>5-3</v>
      </c>
      <c r="X37" s="19" t="s">
        <v>680</v>
      </c>
      <c r="Y37" s="19">
        <v>80</v>
      </c>
      <c r="Z37" s="518" t="s">
        <v>725</v>
      </c>
      <c r="AA37" s="573" t="str">
        <f ca="1">+MID(INDEX(WORLDCUP!$AF$101:$AF$147,MATCH(Y37,WORLDCUP!$Z$101:$Z$147,0)),1,IF(WORLDCUP!$H$113&lt;144,6,3))</f>
        <v xml:space="preserve">RD </v>
      </c>
      <c r="AB37" s="574">
        <f>+IF(ISBLANK(INDEX(WORLDCUP!$AD$101:$AD$147,MATCH(Y37,WORLDCUP!$Z$101:$Z$147,0))),"",INDEX(WORLDCUP!$AD$101:$AD$147,MATCH(Y37,WORLDCUP!$Z$101:$Z$147,0)))</f>
        <v>0</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 ca="1">+MID(INDEX(WORLDCUP!$AA$101:$AA$147,MATCH(AL37,WORLDCUP!$Z$101:$Z$147,0)),1,3)</f>
        <v>Ing</v>
      </c>
      <c r="AN37" s="602">
        <f>+IF(ISBLANK(INDEX(WORLDCUP!$AC$101:$AC$147,MATCH(AL37,WORLDCUP!$Z$101:$Z$147,0))),"",INDEX(WORLDCUP!$AC$101:$AC$147,MATCH(AL37,WORLDCUP!$Z$101:$Z$147,0)))</f>
        <v>2</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c r="A38" s="19">
        <v>34</v>
      </c>
      <c r="B38" s="654"/>
      <c r="C38" s="537" t="str">
        <f ca="1">+MID(INDEX(WORLDCUP!$AA$4:$AA$147,MATCH(A38,WORLDCUP!$AH$4:$AH$147,0)),1,3)</f>
        <v>Ecu</v>
      </c>
      <c r="D38" s="538">
        <f>IF(ISBLANK(INDEX(WORLDCUP!$AC$4:$AC$147,MATCH(A38,WORLDCUP!$AH$4:$AH$147,0))),"",INDEX(WORLDCUP!$AC$4:$AC$147,MATCH(A38,WORLDCUP!$AH$4:$AH$147,0)))</f>
        <v>2</v>
      </c>
      <c r="E38" s="538">
        <f>IF(ISBLANK(INDEX(WORLDCUP!$AD$4:$AD$147,MATCH(A38,WORLDCUP!$AH$4:$AH$147,0))),"",INDEX(WORLDCUP!$AD$4:$AD$147,MATCH(A38,WORLDCUP!$AH$4:$AH$147,0)))</f>
        <v>0</v>
      </c>
      <c r="F38" s="539" t="str">
        <f ca="1">+MID(INDEX(WORLDCUP!$AF$4:$AF$147,MATCH(A38,WORLDCUP!$AH$4:$AH$147,0)),1,3)</f>
        <v>Cur</v>
      </c>
      <c r="G38" s="560">
        <v>3</v>
      </c>
      <c r="H38" s="561" t="str">
        <f ca="1">+MID(INDEX(WORLDCUP!$AL$6:$AL$97,MATCH(L38,WORLDCUP!$AI$6:$AI$97,0)),1,3)</f>
        <v>Ecu</v>
      </c>
      <c r="I38" s="229">
        <f ca="1">+INDEX(WORLDCUP!$AM$6:$AM$97,MATCH(L38,WORLDCUP!$AI$6:$AI$97,0))</f>
        <v>4</v>
      </c>
      <c r="J38" s="230">
        <f ca="1">+INDEX(WORLDCUP!$AT$6:$AT$97,MATCH(L38,WORLDCUP!$AI$6:$AI$97,0))</f>
        <v>1</v>
      </c>
      <c r="K38" s="231" t="str">
        <f ca="1">+INDEX(WORLDCUP!$AR$6:$AR$97,MATCH(L38,WORLDCUP!$AI$6:$AI$97,0))&amp;"-"&amp;INDEX(WORLDCUP!$AS$6:$AS$97,MATCH(L38,WORLDCUP!$AI$6:$AI$97,0))</f>
        <v>7-6</v>
      </c>
      <c r="L38" s="19" t="s">
        <v>93</v>
      </c>
      <c r="M38" s="19">
        <v>48</v>
      </c>
      <c r="N38" s="655"/>
      <c r="O38" s="537" t="str">
        <f ca="1">+MID(INDEX(WORLDCUP!$AA$4:$AA$147,MATCH(M38,WORLDCUP!$AH$4:$AH$147,0)),1,3)</f>
        <v>Col</v>
      </c>
      <c r="P38" s="538">
        <f>IF(ISBLANK(INDEX(WORLDCUP!$AC$4:$AC$147,MATCH(M38,WORLDCUP!$AH$4:$AH$147,0))),"",INDEX(WORLDCUP!$AC$4:$AC$147,MATCH(M38,WORLDCUP!$AH$4:$AH$147,0)))</f>
        <v>1</v>
      </c>
      <c r="Q38" s="538">
        <f>IF(ISBLANK(INDEX(WORLDCUP!$AD$4:$AD$147,MATCH(M38,WORLDCUP!$AH$4:$AH$147,0))),"",INDEX(WORLDCUP!$AD$4:$AD$147,MATCH(M38,WORLDCUP!$AH$4:$AH$147,0)))</f>
        <v>1</v>
      </c>
      <c r="R38" s="539" t="str">
        <f ca="1">+MID(INDEX(WORLDCUP!$AF$4:$AF$147,MATCH(M38,WORLDCUP!$AH$4:$AH$147,0)),1,3)</f>
        <v xml:space="preserve">RD </v>
      </c>
      <c r="S38" s="560">
        <v>3</v>
      </c>
      <c r="T38" s="561" t="str">
        <f ca="1">+MID(INDEX(WORLDCUP!$AL$6:$AL$97,MATCH(X38,WORLDCUP!$AI$6:$AI$97,0)),1,3)</f>
        <v xml:space="preserve">RD </v>
      </c>
      <c r="U38" s="229">
        <f ca="1">+INDEX(WORLDCUP!$AM$6:$AM$97,MATCH(X38,WORLDCUP!$AI$6:$AI$97,0))</f>
        <v>4</v>
      </c>
      <c r="V38" s="230">
        <f ca="1">+INDEX(WORLDCUP!$AT$6:$AT$97,MATCH(X38,WORLDCUP!$AI$6:$AI$97,0))</f>
        <v>1</v>
      </c>
      <c r="W38" s="231" t="str">
        <f ca="1">+INDEX(WORLDCUP!$AR$6:$AR$97,MATCH(X38,WORLDCUP!$AI$6:$AI$97,0))&amp;"-"&amp;INDEX(WORLDCUP!$AS$6:$AS$97,MATCH(X38,WORLDCUP!$AI$6:$AI$97,0))</f>
        <v>4-3</v>
      </c>
      <c r="X38" s="19" t="s">
        <v>442</v>
      </c>
      <c r="Y38" s="19"/>
      <c r="Z38" s="518"/>
      <c r="AA38" s="587"/>
      <c r="AB38" s="587"/>
      <c r="AC38" s="587"/>
      <c r="AD38" s="19"/>
      <c r="AE38" s="522"/>
      <c r="AF38" s="522"/>
      <c r="AG38" s="522"/>
      <c r="AH38" s="19"/>
      <c r="AI38" s="552"/>
      <c r="AJ38" s="552"/>
      <c r="AK38" s="591"/>
      <c r="AL38" s="19">
        <v>102</v>
      </c>
      <c r="AM38" s="601" t="str" cm="1">
        <f t="array" aca="1" ref="AM38" ca="1">+MID(INDEX(WORLDCUP!$AF$101:$AF$147,MATCH(AL38,WORLDCUP!$Z$101:$Z$147,0)),1,IF(OR(ISBLANK(AC86:AD86)),4,3))</f>
        <v>Port</v>
      </c>
      <c r="AN38" s="602">
        <f>+IF(ISBLANK(INDEX(WORLDCUP!$AD$101:$AD$147,MATCH(AL38,WORLDCUP!$Z$101:$Z$147,0))),"",INDEX(WORLDCUP!$AD$101:$AD$147,MATCH(AL38,WORLDCUP!$Z$101:$Z$147,0)))</f>
        <v>3</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0</v>
      </c>
      <c r="BI38" s="556">
        <f ca="1">COUNTIF(ADMIN!$M$130:$M$161,Fixture!BG38)-BJ38-BK38-BL38-BM38-BN38-BO38</f>
        <v>1</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5" thickBot="1">
      <c r="A39" s="19">
        <v>55</v>
      </c>
      <c r="B39" s="654"/>
      <c r="C39" s="537" t="str">
        <f ca="1">+MID(INDEX(WORLDCUP!$AA$4:$AA$147,MATCH(A39,WORLDCUP!$AH$4:$AH$147,0)),1,3)</f>
        <v>Cur</v>
      </c>
      <c r="D39" s="538">
        <f>IF(ISBLANK(INDEX(WORLDCUP!$AC$4:$AC$147,MATCH(A39,WORLDCUP!$AH$4:$AH$147,0))),"",INDEX(WORLDCUP!$AC$4:$AC$147,MATCH(A39,WORLDCUP!$AH$4:$AH$147,0)))</f>
        <v>1</v>
      </c>
      <c r="E39" s="538">
        <f>IF(ISBLANK(INDEX(WORLDCUP!$AD$4:$AD$147,MATCH(A39,WORLDCUP!$AH$4:$AH$147,0))),"",INDEX(WORLDCUP!$AD$4:$AD$147,MATCH(A39,WORLDCUP!$AH$4:$AH$147,0)))</f>
        <v>4</v>
      </c>
      <c r="F39" s="539" t="str">
        <f ca="1">+MID(INDEX(WORLDCUP!$AF$4:$AF$147,MATCH(A39,WORLDCUP!$AH$4:$AH$147,0)),1,3)</f>
        <v>Cos</v>
      </c>
      <c r="G39" s="560">
        <v>4</v>
      </c>
      <c r="H39" s="569" t="str">
        <f ca="1">+MID(INDEX(WORLDCUP!$AL$6:$AL$97,MATCH(L39,WORLDCUP!$AI$6:$AI$97,0)),1,3)</f>
        <v>Cur</v>
      </c>
      <c r="I39" s="570">
        <f ca="1">+INDEX(WORLDCUP!$AM$6:$AM$97,MATCH(L39,WORLDCUP!$AI$6:$AI$97,0))</f>
        <v>0</v>
      </c>
      <c r="J39" s="571">
        <f ca="1">+INDEX(WORLDCUP!$AT$6:$AT$97,MATCH(L39,WORLDCUP!$AI$6:$AI$97,0))</f>
        <v>-8</v>
      </c>
      <c r="K39" s="572" t="str">
        <f ca="1">+INDEX(WORLDCUP!$AR$6:$AR$97,MATCH(L39,WORLDCUP!$AI$6:$AI$97,0))&amp;"-"&amp;INDEX(WORLDCUP!$AS$6:$AS$97,MATCH(L39,WORLDCUP!$AI$6:$AI$97,0))</f>
        <v>1-9</v>
      </c>
      <c r="L39" s="19" t="s">
        <v>663</v>
      </c>
      <c r="M39" s="19">
        <v>71</v>
      </c>
      <c r="N39" s="655"/>
      <c r="O39" s="537" t="str">
        <f ca="1">+MID(INDEX(WORLDCUP!$AA$4:$AA$147,MATCH(M39,WORLDCUP!$AH$4:$AH$147,0)),1,3)</f>
        <v>Col</v>
      </c>
      <c r="P39" s="538">
        <f>IF(ISBLANK(INDEX(WORLDCUP!$AC$4:$AC$147,MATCH(M39,WORLDCUP!$AH$4:$AH$147,0))),"",INDEX(WORLDCUP!$AC$4:$AC$147,MATCH(M39,WORLDCUP!$AH$4:$AH$147,0)))</f>
        <v>1</v>
      </c>
      <c r="Q39" s="538">
        <f>IF(ISBLANK(INDEX(WORLDCUP!$AD$4:$AD$147,MATCH(M39,WORLDCUP!$AH$4:$AH$147,0))),"",INDEX(WORLDCUP!$AD$4:$AD$147,MATCH(M39,WORLDCUP!$AH$4:$AH$147,0)))</f>
        <v>2</v>
      </c>
      <c r="R39" s="539" t="str">
        <f ca="1">+MID(INDEX(WORLDCUP!$AF$4:$AF$147,MATCH(M39,WORLDCUP!$AH$4:$AH$147,0)),1,3)</f>
        <v>Por</v>
      </c>
      <c r="S39" s="560">
        <v>4</v>
      </c>
      <c r="T39" s="569" t="str">
        <f ca="1">+MID(INDEX(WORLDCUP!$AL$6:$AL$97,MATCH(X39,WORLDCUP!$AI$6:$AI$97,0)),1,3)</f>
        <v>Uzb</v>
      </c>
      <c r="U39" s="570">
        <f ca="1">+INDEX(WORLDCUP!$AM$6:$AM$97,MATCH(X39,WORLDCUP!$AI$6:$AI$97,0))</f>
        <v>0</v>
      </c>
      <c r="V39" s="571">
        <f ca="1">+INDEX(WORLDCUP!$AT$6:$AT$97,MATCH(X39,WORLDCUP!$AI$6:$AI$97,0))</f>
        <v>-7</v>
      </c>
      <c r="W39" s="572" t="str">
        <f ca="1">+INDEX(WORLDCUP!$AR$6:$AR$97,MATCH(X39,WORLDCUP!$AI$6:$AI$97,0))&amp;"-"&amp;INDEX(WORLDCUP!$AS$6:$AS$97,MATCH(X39,WORLDCUP!$AI$6:$AI$97,0))</f>
        <v>0-7</v>
      </c>
      <c r="X39" s="19" t="s">
        <v>681</v>
      </c>
      <c r="Y39" s="19">
        <v>86</v>
      </c>
      <c r="Z39" s="518" t="s">
        <v>676</v>
      </c>
      <c r="AA39" s="519" t="str">
        <f ca="1">+MID(INDEX(WORLDCUP!$AA$101:$AA$147,MATCH(Y39,WORLDCUP!$Z$101:$Z$147,0)),1,3)</f>
        <v>Arg</v>
      </c>
      <c r="AB39" s="520">
        <f>+IF(ISBLANK(INDEX(WORLDCUP!$AC$101:$AC$147,MATCH(Y39,WORLDCUP!$Z$101:$Z$147,0))),"",INDEX(WORLDCUP!$AC$101:$AC$147,MATCH(Y39,WORLDCUP!$Z$101:$Z$147,0)))</f>
        <v>1</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5" thickBot="1">
      <c r="A40" s="19">
        <v>56</v>
      </c>
      <c r="B40" s="657"/>
      <c r="C40" s="580" t="str">
        <f ca="1">+MID(INDEX(WORLDCUP!$AA$4:$AA$147,MATCH(A40,WORLDCUP!$AH$4:$AH$147,0)),1,3)</f>
        <v>Ecu</v>
      </c>
      <c r="D40" s="581">
        <f>IF(ISBLANK(INDEX(WORLDCUP!$AC$4:$AC$147,MATCH(A40,WORLDCUP!$AH$4:$AH$147,0))),"",INDEX(WORLDCUP!$AC$4:$AC$147,MATCH(A40,WORLDCUP!$AH$4:$AH$147,0)))</f>
        <v>2</v>
      </c>
      <c r="E40" s="581">
        <f>IF(ISBLANK(INDEX(WORLDCUP!$AD$4:$AD$147,MATCH(A40,WORLDCUP!$AH$4:$AH$147,0))),"",INDEX(WORLDCUP!$AD$4:$AD$147,MATCH(A40,WORLDCUP!$AH$4:$AH$147,0)))</f>
        <v>3</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f>IF(ISBLANK(INDEX(WORLDCUP!$AC$4:$AC$147,MATCH(M40,WORLDCUP!$AH$4:$AH$147,0))),"",INDEX(WORLDCUP!$AC$4:$AC$147,MATCH(M40,WORLDCUP!$AH$4:$AH$147,0)))</f>
        <v>3</v>
      </c>
      <c r="Q40" s="581">
        <f>IF(ISBLANK(INDEX(WORLDCUP!$AD$4:$AD$147,MATCH(M40,WORLDCUP!$AH$4:$AH$147,0))),"",INDEX(WORLDCUP!$AD$4:$AD$147,MATCH(M40,WORLDCUP!$AH$4:$AH$147,0)))</f>
        <v>0</v>
      </c>
      <c r="R40" s="582" t="str">
        <f ca="1">+MID(INDEX(WORLDCUP!$AF$4:$AF$147,MATCH(M40,WORLDCUP!$AH$4:$AH$147,0)),1,3)</f>
        <v>Uzb</v>
      </c>
      <c r="S40" s="583"/>
      <c r="T40" s="583"/>
      <c r="U40" s="584"/>
      <c r="V40" s="584"/>
      <c r="W40" s="585"/>
      <c r="X40" s="19"/>
      <c r="Y40" s="19">
        <v>86</v>
      </c>
      <c r="Z40" s="518" t="s">
        <v>671</v>
      </c>
      <c r="AA40" s="519" t="str">
        <f ca="1">+MID(INDEX(WORLDCUP!$AF$101:$AF$147,MATCH(Y40,WORLDCUP!$Z$101:$Z$147,0)),1,3)</f>
        <v>Uru</v>
      </c>
      <c r="AB40" s="546">
        <f>+IF(ISBLANK(INDEX(WORLDCUP!$AD$101:$AD$147,MATCH(Y40,WORLDCUP!$Z$101:$Z$147,0))),"",INDEX(WORLDCUP!$AD$101:$AD$147,MATCH(Y40,WORLDCUP!$Z$101:$Z$147,0)))</f>
        <v>0</v>
      </c>
      <c r="AC40" s="547" t="str">
        <f>+IF(ISBLANK(INDEX(WORLDCUP!$AE$101:$AE$147,MATCH(Y40,WORLDCUP!$Z$101:$Z$147,0))),"","( "&amp;INDEX(WORLDCUP!$AE$101:$AE$147,MATCH(Y40,WORLDCUP!$Z$101:$Z$147,0))&amp;" )")</f>
        <v/>
      </c>
      <c r="AD40" s="548">
        <v>95</v>
      </c>
      <c r="AE40" s="549" t="str">
        <f ca="1">+MID(INDEX(WORLDCUP!$AA$101:$AA$147,MATCH(AD40,WORLDCUP!$Z$101:$Z$147,0)),1,3)</f>
        <v>Arg</v>
      </c>
      <c r="AF40" s="550">
        <f>+IF(ISBLANK(INDEX(WORLDCUP!$AC$101:$AC$147,MATCH(AD40,WORLDCUP!$Z$101:$Z$147,0))),"",INDEX(WORLDCUP!$AC$101:$AC$147,MATCH(AD40,WORLDCUP!$Z$101:$Z$147,0)))</f>
        <v>3</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0</v>
      </c>
      <c r="BI40" s="556">
        <f ca="1">COUNTIF(ADMIN!$M$130:$M$161,Fixture!BG40)-BJ40-BK40-BL40-BM40-BN40-BO40</f>
        <v>1</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 ca="1">+MID(INDEX(WORLDCUP!$AF$101:$AF$147,MATCH(AD41,WORLDCUP!$Z$101:$Z$147,0)),1,3)</f>
        <v>Est</v>
      </c>
      <c r="AF41" s="550">
        <f>+IF(ISBLANK(INDEX(WORLDCUP!$AD$101:$AD$147,MATCH(AD41,WORLDCUP!$Z$101:$Z$147,0))),"",INDEX(WORLDCUP!$AD$101:$AD$147,MATCH(AD41,WORLDCUP!$Z$101:$Z$147,0)))</f>
        <v>1</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0</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1</v>
      </c>
      <c r="BO41" s="559">
        <f ca="1">COUNTIF(ADMIN!$M$250,Fixture!BG41)</f>
        <v>0</v>
      </c>
    </row>
    <row r="42" spans="1:67" ht="15" thickBot="1">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Est</v>
      </c>
      <c r="AB42" s="565">
        <f>+IF(ISBLANK(INDEX(WORLDCUP!$AC$101:$AC$147,MATCH(Y42,WORLDCUP!$Z$101:$Z$147,0))),"",INDEX(WORLDCUP!$AC$101:$AC$147,MATCH(Y42,WORLDCUP!$Z$101:$Z$147,0)))</f>
        <v>2</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0</v>
      </c>
      <c r="BI42" s="556">
        <f ca="1">COUNTIF(ADMIN!$M$130:$M$161,Fixture!BG42)-BJ42-BK42-BL42-BM42-BN42-BO42</f>
        <v>1</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5" thickBot="1">
      <c r="A43" s="19">
        <v>11</v>
      </c>
      <c r="B43" s="659" t="s">
        <v>4</v>
      </c>
      <c r="C43" s="510" t="str">
        <f ca="1">+MID(INDEX(WORLDCUP!$AA$4:$AA$147,MATCH(A43,WORLDCUP!$AH$4:$AH$147,0)),1,3)</f>
        <v>Paí</v>
      </c>
      <c r="D43" s="511">
        <f>IF(ISBLANK(INDEX(WORLDCUP!$AC$4:$AC$147,MATCH(A43,WORLDCUP!$AH$4:$AH$147,0))),"",INDEX(WORLDCUP!$AC$4:$AC$147,MATCH(A43,WORLDCUP!$AH$4:$AH$147,0)))</f>
        <v>2</v>
      </c>
      <c r="E43" s="511">
        <f>IF(ISBLANK(INDEX(WORLDCUP!$AD$4:$AD$147,MATCH(A43,WORLDCUP!$AH$4:$AH$147,0))),"",INDEX(WORLDCUP!$AD$4:$AD$147,MATCH(A43,WORLDCUP!$AH$4:$AH$147,0)))</f>
        <v>2</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f>IF(ISBLANK(INDEX(WORLDCUP!$AC$4:$AC$147,MATCH(M43,WORLDCUP!$AH$4:$AH$147,0))),"",INDEX(WORLDCUP!$AC$4:$AC$147,MATCH(M43,WORLDCUP!$AH$4:$AH$147,0)))</f>
        <v>2</v>
      </c>
      <c r="Q43" s="511">
        <f>IF(ISBLANK(INDEX(WORLDCUP!$AD$4:$AD$147,MATCH(M43,WORLDCUP!$AH$4:$AH$147,0))),"",INDEX(WORLDCUP!$AD$4:$AD$147,MATCH(M43,WORLDCUP!$AH$4:$AH$147,0)))</f>
        <v>2</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Irá</v>
      </c>
      <c r="AB43" s="574">
        <f>+IF(ISBLANK(INDEX(WORLDCUP!$AD$101:$AD$147,MATCH(Y43,WORLDCUP!$Z$101:$Z$147,0))),"",INDEX(WORLDCUP!$AD$101:$AD$147,MATCH(Y43,WORLDCUP!$Z$101:$Z$147,0)))</f>
        <v>0</v>
      </c>
      <c r="AC43" s="600" t="str">
        <f>+IF(ISBLANK(INDEX(WORLDCUP!$AE$101:$AE$147,MATCH(Y43,WORLDCUP!$Z$101:$Z$147,0))),"","( "&amp;INDEX(WORLDCUP!$AE$101:$AE$147,MATCH(Y43,WORLDCUP!$Z$101:$Z$147,0))&amp;" )")</f>
        <v/>
      </c>
      <c r="AD43" s="19"/>
      <c r="AE43" s="567"/>
      <c r="AF43" s="567"/>
      <c r="AG43" s="568"/>
      <c r="AH43" s="592">
        <v>100</v>
      </c>
      <c r="AI43" s="576" t="str">
        <f ca="1">+MID(INDEX(WORLDCUP!$AA$101:$AA$147,MATCH(AH43,WORLDCUP!$Z$101:$Z$147,0)),1,3)</f>
        <v>Arg</v>
      </c>
      <c r="AJ43" s="577">
        <f>+IF(ISBLANK(INDEX(WORLDCUP!$AC$101:$AC$147,MATCH(AH43,WORLDCUP!$Z$101:$Z$147,0))),"",INDEX(WORLDCUP!$AC$101:$AC$147,MATCH(AH43,WORLDCUP!$Z$101:$Z$147,0)))</f>
        <v>1</v>
      </c>
      <c r="AK43" s="613" t="str">
        <f>+IF(ISBLANK(INDEX(WORLDCUP!$AB$101:$AB$147,MATCH(AH43,WORLDCUP!$Z$101:$Z$147,0))),"","( "&amp;INDEX(WORLDCUP!$AB$101:$AB$147,MATCH(AH43,WORLDCUP!$Z$101:$Z$147,0))&amp;" )")</f>
        <v>( 4 )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0</v>
      </c>
      <c r="BI43" s="556">
        <f ca="1">COUNTIF(ADMIN!$M$130:$M$161,Fixture!BG43)-BJ43-BK43-BL43-BM43-BN43-BO43</f>
        <v>1</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c r="A44" s="19">
        <v>12</v>
      </c>
      <c r="B44" s="661"/>
      <c r="C44" s="537" t="str">
        <f ca="1">+MID(INDEX(WORLDCUP!$AA$4:$AA$147,MATCH(A44,WORLDCUP!$AH$4:$AH$147,0)),1,3)</f>
        <v>Sue</v>
      </c>
      <c r="D44" s="538">
        <f>IF(ISBLANK(INDEX(WORLDCUP!$AC$4:$AC$147,MATCH(A44,WORLDCUP!$AH$4:$AH$147,0))),"",INDEX(WORLDCUP!$AC$4:$AC$147,MATCH(A44,WORLDCUP!$AH$4:$AH$147,0)))</f>
        <v>3</v>
      </c>
      <c r="E44" s="538">
        <f>IF(ISBLANK(INDEX(WORLDCUP!$AD$4:$AD$147,MATCH(A44,WORLDCUP!$AH$4:$AH$147,0))),"",INDEX(WORLDCUP!$AD$4:$AD$147,MATCH(A44,WORLDCUP!$AH$4:$AH$147,0)))</f>
        <v>0</v>
      </c>
      <c r="F44" s="539" t="str">
        <f ca="1">+MID(INDEX(WORLDCUP!$AF$4:$AF$147,MATCH(A44,WORLDCUP!$AH$4:$AH$147,0)),1,3)</f>
        <v>Tún</v>
      </c>
      <c r="G44" s="540">
        <v>1</v>
      </c>
      <c r="H44" s="541" t="str">
        <f ca="1">+MID(INDEX(WORLDCUP!$AL$6:$AL$97,MATCH(L44,WORLDCUP!$AI$6:$AI$97,0)),1,3)</f>
        <v>Jap</v>
      </c>
      <c r="I44" s="542">
        <f ca="1">+INDEX(WORLDCUP!$AM$6:$AM$97,MATCH(L44,WORLDCUP!$AI$6:$AI$97,0))</f>
        <v>7</v>
      </c>
      <c r="J44" s="543">
        <f ca="1">+INDEX(WORLDCUP!$AT$6:$AT$97,MATCH(L44,WORLDCUP!$AI$6:$AI$97,0))</f>
        <v>5</v>
      </c>
      <c r="K44" s="544" t="str">
        <f ca="1">+INDEX(WORLDCUP!$AR$6:$AR$97,MATCH(L44,WORLDCUP!$AI$6:$AI$97,0))&amp;"-"&amp;INDEX(WORLDCUP!$AS$6:$AS$97,MATCH(L44,WORLDCUP!$AI$6:$AI$97,0))</f>
        <v>8-3</v>
      </c>
      <c r="L44" s="19" t="s">
        <v>664</v>
      </c>
      <c r="M44" s="19">
        <v>21</v>
      </c>
      <c r="N44" s="662"/>
      <c r="O44" s="537" t="str">
        <f ca="1">+MID(INDEX(WORLDCUP!$AA$4:$AA$147,MATCH(M44,WORLDCUP!$AH$4:$AH$147,0)),1,3)</f>
        <v>Gha</v>
      </c>
      <c r="P44" s="538">
        <f>IF(ISBLANK(INDEX(WORLDCUP!$AC$4:$AC$147,MATCH(M44,WORLDCUP!$AH$4:$AH$147,0))),"",INDEX(WORLDCUP!$AC$4:$AC$147,MATCH(M44,WORLDCUP!$AH$4:$AH$147,0)))</f>
        <v>3</v>
      </c>
      <c r="Q44" s="538">
        <f>IF(ISBLANK(INDEX(WORLDCUP!$AD$4:$AD$147,MATCH(M44,WORLDCUP!$AH$4:$AH$147,0))),"",INDEX(WORLDCUP!$AD$4:$AD$147,MATCH(M44,WORLDCUP!$AH$4:$AH$147,0)))</f>
        <v>1</v>
      </c>
      <c r="R44" s="539" t="str">
        <f ca="1">+MID(INDEX(WORLDCUP!$AF$4:$AF$147,MATCH(M44,WORLDCUP!$AH$4:$AH$147,0)),1,3)</f>
        <v>Pan</v>
      </c>
      <c r="S44" s="540">
        <v>1</v>
      </c>
      <c r="T44" s="541" t="str">
        <f ca="1">+MID(INDEX(WORLDCUP!$AL$6:$AL$97,MATCH(X44,WORLDCUP!$AI$6:$AI$97,0)),1,3)</f>
        <v>Ing</v>
      </c>
      <c r="U44" s="542">
        <f ca="1">+INDEX(WORLDCUP!$AM$6:$AM$97,MATCH(X44,WORLDCUP!$AI$6:$AI$97,0))</f>
        <v>7</v>
      </c>
      <c r="V44" s="543">
        <f ca="1">+INDEX(WORLDCUP!$AT$6:$AT$97,MATCH(X44,WORLDCUP!$AI$6:$AI$97,0))</f>
        <v>7</v>
      </c>
      <c r="W44" s="544" t="str">
        <f ca="1">+INDEX(WORLDCUP!$AR$6:$AR$97,MATCH(X44,WORLDCUP!$AI$6:$AI$97,0))&amp;"-"&amp;INDEX(WORLDCUP!$AS$6:$AS$97,MATCH(X44,WORLDCUP!$AI$6:$AI$97,0))</f>
        <v>9-2</v>
      </c>
      <c r="X44" s="19" t="s">
        <v>682</v>
      </c>
      <c r="Y44" s="19"/>
      <c r="Z44" s="518"/>
      <c r="AA44" s="587"/>
      <c r="AB44" s="587"/>
      <c r="AC44" s="587"/>
      <c r="AD44" s="19"/>
      <c r="AE44" s="522"/>
      <c r="AF44" s="522"/>
      <c r="AG44" s="568"/>
      <c r="AH44" s="19">
        <v>100</v>
      </c>
      <c r="AI44" s="576" t="str">
        <f ca="1">+MID(INDEX(WORLDCUP!$AF$101:$AF$147,MATCH(AH44,WORLDCUP!$Z$101:$Z$147,0)),1,3)</f>
        <v>Por</v>
      </c>
      <c r="AJ44" s="577">
        <f>+IF(ISBLANK(INDEX(WORLDCUP!$AD$101:$AD$147,MATCH(AH44,WORLDCUP!$Z$101:$Z$147,0))),"",INDEX(WORLDCUP!$AD$101:$AD$147,MATCH(AH44,WORLDCUP!$Z$101:$Z$147,0)))</f>
        <v>1</v>
      </c>
      <c r="AK44" s="552" t="str">
        <f>+IF(ISBLANK(INDEX(WORLDCUP!$AE$101:$AE$147,MATCH(AH44,WORLDCUP!$Z$101:$Z$147,0))),"","( "&amp;INDEX(WORLDCUP!$AE$101:$AE$147,MATCH(AH44,WORLDCUP!$Z$101:$Z$147,0))&amp;" )")</f>
        <v>( 5 )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0</v>
      </c>
      <c r="BI44" s="556">
        <f ca="1">COUNTIF(ADMIN!$M$130:$M$161,Fixture!BG44)-BJ44-BK44-BL44-BM44-BN44-BO44</f>
        <v>0</v>
      </c>
      <c r="BJ44" s="557">
        <f ca="1">COUNTIF(ADMIN!$M$182:$M$197,Fixture!BG44)-BK44-BL44-BM44-BN44-BO44</f>
        <v>1</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5" thickBot="1">
      <c r="A45" s="19">
        <v>35</v>
      </c>
      <c r="B45" s="661"/>
      <c r="C45" s="537" t="str">
        <f ca="1">+MID(INDEX(WORLDCUP!$AA$4:$AA$147,MATCH(A45,WORLDCUP!$AH$4:$AH$147,0)),1,3)</f>
        <v>Paí</v>
      </c>
      <c r="D45" s="538">
        <f>IF(ISBLANK(INDEX(WORLDCUP!$AC$4:$AC$147,MATCH(A45,WORLDCUP!$AH$4:$AH$147,0))),"",INDEX(WORLDCUP!$AC$4:$AC$147,MATCH(A45,WORLDCUP!$AH$4:$AH$147,0)))</f>
        <v>2</v>
      </c>
      <c r="E45" s="538">
        <f>IF(ISBLANK(INDEX(WORLDCUP!$AD$4:$AD$147,MATCH(A45,WORLDCUP!$AH$4:$AH$147,0))),"",INDEX(WORLDCUP!$AD$4:$AD$147,MATCH(A45,WORLDCUP!$AH$4:$AH$147,0)))</f>
        <v>1</v>
      </c>
      <c r="F45" s="539" t="str">
        <f ca="1">+MID(INDEX(WORLDCUP!$AF$4:$AF$147,MATCH(A45,WORLDCUP!$AH$4:$AH$147,0)),1,3)</f>
        <v>Sue</v>
      </c>
      <c r="G45" s="560">
        <v>2</v>
      </c>
      <c r="H45" s="561" t="str">
        <f ca="1">+MID(INDEX(WORLDCUP!$AL$6:$AL$97,MATCH(L45,WORLDCUP!$AI$6:$AI$97,0)),1,3)</f>
        <v>Paí</v>
      </c>
      <c r="I45" s="229">
        <f ca="1">+INDEX(WORLDCUP!$AM$6:$AM$97,MATCH(L45,WORLDCUP!$AI$6:$AI$97,0))</f>
        <v>7</v>
      </c>
      <c r="J45" s="230">
        <f ca="1">+INDEX(WORLDCUP!$AT$6:$AT$97,MATCH(L45,WORLDCUP!$AI$6:$AI$97,0))</f>
        <v>4</v>
      </c>
      <c r="K45" s="231" t="str">
        <f ca="1">+INDEX(WORLDCUP!$AR$6:$AR$97,MATCH(L45,WORLDCUP!$AI$6:$AI$97,0))&amp;"-"&amp;INDEX(WORLDCUP!$AS$6:$AS$97,MATCH(L45,WORLDCUP!$AI$6:$AI$97,0))</f>
        <v>7-3</v>
      </c>
      <c r="L45" s="19" t="s">
        <v>665</v>
      </c>
      <c r="M45" s="19">
        <v>45</v>
      </c>
      <c r="N45" s="662"/>
      <c r="O45" s="537" t="str">
        <f ca="1">+MID(INDEX(WORLDCUP!$AA$4:$AA$147,MATCH(M45,WORLDCUP!$AH$4:$AH$147,0)),1,3)</f>
        <v>Ing</v>
      </c>
      <c r="P45" s="538">
        <f>IF(ISBLANK(INDEX(WORLDCUP!$AC$4:$AC$147,MATCH(M45,WORLDCUP!$AH$4:$AH$147,0))),"",INDEX(WORLDCUP!$AC$4:$AC$147,MATCH(M45,WORLDCUP!$AH$4:$AH$147,0)))</f>
        <v>1</v>
      </c>
      <c r="Q45" s="538">
        <f>IF(ISBLANK(INDEX(WORLDCUP!$AD$4:$AD$147,MATCH(M45,WORLDCUP!$AH$4:$AH$147,0))),"",INDEX(WORLDCUP!$AD$4:$AD$147,MATCH(M45,WORLDCUP!$AH$4:$AH$147,0)))</f>
        <v>0</v>
      </c>
      <c r="R45" s="539" t="str">
        <f ca="1">+MID(INDEX(WORLDCUP!$AF$4:$AF$147,MATCH(M45,WORLDCUP!$AH$4:$AH$147,0)),1,3)</f>
        <v>Gha</v>
      </c>
      <c r="S45" s="560">
        <v>2</v>
      </c>
      <c r="T45" s="561" t="str">
        <f ca="1">+MID(INDEX(WORLDCUP!$AL$6:$AL$97,MATCH(X45,WORLDCUP!$AI$6:$AI$97,0)),1,3)</f>
        <v>Cro</v>
      </c>
      <c r="U45" s="229">
        <f ca="1">+INDEX(WORLDCUP!$AM$6:$AM$97,MATCH(X45,WORLDCUP!$AI$6:$AI$97,0))</f>
        <v>5</v>
      </c>
      <c r="V45" s="230">
        <f ca="1">+INDEX(WORLDCUP!$AT$6:$AT$97,MATCH(X45,WORLDCUP!$AI$6:$AI$97,0))</f>
        <v>1</v>
      </c>
      <c r="W45" s="231" t="str">
        <f ca="1">+INDEX(WORLDCUP!$AR$6:$AR$97,MATCH(X45,WORLDCUP!$AI$6:$AI$97,0))&amp;"-"&amp;INDEX(WORLDCUP!$AS$6:$AS$97,MATCH(X45,WORLDCUP!$AI$6:$AI$97,0))</f>
        <v>5-4</v>
      </c>
      <c r="X45" s="19" t="s">
        <v>683</v>
      </c>
      <c r="Y45" s="19">
        <v>85</v>
      </c>
      <c r="Z45" s="518" t="s">
        <v>648</v>
      </c>
      <c r="AA45" s="519" t="str">
        <f ca="1">+MID(INDEX(WORLDCUP!$AA$101:$AA$147,MATCH(Y45,WORLDCUP!$Z$101:$Z$147,0)),1,3)</f>
        <v>Sui</v>
      </c>
      <c r="AB45" s="520">
        <f>+IF(ISBLANK(INDEX(WORLDCUP!$AC$101:$AC$147,MATCH(Y45,WORLDCUP!$Z$101:$Z$147,0))),"",INDEX(WORLDCUP!$AC$101:$AC$147,MATCH(Y45,WORLDCUP!$Z$101:$Z$147,0)))</f>
        <v>2</v>
      </c>
      <c r="AC45" s="590" t="str">
        <f>+IF(ISBLANK(INDEX(WORLDCUP!$AB$101:$AB$147,MATCH(Y45,WORLDCUP!$Z$101:$Z$147,0))),"","( "&amp;INDEX(WORLDCUP!$AB$101:$AB$147,MATCH(Y45,WORLDCUP!$Z$101:$Z$147,0))&amp;" )")</f>
        <v>( 4 )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5" thickBot="1">
      <c r="A46" s="19">
        <v>36</v>
      </c>
      <c r="B46" s="661"/>
      <c r="C46" s="537" t="str">
        <f ca="1">+MID(INDEX(WORLDCUP!$AA$4:$AA$147,MATCH(A46,WORLDCUP!$AH$4:$AH$147,0)),1,3)</f>
        <v>Tún</v>
      </c>
      <c r="D46" s="538">
        <f>IF(ISBLANK(INDEX(WORLDCUP!$AC$4:$AC$147,MATCH(A46,WORLDCUP!$AH$4:$AH$147,0))),"",INDEX(WORLDCUP!$AC$4:$AC$147,MATCH(A46,WORLDCUP!$AH$4:$AH$147,0)))</f>
        <v>1</v>
      </c>
      <c r="E46" s="538">
        <f>IF(ISBLANK(INDEX(WORLDCUP!$AD$4:$AD$147,MATCH(A46,WORLDCUP!$AH$4:$AH$147,0))),"",INDEX(WORLDCUP!$AD$4:$AD$147,MATCH(A46,WORLDCUP!$AH$4:$AH$147,0)))</f>
        <v>4</v>
      </c>
      <c r="F46" s="539" t="str">
        <f ca="1">+MID(INDEX(WORLDCUP!$AF$4:$AF$147,MATCH(A46,WORLDCUP!$AH$4:$AH$147,0)),1,3)</f>
        <v>Jap</v>
      </c>
      <c r="G46" s="560">
        <v>3</v>
      </c>
      <c r="H46" s="561" t="str">
        <f ca="1">+MID(INDEX(WORLDCUP!$AL$6:$AL$97,MATCH(L46,WORLDCUP!$AI$6:$AI$97,0)),1,3)</f>
        <v>Sue</v>
      </c>
      <c r="I46" s="229">
        <f ca="1">+INDEX(WORLDCUP!$AM$6:$AM$97,MATCH(L46,WORLDCUP!$AI$6:$AI$97,0))</f>
        <v>3</v>
      </c>
      <c r="J46" s="230">
        <f ca="1">+INDEX(WORLDCUP!$AT$6:$AT$97,MATCH(L46,WORLDCUP!$AI$6:$AI$97,0))</f>
        <v>0</v>
      </c>
      <c r="K46" s="231" t="str">
        <f ca="1">+INDEX(WORLDCUP!$AR$6:$AR$97,MATCH(L46,WORLDCUP!$AI$6:$AI$97,0))&amp;"-"&amp;INDEX(WORLDCUP!$AS$6:$AS$97,MATCH(L46,WORLDCUP!$AI$6:$AI$97,0))</f>
        <v>4-4</v>
      </c>
      <c r="L46" s="19" t="s">
        <v>94</v>
      </c>
      <c r="M46" s="19">
        <v>46</v>
      </c>
      <c r="N46" s="662"/>
      <c r="O46" s="537" t="str">
        <f ca="1">+MID(INDEX(WORLDCUP!$AA$4:$AA$147,MATCH(M46,WORLDCUP!$AH$4:$AH$147,0)),1,3)</f>
        <v>Pan</v>
      </c>
      <c r="P46" s="538">
        <f>IF(ISBLANK(INDEX(WORLDCUP!$AC$4:$AC$147,MATCH(M46,WORLDCUP!$AH$4:$AH$147,0))),"",INDEX(WORLDCUP!$AC$4:$AC$147,MATCH(M46,WORLDCUP!$AH$4:$AH$147,0)))</f>
        <v>1</v>
      </c>
      <c r="Q46" s="538">
        <f>IF(ISBLANK(INDEX(WORLDCUP!$AD$4:$AD$147,MATCH(M46,WORLDCUP!$AH$4:$AH$147,0))),"",INDEX(WORLDCUP!$AD$4:$AD$147,MATCH(M46,WORLDCUP!$AH$4:$AH$147,0)))</f>
        <v>2</v>
      </c>
      <c r="R46" s="539" t="str">
        <f ca="1">+MID(INDEX(WORLDCUP!$AF$4:$AF$147,MATCH(M46,WORLDCUP!$AH$4:$AH$147,0)),1,3)</f>
        <v>Cro</v>
      </c>
      <c r="S46" s="560">
        <v>3</v>
      </c>
      <c r="T46" s="561" t="str">
        <f ca="1">+MID(INDEX(WORLDCUP!$AL$6:$AL$97,MATCH(X46,WORLDCUP!$AI$6:$AI$97,0)),1,3)</f>
        <v>Gha</v>
      </c>
      <c r="U46" s="229">
        <f ca="1">+INDEX(WORLDCUP!$AM$6:$AM$97,MATCH(X46,WORLDCUP!$AI$6:$AI$97,0))</f>
        <v>4</v>
      </c>
      <c r="V46" s="230">
        <f ca="1">+INDEX(WORLDCUP!$AT$6:$AT$97,MATCH(X46,WORLDCUP!$AI$6:$AI$97,0))</f>
        <v>1</v>
      </c>
      <c r="W46" s="231" t="str">
        <f ca="1">+INDEX(WORLDCUP!$AR$6:$AR$97,MATCH(X46,WORLDCUP!$AI$6:$AI$97,0))&amp;"-"&amp;INDEX(WORLDCUP!$AS$6:$AS$97,MATCH(X46,WORLDCUP!$AI$6:$AI$97,0))</f>
        <v>4-3</v>
      </c>
      <c r="X46" s="19" t="s">
        <v>443</v>
      </c>
      <c r="Y46" s="19">
        <v>85</v>
      </c>
      <c r="Z46" s="518" t="s">
        <v>728</v>
      </c>
      <c r="AA46" s="519" t="str">
        <f ca="1">+MID(INDEX(WORLDCUP!$AF$101:$AF$147,MATCH(Y46,WORLDCUP!$Z$101:$Z$147,0)),1,IF(WORLDCUP!$H$113&lt;144,6,3))</f>
        <v>Ecu</v>
      </c>
      <c r="AB46" s="546">
        <f>+IF(ISBLANK(INDEX(WORLDCUP!$AD$101:$AD$147,MATCH(Y46,WORLDCUP!$Z$101:$Z$147,0))),"",INDEX(WORLDCUP!$AD$101:$AD$147,MATCH(Y46,WORLDCUP!$Z$101:$Z$147,0)))</f>
        <v>2</v>
      </c>
      <c r="AC46" s="547" t="str">
        <f>+IF(ISBLANK(INDEX(WORLDCUP!$AE$101:$AE$147,MATCH(Y46,WORLDCUP!$Z$101:$Z$147,0))),"","( "&amp;INDEX(WORLDCUP!$AE$101:$AE$147,MATCH(Y46,WORLDCUP!$Z$101:$Z$147,0))&amp;" )")</f>
        <v>( 3 )</v>
      </c>
      <c r="AD46" s="548">
        <v>96</v>
      </c>
      <c r="AE46" s="549" t="str">
        <f ca="1">+MID(INDEX(WORLDCUP!$AA$101:$AA$147,MATCH(AD46,WORLDCUP!$Z$101:$Z$147,0)),1,3)</f>
        <v>Sui</v>
      </c>
      <c r="AF46" s="550">
        <f>+IF(ISBLANK(INDEX(WORLDCUP!$AC$101:$AC$147,MATCH(AD46,WORLDCUP!$Z$101:$Z$147,0))),"",INDEX(WORLDCUP!$AC$101:$AC$147,MATCH(AD46,WORLDCUP!$Z$101:$Z$147,0)))</f>
        <v>1</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0</v>
      </c>
      <c r="BI46" s="556">
        <f ca="1">COUNTIF(ADMIN!$M$130:$M$161,Fixture!BG46)-BJ46-BK46-BL46-BM46-BN46-BO46</f>
        <v>1</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c r="A47" s="19">
        <v>57</v>
      </c>
      <c r="B47" s="661"/>
      <c r="C47" s="537" t="str">
        <f ca="1">+MID(INDEX(WORLDCUP!$AA$4:$AA$147,MATCH(A47,WORLDCUP!$AH$4:$AH$147,0)),1,3)</f>
        <v>Jap</v>
      </c>
      <c r="D47" s="538">
        <f>IF(ISBLANK(INDEX(WORLDCUP!$AC$4:$AC$147,MATCH(A47,WORLDCUP!$AH$4:$AH$147,0))),"",INDEX(WORLDCUP!$AC$4:$AC$147,MATCH(A47,WORLDCUP!$AH$4:$AH$147,0)))</f>
        <v>2</v>
      </c>
      <c r="E47" s="538">
        <f>IF(ISBLANK(INDEX(WORLDCUP!$AD$4:$AD$147,MATCH(A47,WORLDCUP!$AH$4:$AH$147,0))),"",INDEX(WORLDCUP!$AD$4:$AD$147,MATCH(A47,WORLDCUP!$AH$4:$AH$147,0)))</f>
        <v>0</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-9</v>
      </c>
      <c r="K47" s="572" t="str">
        <f ca="1">+INDEX(WORLDCUP!$AR$6:$AR$97,MATCH(L47,WORLDCUP!$AI$6:$AI$97,0))&amp;"-"&amp;INDEX(WORLDCUP!$AS$6:$AS$97,MATCH(L47,WORLDCUP!$AI$6:$AI$97,0))</f>
        <v>1-10</v>
      </c>
      <c r="L47" s="19" t="s">
        <v>666</v>
      </c>
      <c r="M47" s="19">
        <v>67</v>
      </c>
      <c r="N47" s="662"/>
      <c r="O47" s="537" t="str">
        <f ca="1">+MID(INDEX(WORLDCUP!$AA$4:$AA$147,MATCH(M47,WORLDCUP!$AH$4:$AH$147,0)),1,3)</f>
        <v>Pan</v>
      </c>
      <c r="P47" s="538">
        <f>IF(ISBLANK(INDEX(WORLDCUP!$AC$4:$AC$147,MATCH(M47,WORLDCUP!$AH$4:$AH$147,0))),"",INDEX(WORLDCUP!$AC$4:$AC$147,MATCH(M47,WORLDCUP!$AH$4:$AH$147,0)))</f>
        <v>0</v>
      </c>
      <c r="Q47" s="538">
        <f>IF(ISBLANK(INDEX(WORLDCUP!$AD$4:$AD$147,MATCH(M47,WORLDCUP!$AH$4:$AH$147,0))),"",INDEX(WORLDCUP!$AD$4:$AD$147,MATCH(M47,WORLDCUP!$AH$4:$AH$147,0)))</f>
        <v>6</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-9</v>
      </c>
      <c r="W47" s="572" t="str">
        <f ca="1">+INDEX(WORLDCUP!$AR$6:$AR$97,MATCH(X47,WORLDCUP!$AI$6:$AI$97,0))&amp;"-"&amp;INDEX(WORLDCUP!$AS$6:$AS$97,MATCH(X47,WORLDCUP!$AI$6:$AI$97,0))</f>
        <v>2-11</v>
      </c>
      <c r="X47" s="19" t="s">
        <v>684</v>
      </c>
      <c r="Y47" s="19"/>
      <c r="Z47" s="518"/>
      <c r="AA47" s="562"/>
      <c r="AB47" s="562"/>
      <c r="AC47" s="563"/>
      <c r="AD47" s="19">
        <v>96</v>
      </c>
      <c r="AE47" s="549" t="str">
        <f ca="1">+MID(INDEX(WORLDCUP!$AF$101:$AF$147,MATCH(AD47,WORLDCUP!$Z$101:$Z$147,0)),1,3)</f>
        <v>Por</v>
      </c>
      <c r="AF47" s="550">
        <f>+IF(ISBLANK(INDEX(WORLDCUP!$AD$101:$AD$147,MATCH(AD47,WORLDCUP!$Z$101:$Z$147,0))),"",INDEX(WORLDCUP!$AD$101:$AD$147,MATCH(AD47,WORLDCUP!$Z$101:$Z$147,0)))</f>
        <v>4</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0</v>
      </c>
      <c r="BI47" s="556">
        <f ca="1">COUNTIF(ADMIN!$M$130:$M$161,Fixture!BG47)-BJ47-BK47-BL47-BM47-BN47-BO47</f>
        <v>0</v>
      </c>
      <c r="BJ47" s="557">
        <f ca="1">COUNTIF(ADMIN!$M$182:$M$197,Fixture!BG47)-BK47-BL47-BM47-BN47-BO47</f>
        <v>1</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5" thickBot="1">
      <c r="A48" s="19">
        <v>58</v>
      </c>
      <c r="B48" s="663"/>
      <c r="C48" s="580" t="str">
        <f ca="1">+MID(INDEX(WORLDCUP!$AA$4:$AA$147,MATCH(A48,WORLDCUP!$AH$4:$AH$147,0)),1,3)</f>
        <v>Tún</v>
      </c>
      <c r="D48" s="581">
        <f>IF(ISBLANK(INDEX(WORLDCUP!$AC$4:$AC$147,MATCH(A48,WORLDCUP!$AH$4:$AH$147,0))),"",INDEX(WORLDCUP!$AC$4:$AC$147,MATCH(A48,WORLDCUP!$AH$4:$AH$147,0)))</f>
        <v>0</v>
      </c>
      <c r="E48" s="581">
        <f>IF(ISBLANK(INDEX(WORLDCUP!$AD$4:$AD$147,MATCH(A48,WORLDCUP!$AH$4:$AH$147,0))),"",INDEX(WORLDCUP!$AD$4:$AD$147,MATCH(A48,WORLDCUP!$AH$4:$AH$147,0)))</f>
        <v>3</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f>IF(ISBLANK(INDEX(WORLDCUP!$AC$4:$AC$147,MATCH(M48,WORLDCUP!$AH$4:$AH$147,0))),"",INDEX(WORLDCUP!$AC$4:$AC$147,MATCH(M48,WORLDCUP!$AH$4:$AH$147,0)))</f>
        <v>1</v>
      </c>
      <c r="Q48" s="581">
        <f>IF(ISBLANK(INDEX(WORLDCUP!$AD$4:$AD$147,MATCH(M48,WORLDCUP!$AH$4:$AH$147,0))),"",INDEX(WORLDCUP!$AD$4:$AD$147,MATCH(M48,WORLDCUP!$AH$4:$AH$147,0)))</f>
        <v>1</v>
      </c>
      <c r="R48" s="582" t="str">
        <f ca="1">+MID(INDEX(WORLDCUP!$AF$4:$AF$147,MATCH(M48,WORLDCUP!$AH$4:$AH$147,0)),1,3)</f>
        <v>Gha</v>
      </c>
      <c r="S48" s="583"/>
      <c r="T48" s="583"/>
      <c r="U48" s="584"/>
      <c r="V48" s="584"/>
      <c r="W48" s="585"/>
      <c r="X48" s="19"/>
      <c r="Y48" s="19">
        <v>87</v>
      </c>
      <c r="Z48" s="518" t="s">
        <v>679</v>
      </c>
      <c r="AA48" s="519" t="str">
        <f ca="1">+MID(INDEX(WORLDCUP!$AA$101:$AA$147,MATCH(Y48,WORLDCUP!$Z$101:$Z$147,0)),1,3)</f>
        <v>Por</v>
      </c>
      <c r="AB48" s="565">
        <f>+IF(ISBLANK(INDEX(WORLDCUP!$AC$101:$AC$147,MATCH(Y48,WORLDCUP!$Z$101:$Z$147,0))),"",INDEX(WORLDCUP!$AC$101:$AC$147,MATCH(Y48,WORLDCUP!$Z$101:$Z$147,0)))</f>
        <v>2</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Gha</v>
      </c>
      <c r="AB49" s="574">
        <f>+IF(ISBLANK(INDEX(WORLDCUP!$AD$101:$AD$147,MATCH(Y49,WORLDCUP!$Z$101:$Z$147,0))),"",INDEX(WORLDCUP!$AD$101:$AD$147,MATCH(Y49,WORLDCUP!$Z$101:$Z$147,0)))</f>
        <v>0</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0</v>
      </c>
      <c r="BI49" s="556">
        <f ca="1">COUNTIF(ADMIN!$M$130:$M$161,Fixture!BG49)-BJ49-BK49-BL49-BM49-BN49-BO49</f>
        <v>1</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0</v>
      </c>
      <c r="BI50" s="556">
        <f ca="1">COUNTIF(ADMIN!$M$130:$M$161,Fixture!BG50)-BJ50-BK50-BL50-BM50-BN50-BO50</f>
        <v>1</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c r="W53" s="8"/>
      <c r="X53" s="1"/>
      <c r="BB53" s="594"/>
    </row>
    <row r="54" spans="1:67">
      <c r="W54" s="8"/>
      <c r="X54" s="1"/>
      <c r="BB54" s="594"/>
    </row>
    <row r="55" spans="1:67">
      <c r="W55" s="8"/>
      <c r="X55" s="1"/>
      <c r="BB55" s="594"/>
    </row>
    <row r="56" spans="1:67">
      <c r="W56" s="8"/>
      <c r="X56" s="1"/>
      <c r="BB56" s="594"/>
    </row>
    <row r="57" spans="1:67">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7" priority="1">
      <formula>$BH4=1</formula>
    </cfRule>
  </conditionalFormatting>
  <conditionalFormatting sqref="BH4:BI51">
    <cfRule type="expression" dxfId="16" priority="2">
      <formula>$BI4=1</formula>
    </cfRule>
  </conditionalFormatting>
  <conditionalFormatting sqref="BH4:BJ51">
    <cfRule type="expression" dxfId="15" priority="3">
      <formula>$BJ4=1</formula>
    </cfRule>
  </conditionalFormatting>
  <conditionalFormatting sqref="BH4:BK51">
    <cfRule type="expression" dxfId="14" priority="4">
      <formula>$BK4=1</formula>
    </cfRule>
  </conditionalFormatting>
  <conditionalFormatting sqref="BH4:BL51">
    <cfRule type="expression" dxfId="13" priority="5">
      <formula>$BL4=1</formula>
    </cfRule>
  </conditionalFormatting>
  <conditionalFormatting sqref="BH4:BM51">
    <cfRule type="expression" dxfId="12" priority="6">
      <formula>$BM4=1</formula>
    </cfRule>
  </conditionalFormatting>
  <conditionalFormatting sqref="BH4:BN51">
    <cfRule type="expression" dxfId="11" priority="7">
      <formula>$BN4=1</formula>
    </cfRule>
  </conditionalFormatting>
  <conditionalFormatting sqref="BH4:BO51">
    <cfRule type="expression" dxfId="10"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6" customWidth="1"/>
    <col min="2" max="2" width="13.26953125" customWidth="1"/>
    <col min="3" max="3" width="32.81640625" customWidth="1"/>
    <col min="4" max="4" width="0.453125" customWidth="1"/>
    <col min="6" max="6" width="0.453125" customWidth="1"/>
    <col min="10" max="10" width="10.81640625" customWidth="1"/>
    <col min="11" max="11" width="3.453125" customWidth="1"/>
    <col min="14" max="17" width="15.81640625" customWidth="1"/>
    <col min="18" max="18" width="17.453125" customWidth="1"/>
    <col min="19" max="22" width="10.81640625" style="11"/>
    <col min="23" max="24" width="10.81640625" style="11" hidden="1" customWidth="1"/>
    <col min="25" max="25" width="10.81640625" style="11"/>
    <col min="26" max="28" width="10.8164062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c r="A7" s="26"/>
      <c r="B7" s="861"/>
      <c r="C7" s="862"/>
      <c r="D7" s="862"/>
      <c r="E7" s="862"/>
      <c r="F7" s="862"/>
      <c r="G7" s="862"/>
      <c r="H7" s="862"/>
      <c r="I7" s="862"/>
      <c r="J7" s="863"/>
      <c r="K7" s="27"/>
      <c r="L7" s="685"/>
      <c r="M7" s="686"/>
      <c r="N7" s="686"/>
      <c r="O7" s="686"/>
      <c r="P7" s="686"/>
      <c r="Q7" s="686"/>
      <c r="R7" s="686"/>
      <c r="S7" s="701"/>
      <c r="T7" s="702"/>
    </row>
    <row r="8" spans="1:20">
      <c r="A8" s="26"/>
      <c r="B8" s="861"/>
      <c r="C8" s="862"/>
      <c r="D8" s="862"/>
      <c r="E8" s="862"/>
      <c r="F8" s="862"/>
      <c r="G8" s="862"/>
      <c r="H8" s="862"/>
      <c r="I8" s="862"/>
      <c r="J8" s="863"/>
      <c r="K8" s="27"/>
      <c r="L8" s="4"/>
      <c r="M8" s="4"/>
      <c r="N8" s="4"/>
      <c r="O8" s="4"/>
      <c r="P8" s="4"/>
      <c r="Q8" s="4"/>
      <c r="R8" s="4"/>
      <c r="S8" s="696"/>
      <c r="T8" s="696"/>
    </row>
    <row r="9" spans="1:20">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c r="A10" s="26"/>
      <c r="B10" s="861"/>
      <c r="C10" s="862"/>
      <c r="D10" s="862"/>
      <c r="E10" s="862"/>
      <c r="F10" s="862"/>
      <c r="G10" s="862"/>
      <c r="H10" s="862"/>
      <c r="I10" s="862"/>
      <c r="J10" s="863"/>
      <c r="K10" s="27"/>
      <c r="L10" s="682"/>
      <c r="M10" s="683"/>
      <c r="N10" s="683"/>
      <c r="O10" s="683"/>
      <c r="P10" s="683"/>
      <c r="Q10" s="683"/>
      <c r="R10" s="683"/>
      <c r="S10" s="697"/>
      <c r="T10" s="698"/>
    </row>
    <row r="11" spans="1:20">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c r="A17" s="26"/>
      <c r="B17" s="155"/>
      <c r="C17" s="156"/>
      <c r="D17" s="156"/>
      <c r="E17" s="156"/>
      <c r="F17" s="156"/>
      <c r="G17" s="156"/>
      <c r="H17" s="156"/>
      <c r="I17" s="156"/>
      <c r="J17" s="157"/>
      <c r="K17" s="27"/>
      <c r="L17" s="27"/>
      <c r="M17" s="27"/>
      <c r="N17" s="27"/>
      <c r="O17" s="27"/>
      <c r="P17" s="27"/>
      <c r="Q17" s="27"/>
      <c r="R17" s="27"/>
      <c r="S17" s="696"/>
      <c r="T17" s="696"/>
    </row>
    <row r="18" spans="1:20">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149999999999999" customHeight="1">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149999999999999" customHeight="1">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15" customHeight="1">
      <c r="A22" s="35"/>
      <c r="B22" s="168"/>
      <c r="C22" s="171"/>
      <c r="D22" s="171"/>
      <c r="E22" s="171"/>
      <c r="F22" s="171"/>
      <c r="G22" s="171"/>
      <c r="H22" s="171"/>
      <c r="I22" s="167"/>
      <c r="J22" s="172"/>
      <c r="K22" s="35"/>
      <c r="L22" s="684"/>
      <c r="M22" s="147"/>
      <c r="N22" s="147"/>
      <c r="O22" s="147"/>
      <c r="P22" s="147"/>
      <c r="Q22" s="147"/>
      <c r="R22" s="147"/>
      <c r="S22" s="699"/>
      <c r="T22" s="700"/>
    </row>
    <row r="23" spans="1:20" ht="20.149999999999999" customHeight="1">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15" customHeight="1">
      <c r="A24" s="35"/>
      <c r="B24" s="168"/>
      <c r="C24" s="171"/>
      <c r="D24" s="171"/>
      <c r="E24" s="171"/>
      <c r="F24" s="171"/>
      <c r="G24" s="171"/>
      <c r="H24" s="171"/>
      <c r="I24" s="171"/>
      <c r="J24" s="172"/>
      <c r="K24" s="35"/>
      <c r="L24" s="684"/>
      <c r="M24" s="147"/>
      <c r="N24" s="147"/>
      <c r="O24" s="147"/>
      <c r="P24" s="147"/>
      <c r="Q24" s="147"/>
      <c r="R24" s="147"/>
      <c r="S24" s="699"/>
      <c r="T24" s="700"/>
    </row>
    <row r="25" spans="1:20" ht="20.149999999999999" customHeight="1">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15" customHeight="1">
      <c r="A26" s="35"/>
      <c r="B26" s="168"/>
      <c r="C26" s="171"/>
      <c r="D26" s="171"/>
      <c r="E26" s="171"/>
      <c r="F26" s="171"/>
      <c r="G26" s="171"/>
      <c r="H26" s="171"/>
      <c r="I26" s="171"/>
      <c r="J26" s="172"/>
      <c r="K26" s="35"/>
      <c r="L26" s="684"/>
      <c r="M26" s="147"/>
      <c r="N26" s="147"/>
      <c r="O26" s="147"/>
      <c r="P26" s="147"/>
      <c r="Q26" s="147"/>
      <c r="R26" s="147"/>
      <c r="S26" s="699"/>
      <c r="T26" s="700"/>
    </row>
    <row r="27" spans="1:20" ht="20.149999999999999" customHeight="1">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15" customHeight="1">
      <c r="A28" s="35"/>
      <c r="B28" s="168"/>
      <c r="C28" s="171"/>
      <c r="D28" s="171"/>
      <c r="E28" s="171"/>
      <c r="F28" s="171"/>
      <c r="G28" s="171"/>
      <c r="H28" s="171"/>
      <c r="I28" s="171"/>
      <c r="J28" s="172"/>
      <c r="K28" s="35"/>
    </row>
    <row r="29" spans="1:20" ht="20.149999999999999" customHeight="1">
      <c r="A29" s="35"/>
      <c r="B29" s="168"/>
      <c r="C29" s="169" t="s">
        <v>1270</v>
      </c>
      <c r="D29" s="170"/>
      <c r="E29" s="39">
        <v>0</v>
      </c>
      <c r="F29" s="170"/>
      <c r="G29" s="38">
        <v>2</v>
      </c>
      <c r="H29" s="171"/>
      <c r="I29" s="171"/>
      <c r="J29" s="172"/>
      <c r="K29" s="35"/>
    </row>
    <row r="30" spans="1:20" ht="2.15" customHeight="1">
      <c r="A30" s="35"/>
      <c r="B30" s="168"/>
      <c r="C30" s="171"/>
      <c r="D30" s="171"/>
      <c r="E30" s="171"/>
      <c r="F30" s="171"/>
      <c r="G30" s="171"/>
      <c r="H30" s="171"/>
      <c r="I30" s="171"/>
      <c r="J30" s="172"/>
      <c r="K30" s="35"/>
      <c r="L30" s="36"/>
    </row>
    <row r="31" spans="1:20" ht="20.149999999999999" customHeight="1">
      <c r="A31" s="35"/>
      <c r="B31" s="168"/>
      <c r="C31" s="169" t="s">
        <v>1271</v>
      </c>
      <c r="D31" s="170"/>
      <c r="E31" s="38">
        <v>2</v>
      </c>
      <c r="F31" s="170"/>
      <c r="G31" s="39">
        <v>0</v>
      </c>
      <c r="H31" s="171"/>
      <c r="I31" s="171"/>
      <c r="J31" s="172"/>
      <c r="K31" s="35"/>
      <c r="L31" s="688" t="s">
        <v>1916</v>
      </c>
    </row>
    <row r="32" spans="1:20" ht="18" customHeight="1">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5" thickBot="1">
      <c r="A33" s="27"/>
      <c r="B33" s="3"/>
      <c r="C33" s="3"/>
      <c r="D33" s="3"/>
      <c r="E33" s="3"/>
      <c r="F33" s="3"/>
      <c r="G33" s="3"/>
      <c r="H33" s="3"/>
      <c r="I33" s="3"/>
      <c r="J33" s="3"/>
      <c r="K33" s="27"/>
      <c r="L33" s="27"/>
    </row>
    <row r="34" spans="1:20" ht="28" customHeight="1" thickBot="1">
      <c r="A34" s="27"/>
      <c r="B34" s="867" t="str">
        <f>HYPERLINK(Idiomas!D10,Idiomas!D9)</f>
        <v>Versiones para más participantes</v>
      </c>
      <c r="C34" s="868"/>
      <c r="D34" s="868"/>
      <c r="E34" s="868"/>
      <c r="F34" s="868"/>
      <c r="G34" s="868"/>
      <c r="H34" s="868"/>
      <c r="I34" s="868"/>
      <c r="J34" s="868"/>
      <c r="K34" s="27"/>
      <c r="L34" s="688" t="s">
        <v>1878</v>
      </c>
    </row>
    <row r="35" spans="1:20" ht="18" customHeight="1" thickBot="1">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8" thickBot="1">
      <c r="A36" s="27"/>
      <c r="B36" s="4"/>
      <c r="C36" s="40" t="s">
        <v>1335</v>
      </c>
      <c r="D36" s="27"/>
      <c r="E36" s="27"/>
      <c r="F36" s="27"/>
      <c r="G36" s="27"/>
      <c r="H36" s="46" t="str">
        <f>HYPERLINK(Idiomas!D13,"FAQ")</f>
        <v>FAQ</v>
      </c>
      <c r="I36" s="27"/>
      <c r="J36" s="27"/>
      <c r="K36" s="27"/>
      <c r="L36" s="27"/>
      <c r="M36" s="26"/>
      <c r="N36" s="27"/>
    </row>
    <row r="37" spans="1:20" ht="15" customHeight="1">
      <c r="A37" s="27"/>
      <c r="B37" s="4"/>
      <c r="C37" s="4"/>
      <c r="D37" s="4"/>
      <c r="E37" s="4"/>
      <c r="F37" s="4"/>
      <c r="G37" s="4"/>
      <c r="H37" s="4"/>
      <c r="I37" s="4"/>
      <c r="J37" s="4"/>
      <c r="K37" s="27"/>
      <c r="L37" s="688" t="s">
        <v>1888</v>
      </c>
      <c r="M37" s="26"/>
      <c r="N37" s="27"/>
    </row>
    <row r="38" spans="1:20" ht="34" customHeight="1">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c r="L40" s="688" t="s">
        <v>1656</v>
      </c>
      <c r="M40" s="689"/>
      <c r="N40" s="689"/>
      <c r="O40" s="689"/>
      <c r="P40" s="689"/>
      <c r="Q40" s="689"/>
      <c r="R40" s="689"/>
      <c r="S40" s="705"/>
      <c r="T40" s="705"/>
    </row>
    <row r="41" spans="1:20">
      <c r="L41" s="682" t="str">
        <f>Idiomas!D108</f>
        <v>· En estas hoja podrás ver diferentes estadísticas generales y por partido</v>
      </c>
      <c r="M41" s="683"/>
      <c r="N41" s="683"/>
      <c r="O41" s="683"/>
      <c r="P41" s="683"/>
      <c r="Q41" s="683"/>
      <c r="R41" s="683"/>
      <c r="S41" s="697"/>
      <c r="T41" s="698"/>
    </row>
    <row r="42" spans="1:20">
      <c r="L42" s="694" t="str">
        <f>Idiomas!D109</f>
        <v>· Para verlas correctamente necesitas una versión posterior a excel 2021</v>
      </c>
      <c r="M42" s="695"/>
      <c r="N42" s="695"/>
      <c r="O42" s="695"/>
      <c r="P42" s="695"/>
      <c r="Q42" s="695"/>
      <c r="R42" s="695"/>
      <c r="S42" s="706"/>
      <c r="T42" s="707"/>
    </row>
    <row r="44" spans="1:20">
      <c r="L44" s="688" t="s">
        <v>1305</v>
      </c>
      <c r="M44" s="689"/>
      <c r="N44" s="689"/>
      <c r="O44" s="689"/>
      <c r="P44" s="689"/>
      <c r="Q44" s="689"/>
      <c r="R44" s="689"/>
      <c r="S44" s="705"/>
      <c r="T44" s="705"/>
    </row>
    <row r="45" spans="1:20" ht="18" customHeight="1">
      <c r="L45" s="692" t="str">
        <f>Idiomas!D110</f>
        <v xml:space="preserve">· En esta hoja puedes ver de un vistazo el cuadro del mundial </v>
      </c>
      <c r="M45" s="693"/>
      <c r="N45" s="693"/>
      <c r="O45" s="693"/>
      <c r="P45" s="693"/>
      <c r="Q45" s="693"/>
      <c r="R45" s="693"/>
      <c r="S45" s="703"/>
      <c r="T45" s="704"/>
    </row>
    <row r="84" spans="13:25" ht="60" customHeight="1">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c r="M86" s="501" t="s">
        <v>1791</v>
      </c>
      <c r="T86" s="501" t="s">
        <v>1795</v>
      </c>
      <c r="U86" s="501" t="s">
        <v>1792</v>
      </c>
      <c r="V86" s="501" t="s">
        <v>1793</v>
      </c>
      <c r="W86" s="501" t="s">
        <v>1800</v>
      </c>
      <c r="X86" s="501" t="s">
        <v>1801</v>
      </c>
      <c r="Y86" s="501" t="s">
        <v>1802</v>
      </c>
    </row>
    <row r="87" spans="13:25">
      <c r="M87" s="680" t="s">
        <v>1794</v>
      </c>
      <c r="N87" s="11" t="str">
        <f>IFERROR(IF(J18="",$U$87,INDEX($U$87:$U$91,MATCH(M87,$T$87:$T$91,0))),"")</f>
        <v>Irán</v>
      </c>
      <c r="O87" s="11" t="str">
        <f>IFERROR(IF(J18="",$V$87,INDEX($V$87:$V$91,MATCH(M87,$T$87:$T$91,0))),"")</f>
        <v>Iran</v>
      </c>
      <c r="T87" s="708" t="s">
        <v>1794</v>
      </c>
      <c r="U87" s="8" t="s">
        <v>1262</v>
      </c>
      <c r="V87" s="8" t="s">
        <v>1282</v>
      </c>
      <c r="W87" s="8" t="s">
        <v>1283</v>
      </c>
      <c r="X87" s="8" t="e" vm="1">
        <v>#VALUE!</v>
      </c>
      <c r="Y87" s="8">
        <v>3.5</v>
      </c>
    </row>
    <row r="88" spans="13:25">
      <c r="T88" s="708" t="s">
        <v>1796</v>
      </c>
      <c r="U88" s="8" t="s">
        <v>1755</v>
      </c>
      <c r="V88" s="8" t="s">
        <v>1756</v>
      </c>
      <c r="W88" s="8" t="s">
        <v>1760</v>
      </c>
      <c r="X88" s="708" t="e" vm="2">
        <v>#VALUE!</v>
      </c>
      <c r="Y88" s="8">
        <v>4</v>
      </c>
    </row>
    <row r="89" spans="13:25" ht="15.5">
      <c r="T89" s="708" t="s">
        <v>1797</v>
      </c>
      <c r="U89" s="8" t="s">
        <v>1786</v>
      </c>
      <c r="V89" s="8" t="s">
        <v>1786</v>
      </c>
      <c r="W89" s="709" t="s">
        <v>1787</v>
      </c>
      <c r="X89" s="708" t="e" vm="3">
        <v>#VALUE!</v>
      </c>
      <c r="Y89" s="8">
        <v>-4</v>
      </c>
    </row>
    <row r="90" spans="13:25" ht="15.5">
      <c r="T90" s="708" t="s">
        <v>1798</v>
      </c>
      <c r="U90" s="8" t="s">
        <v>1788</v>
      </c>
      <c r="V90" s="8" t="s">
        <v>1789</v>
      </c>
      <c r="W90" s="710" t="s">
        <v>1790</v>
      </c>
      <c r="X90" s="708" t="e" vm="4">
        <v>#VALUE!</v>
      </c>
      <c r="Y90" s="8">
        <v>-3</v>
      </c>
    </row>
    <row r="91" spans="13:25">
      <c r="T91" s="708" t="s">
        <v>1799</v>
      </c>
      <c r="U91" s="8" t="str">
        <f>N93</f>
        <v>Escribe la selección</v>
      </c>
      <c r="V91" s="8" t="str">
        <f>O93</f>
        <v>Write the nation</v>
      </c>
      <c r="W91" s="8" t="str">
        <f>IF(Q93="","",Q93)</f>
        <v/>
      </c>
      <c r="X91" s="8" t="str">
        <f>IF(R93="","",R93)</f>
        <v/>
      </c>
      <c r="Y91" s="8">
        <f>IF(P93="",-4,P93)</f>
        <v>-4</v>
      </c>
    </row>
    <row r="92" spans="13:25" ht="19" customHeight="1">
      <c r="N92" s="501" t="s">
        <v>1792</v>
      </c>
      <c r="O92" s="501" t="s">
        <v>1793</v>
      </c>
      <c r="P92" s="501" t="s">
        <v>1807</v>
      </c>
      <c r="Q92" s="501" t="s">
        <v>1804</v>
      </c>
      <c r="R92" s="501" t="s">
        <v>1801</v>
      </c>
    </row>
    <row r="93" spans="13:25" ht="25" customHeight="1">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453125" defaultRowHeight="15" customHeight="1"/>
  <cols>
    <col min="1" max="1" width="6.81640625" style="5" bestFit="1" customWidth="1"/>
    <col min="2" max="2" width="16.81640625" style="5" customWidth="1"/>
    <col min="3" max="3" width="11.453125" style="5" customWidth="1"/>
    <col min="4" max="4" width="8.81640625" style="5" bestFit="1" customWidth="1"/>
    <col min="5" max="5" width="11.26953125" style="5" customWidth="1"/>
    <col min="6" max="6" width="15.26953125" style="5" customWidth="1"/>
    <col min="7" max="7" width="4.1796875" style="5" bestFit="1" customWidth="1"/>
    <col min="8" max="8" width="20.453125" style="5"/>
    <col min="9" max="9" width="13" style="5" customWidth="1"/>
    <col min="10" max="10" width="12" style="5" customWidth="1"/>
    <col min="11" max="11" width="20.453125" style="5"/>
    <col min="12" max="13" width="0" style="5" hidden="1" customWidth="1"/>
    <col min="14" max="14" width="4.453125" style="730" customWidth="1"/>
    <col min="15" max="20" width="20.453125" style="731"/>
    <col min="21" max="16384" width="20.453125" style="9"/>
  </cols>
  <sheetData>
    <row r="1" spans="1:20" ht="15" customHeight="1">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c r="A2" s="5">
        <v>1</v>
      </c>
      <c r="B2" s="5" t="str">
        <f ca="1">+INDEX(Idiomas!$D$212:$D$259,MATCH(T_Equipos[[#This Row],[Num]],Idiomas!$C$212:$C$259,0))</f>
        <v>México</v>
      </c>
      <c r="C2" s="5" t="s">
        <v>0</v>
      </c>
      <c r="D2" s="5">
        <v>1</v>
      </c>
      <c r="F2" s="5" t="s">
        <v>0</v>
      </c>
      <c r="K2" s="5" t="str">
        <f ca="1">Idiomas!D212</f>
        <v>Alemania</v>
      </c>
      <c r="L2" s="5" t="s">
        <v>144</v>
      </c>
      <c r="M2" s="5" t="e" vm="5">
        <v>#VALUE!</v>
      </c>
      <c r="O2" s="734">
        <v>1</v>
      </c>
      <c r="P2" s="735"/>
      <c r="Q2" s="735" cm="1">
        <f t="array" aca="1" ref="Q2" ca="1">IFERROR(MIN(IF(COUNTIF($Q$1:Q1,ADMIN!$H$6:$H$77)=0,ADMIN!$H$6:$H$77)),"")</f>
        <v>46184</v>
      </c>
      <c r="R2" s="732">
        <v>1</v>
      </c>
      <c r="S2" s="736"/>
      <c r="T2" s="733">
        <v>0.05</v>
      </c>
    </row>
    <row r="3" spans="1:20" ht="15" customHeight="1">
      <c r="A3" s="5">
        <v>2</v>
      </c>
      <c r="B3" s="5" t="str">
        <f ca="1">+INDEX(Idiomas!$D$212:$D$259,MATCH(T_Equipos[[#This Row],[Num]],Idiomas!$C$212:$C$259,0))</f>
        <v>Sudáfrica</v>
      </c>
      <c r="C3" s="5" t="s">
        <v>0</v>
      </c>
      <c r="D3" s="5">
        <v>2</v>
      </c>
      <c r="F3" s="5" t="s">
        <v>1</v>
      </c>
      <c r="K3" s="5" t="str">
        <f ca="1">Idiomas!D213</f>
        <v>Arabia Saudita</v>
      </c>
      <c r="L3" s="5" t="s">
        <v>1640</v>
      </c>
      <c r="M3" s="5" t="e" vm="6">
        <v>#VALUE!</v>
      </c>
      <c r="O3" s="734">
        <v>2</v>
      </c>
      <c r="P3" s="735"/>
      <c r="Q3" s="735" cm="1">
        <f t="array" aca="1" ref="Q3" ca="1">IFERROR(MIN(IF(COUNTIF($Q$1:Q2,ADMIN!$H$6:$H$77)=0,ADMIN!$H$6:$H$77)),"")</f>
        <v>46185</v>
      </c>
      <c r="R3" s="732">
        <v>2</v>
      </c>
      <c r="S3" s="736"/>
      <c r="T3" s="733">
        <v>0.1</v>
      </c>
    </row>
    <row r="4" spans="1:20" ht="15" customHeight="1">
      <c r="A4" s="5">
        <v>3</v>
      </c>
      <c r="B4" s="5" t="str">
        <f ca="1">+INDEX(Idiomas!$D$212:$D$259,MATCH(T_Equipos[[#This Row],[Num]],Idiomas!$C$212:$C$259,0))</f>
        <v>Corea del Sur</v>
      </c>
      <c r="C4" s="5" t="s">
        <v>0</v>
      </c>
      <c r="D4" s="5">
        <v>3</v>
      </c>
      <c r="F4" s="5" t="s">
        <v>2</v>
      </c>
      <c r="K4" s="5" t="str">
        <f ca="1">Idiomas!D214</f>
        <v>Argelia</v>
      </c>
      <c r="L4" s="5" t="s">
        <v>1560</v>
      </c>
      <c r="M4" s="5" t="e" vm="7">
        <v>#VALUE!</v>
      </c>
      <c r="O4" s="734">
        <v>3</v>
      </c>
      <c r="P4" s="735"/>
      <c r="Q4" s="735" cm="1">
        <f t="array" aca="1" ref="Q4" ca="1">IFERROR(MIN(IF(COUNTIF($Q$1:Q3,ADMIN!$H$6:$H$77)=0,ADMIN!$H$6:$H$77)),"")</f>
        <v>46186</v>
      </c>
      <c r="R4" s="732">
        <v>3</v>
      </c>
      <c r="S4" s="736"/>
      <c r="T4" s="733">
        <v>0.15</v>
      </c>
    </row>
    <row r="5" spans="1:20" ht="15" customHeight="1">
      <c r="A5" s="5">
        <v>4</v>
      </c>
      <c r="B5" s="5" t="str">
        <f ca="1">+INDEX(Idiomas!$D$212:$D$259,MATCH(T_Equipos[[#This Row],[Num]],Idiomas!$C$212:$C$259,0))</f>
        <v>República Checa</v>
      </c>
      <c r="C5" s="5" t="s">
        <v>0</v>
      </c>
      <c r="D5" s="5">
        <v>4</v>
      </c>
      <c r="F5" s="5" t="s">
        <v>73</v>
      </c>
      <c r="K5" s="5" t="str">
        <f ca="1">Idiomas!D215</f>
        <v>Argentina</v>
      </c>
      <c r="L5" s="5" t="s">
        <v>1272</v>
      </c>
      <c r="M5" s="5" t="e" vm="8">
        <v>#VALUE!</v>
      </c>
      <c r="O5" s="734">
        <v>4</v>
      </c>
      <c r="P5" s="735"/>
      <c r="Q5" s="735" cm="1">
        <f t="array" aca="1" ref="Q5" ca="1">IFERROR(MIN(IF(COUNTIF($Q$1:Q4,ADMIN!$H$6:$H$77)=0,ADMIN!$H$6:$H$77)),"")</f>
        <v>46187</v>
      </c>
      <c r="R5" s="732">
        <v>4</v>
      </c>
      <c r="S5" s="736"/>
      <c r="T5" s="733">
        <v>0.2</v>
      </c>
    </row>
    <row r="6" spans="1:20" ht="15" customHeight="1">
      <c r="A6" s="5">
        <v>5</v>
      </c>
      <c r="B6" s="5" t="str">
        <f ca="1">+INDEX(Idiomas!$D$212:$D$259,MATCH(T_Equipos[[#This Row],[Num]],Idiomas!$C$212:$C$259,0))</f>
        <v>Canadá</v>
      </c>
      <c r="C6" s="5" t="s">
        <v>1</v>
      </c>
      <c r="D6" s="5">
        <v>1</v>
      </c>
      <c r="F6" s="5" t="s">
        <v>3</v>
      </c>
      <c r="K6" s="5" t="str">
        <f ca="1">Idiomas!D216</f>
        <v>Australia</v>
      </c>
      <c r="L6" s="5" t="s">
        <v>1273</v>
      </c>
      <c r="M6" s="5" t="e" vm="9">
        <v>#VALUE!</v>
      </c>
      <c r="O6" s="734">
        <v>5</v>
      </c>
      <c r="P6" s="735"/>
      <c r="Q6" s="735" cm="1">
        <f t="array" aca="1" ref="Q6" ca="1">IFERROR(MIN(IF(COUNTIF($Q$1:Q5,ADMIN!$H$6:$H$77)=0,ADMIN!$H$6:$H$77)),"")</f>
        <v>46188</v>
      </c>
      <c r="R6" s="732">
        <v>5</v>
      </c>
      <c r="S6" s="736"/>
      <c r="T6" s="733">
        <v>0.25</v>
      </c>
    </row>
    <row r="7" spans="1:20" ht="15" customHeight="1">
      <c r="A7" s="5">
        <v>6</v>
      </c>
      <c r="B7" s="5" t="str">
        <f ca="1">+INDEX(Idiomas!$D$212:$D$259,MATCH(T_Equipos[[#This Row],[Num]],Idiomas!$C$212:$C$259,0))</f>
        <v>Bosnia y Herzegovina</v>
      </c>
      <c r="C7" s="5" t="s">
        <v>1</v>
      </c>
      <c r="D7" s="5">
        <v>2</v>
      </c>
      <c r="F7" s="5" t="s">
        <v>4</v>
      </c>
      <c r="K7" s="5" t="str">
        <f ca="1">Idiomas!D217</f>
        <v>Austria</v>
      </c>
      <c r="L7" s="734" t="s">
        <v>145</v>
      </c>
      <c r="M7" s="734" t="e" vm="10">
        <v>#VALUE!</v>
      </c>
      <c r="O7" s="734"/>
      <c r="P7" s="735"/>
      <c r="Q7" s="735" cm="1">
        <f t="array" aca="1" ref="Q7" ca="1">IFERROR(MIN(IF(COUNTIF($Q$1:Q6,ADMIN!$H$6:$H$77)=0,ADMIN!$H$6:$H$77)),"")</f>
        <v>46189</v>
      </c>
      <c r="R7" s="732">
        <v>6</v>
      </c>
      <c r="S7" s="736"/>
      <c r="T7" s="733">
        <v>0.3</v>
      </c>
    </row>
    <row r="8" spans="1:20" ht="15" customHeight="1">
      <c r="A8" s="5">
        <v>7</v>
      </c>
      <c r="B8" s="5" t="str">
        <f ca="1">+INDEX(Idiomas!$D$212:$D$259,MATCH(T_Equipos[[#This Row],[Num]],Idiomas!$C$212:$C$259,0))</f>
        <v>Catar</v>
      </c>
      <c r="C8" s="5" t="s">
        <v>1</v>
      </c>
      <c r="D8" s="5">
        <v>3</v>
      </c>
      <c r="F8" s="5" t="s">
        <v>6</v>
      </c>
      <c r="K8" s="5" t="str">
        <f ca="1">Idiomas!D218</f>
        <v>Bélgica</v>
      </c>
      <c r="L8" s="5" t="s">
        <v>140</v>
      </c>
      <c r="M8" s="5" t="e" vm="11">
        <v>#VALUE!</v>
      </c>
      <c r="O8" s="734"/>
      <c r="P8" s="735"/>
      <c r="Q8" s="735" cm="1">
        <f t="array" aca="1" ref="Q8" ca="1">IFERROR(MIN(IF(COUNTIF($Q$1:Q7,ADMIN!$H$6:$H$77)=0,ADMIN!$H$6:$H$77)),"")</f>
        <v>46190</v>
      </c>
      <c r="R8" s="732">
        <v>7</v>
      </c>
      <c r="S8" s="736"/>
      <c r="T8" s="733">
        <v>0.35</v>
      </c>
    </row>
    <row r="9" spans="1:20" ht="15" customHeight="1">
      <c r="A9" s="5">
        <v>8</v>
      </c>
      <c r="B9" s="5" t="str">
        <f ca="1">+INDEX(Idiomas!$D$212:$D$259,MATCH(T_Equipos[[#This Row],[Num]],Idiomas!$C$212:$C$259,0))</f>
        <v>Suiza</v>
      </c>
      <c r="C9" s="5" t="s">
        <v>1</v>
      </c>
      <c r="D9" s="5">
        <v>4</v>
      </c>
      <c r="F9" s="5" t="s">
        <v>437</v>
      </c>
      <c r="K9" s="5" t="str">
        <f ca="1">Idiomas!D219</f>
        <v>Brasil</v>
      </c>
      <c r="L9" s="5" t="s">
        <v>1275</v>
      </c>
      <c r="M9" s="5" t="e" vm="12">
        <v>#VALUE!</v>
      </c>
      <c r="O9" s="734"/>
      <c r="P9" s="735"/>
      <c r="Q9" s="735" cm="1">
        <f t="array" aca="1" ref="Q9" ca="1">IFERROR(MIN(IF(COUNTIF($Q$1:Q8,ADMIN!$H$6:$H$77)=0,ADMIN!$H$6:$H$77)),"")</f>
        <v>46191</v>
      </c>
      <c r="R9" s="732">
        <v>8</v>
      </c>
      <c r="S9" s="736"/>
      <c r="T9" s="733">
        <v>0.4</v>
      </c>
    </row>
    <row r="10" spans="1:20" ht="15" customHeight="1">
      <c r="A10" s="5">
        <v>9</v>
      </c>
      <c r="B10" s="5" t="str">
        <f ca="1">+INDEX(Idiomas!$D$212:$D$259,MATCH(T_Equipos[[#This Row],[Num]],Idiomas!$C$212:$C$259,0))</f>
        <v>Brasil</v>
      </c>
      <c r="C10" s="5" t="s">
        <v>2</v>
      </c>
      <c r="D10" s="5">
        <v>1</v>
      </c>
      <c r="F10" s="5" t="s">
        <v>438</v>
      </c>
      <c r="K10" s="5" t="str">
        <f ca="1">Idiomas!D220</f>
        <v>Cabo Verde</v>
      </c>
      <c r="L10" s="5" t="s">
        <v>1557</v>
      </c>
      <c r="M10" s="5" t="e" vm="13">
        <v>#VALUE!</v>
      </c>
      <c r="O10" s="734"/>
      <c r="P10" s="735"/>
      <c r="Q10" s="735" cm="1">
        <f t="array" aca="1" ref="Q10" ca="1">IFERROR(MIN(IF(COUNTIF($Q$1:Q9,ADMIN!$H$6:$H$77)=0,ADMIN!$H$6:$H$77)),"")</f>
        <v>46192</v>
      </c>
      <c r="R10" s="732">
        <v>9</v>
      </c>
      <c r="S10" s="736"/>
      <c r="T10" s="733">
        <v>0.45</v>
      </c>
    </row>
    <row r="11" spans="1:20" ht="15" customHeight="1">
      <c r="A11" s="5">
        <v>10</v>
      </c>
      <c r="B11" s="5" t="str">
        <f ca="1">+INDEX(Idiomas!$D$212:$D$259,MATCH(T_Equipos[[#This Row],[Num]],Idiomas!$C$212:$C$259,0))</f>
        <v>Marruecos</v>
      </c>
      <c r="C11" s="5" t="s">
        <v>2</v>
      </c>
      <c r="D11" s="5">
        <v>2</v>
      </c>
      <c r="F11" s="5" t="s">
        <v>5</v>
      </c>
      <c r="K11" s="5" t="str">
        <f ca="1">Idiomas!D221</f>
        <v>Canadá</v>
      </c>
      <c r="L11" s="5" t="s">
        <v>1277</v>
      </c>
      <c r="M11" s="5" t="e" vm="14">
        <v>#VALUE!</v>
      </c>
      <c r="O11" s="734"/>
      <c r="P11" s="735"/>
      <c r="Q11" s="735" cm="1">
        <f t="array" aca="1" ref="Q11" ca="1">IFERROR(MIN(IF(COUNTIF($Q$1:Q10,ADMIN!$H$6:$H$77)=0,ADMIN!$H$6:$H$77)),"")</f>
        <v>46193</v>
      </c>
      <c r="R11" s="732">
        <v>10</v>
      </c>
      <c r="S11" s="736"/>
      <c r="T11" s="733">
        <v>0.5</v>
      </c>
    </row>
    <row r="12" spans="1:20" ht="15" customHeight="1">
      <c r="A12" s="5">
        <v>11</v>
      </c>
      <c r="B12" s="5" t="str">
        <f ca="1">+INDEX(Idiomas!$D$212:$D$259,MATCH(T_Equipos[[#This Row],[Num]],Idiomas!$C$212:$C$259,0))</f>
        <v>Haití</v>
      </c>
      <c r="C12" s="5" t="s">
        <v>2</v>
      </c>
      <c r="D12" s="5">
        <v>3</v>
      </c>
      <c r="F12" s="5" t="s">
        <v>439</v>
      </c>
      <c r="K12" s="5" t="str">
        <f ca="1">Idiomas!D222</f>
        <v>Catar</v>
      </c>
      <c r="L12" s="5" t="s">
        <v>1638</v>
      </c>
      <c r="M12" s="5" t="e" vm="15">
        <v>#VALUE!</v>
      </c>
      <c r="O12" s="734"/>
      <c r="P12" s="735"/>
      <c r="Q12" s="735" cm="1">
        <f t="array" aca="1" ref="Q12" ca="1">IFERROR(MIN(IF(COUNTIF($Q$1:Q11,ADMIN!$H$6:$H$77)=0,ADMIN!$H$6:$H$77)),"")</f>
        <v>46194</v>
      </c>
      <c r="R12" s="732">
        <v>11</v>
      </c>
      <c r="S12" s="736"/>
      <c r="T12" s="733">
        <v>0.55000000000000004</v>
      </c>
    </row>
    <row r="13" spans="1:20" ht="15" customHeight="1">
      <c r="A13" s="5">
        <v>12</v>
      </c>
      <c r="B13" s="5" t="str">
        <f ca="1">+INDEX(Idiomas!$D$212:$D$259,MATCH(T_Equipos[[#This Row],[Num]],Idiomas!$C$212:$C$259,0))</f>
        <v>Escocia</v>
      </c>
      <c r="C13" s="5" t="s">
        <v>2</v>
      </c>
      <c r="D13" s="5">
        <v>4</v>
      </c>
      <c r="F13" s="5" t="s">
        <v>238</v>
      </c>
      <c r="K13" s="5" t="str">
        <f ca="1">Idiomas!D223</f>
        <v>Colombia</v>
      </c>
      <c r="L13" s="5" t="s">
        <v>1325</v>
      </c>
      <c r="M13" s="5" t="e" vm="16">
        <v>#VALUE!</v>
      </c>
      <c r="O13" s="734"/>
      <c r="P13" s="735"/>
      <c r="Q13" s="735" cm="1">
        <f t="array" aca="1" ref="Q13" ca="1">IFERROR(MIN(IF(COUNTIF($Q$1:Q12,ADMIN!$H$6:$H$77)=0,ADMIN!$H$6:$H$77)),"")</f>
        <v>46195</v>
      </c>
      <c r="R13" s="732">
        <v>12</v>
      </c>
      <c r="S13" s="736"/>
      <c r="T13" s="733">
        <v>0.6</v>
      </c>
    </row>
    <row r="14" spans="1:20" ht="15" customHeight="1">
      <c r="A14" s="5">
        <v>13</v>
      </c>
      <c r="B14" s="5" t="str">
        <f ca="1">+INDEX(Idiomas!$D$212:$D$259,MATCH(T_Equipos[[#This Row],[Num]],Idiomas!$C$212:$C$259,0))</f>
        <v>Estados Unidos</v>
      </c>
      <c r="C14" s="5" t="s">
        <v>73</v>
      </c>
      <c r="D14" s="5">
        <v>1</v>
      </c>
      <c r="K14" s="5" t="str">
        <f ca="1">Idiomas!D224</f>
        <v>Corea del Sur</v>
      </c>
      <c r="L14" s="5" t="s">
        <v>1279</v>
      </c>
      <c r="M14" s="5" t="e" vm="17">
        <v>#VALUE!</v>
      </c>
      <c r="O14" s="734"/>
      <c r="P14" s="735"/>
      <c r="Q14" s="735" cm="1">
        <f t="array" aca="1" ref="Q14" ca="1">IFERROR(MIN(IF(COUNTIF($Q$1:Q13,ADMIN!$H$6:$H$77)=0,ADMIN!$H$6:$H$77)),"")</f>
        <v>46196</v>
      </c>
      <c r="R14" s="732">
        <v>13</v>
      </c>
      <c r="S14" s="736"/>
      <c r="T14" s="733">
        <v>0.65</v>
      </c>
    </row>
    <row r="15" spans="1:20" ht="15" customHeight="1">
      <c r="A15" s="5">
        <v>14</v>
      </c>
      <c r="B15" s="5" t="str">
        <f ca="1">+INDEX(Idiomas!$D$212:$D$259,MATCH(T_Equipos[[#This Row],[Num]],Idiomas!$C$212:$C$259,0))</f>
        <v>Paraguay</v>
      </c>
      <c r="C15" s="5" t="s">
        <v>73</v>
      </c>
      <c r="D15" s="5">
        <v>2</v>
      </c>
      <c r="K15" s="5" t="str">
        <f ca="1">Idiomas!D225</f>
        <v>Costa de Marfil</v>
      </c>
      <c r="L15" s="5" t="s">
        <v>1642</v>
      </c>
      <c r="M15" s="9" t="e" vm="18">
        <v>#VALUE!</v>
      </c>
      <c r="O15" s="734"/>
      <c r="P15" s="735"/>
      <c r="Q15" s="735" cm="1">
        <f t="array" aca="1" ref="Q15" ca="1">IFERROR(MIN(IF(COUNTIF($Q$1:Q14,ADMIN!$H$6:$H$77)=0,ADMIN!$H$6:$H$77)),"")</f>
        <v>46197</v>
      </c>
      <c r="R15" s="732">
        <v>14</v>
      </c>
      <c r="S15" s="736"/>
      <c r="T15" s="733">
        <v>0.7</v>
      </c>
    </row>
    <row r="16" spans="1:20" ht="15" customHeight="1">
      <c r="A16" s="5">
        <v>15</v>
      </c>
      <c r="B16" s="5" t="str">
        <f ca="1">+INDEX(Idiomas!$D$212:$D$259,MATCH(T_Equipos[[#This Row],[Num]],Idiomas!$C$212:$C$259,0))</f>
        <v>Australia</v>
      </c>
      <c r="C16" s="5" t="s">
        <v>73</v>
      </c>
      <c r="D16" s="5">
        <v>3</v>
      </c>
      <c r="K16" s="5" t="str">
        <f ca="1">Idiomas!D226</f>
        <v>Croacia</v>
      </c>
      <c r="L16" s="5" t="s">
        <v>143</v>
      </c>
      <c r="M16" s="5" t="e" vm="19">
        <v>#VALUE!</v>
      </c>
      <c r="O16" s="734"/>
      <c r="P16" s="735"/>
      <c r="Q16" s="735" cm="1">
        <f t="array" aca="1" ref="Q16" ca="1">IFERROR(MIN(IF(COUNTIF($Q$1:Q15,ADMIN!$H$6:$H$77)=0,ADMIN!$H$6:$H$77)),"")</f>
        <v>46198</v>
      </c>
      <c r="R16" s="732">
        <v>15</v>
      </c>
      <c r="S16" s="736"/>
      <c r="T16" s="733">
        <v>0.75</v>
      </c>
    </row>
    <row r="17" spans="1:20" ht="15" customHeight="1">
      <c r="A17" s="5">
        <v>16</v>
      </c>
      <c r="B17" s="5" t="str">
        <f ca="1">+INDEX(Idiomas!$D$212:$D$259,MATCH(T_Equipos[[#This Row],[Num]],Idiomas!$C$212:$C$259,0))</f>
        <v>Turquía</v>
      </c>
      <c r="C17" s="5" t="s">
        <v>73</v>
      </c>
      <c r="D17" s="5">
        <v>4</v>
      </c>
      <c r="K17" s="5" t="str">
        <f ca="1">Idiomas!D227</f>
        <v>Curazao</v>
      </c>
      <c r="L17" s="5" t="s">
        <v>1732</v>
      </c>
      <c r="M17" s="5" t="e" vm="20">
        <v>#VALUE!</v>
      </c>
      <c r="O17" s="734"/>
      <c r="P17" s="735"/>
      <c r="Q17" s="735" cm="1">
        <f t="array" aca="1" ref="Q17" ca="1">IFERROR(MIN(IF(COUNTIF($Q$1:Q16,ADMIN!$H$6:$H$77)=0,ADMIN!$H$6:$H$77)),"")</f>
        <v>46199</v>
      </c>
      <c r="R17" s="732">
        <v>16</v>
      </c>
      <c r="S17" s="736"/>
      <c r="T17" s="733">
        <v>0.8</v>
      </c>
    </row>
    <row r="18" spans="1:20" ht="15" customHeight="1">
      <c r="A18" s="5">
        <v>17</v>
      </c>
      <c r="B18" s="5" t="str">
        <f ca="1">+INDEX(Idiomas!$D$212:$D$259,MATCH(T_Equipos[[#This Row],[Num]],Idiomas!$C$212:$C$259,0))</f>
        <v>Alemania</v>
      </c>
      <c r="C18" s="5" t="s">
        <v>3</v>
      </c>
      <c r="D18" s="5">
        <v>1</v>
      </c>
      <c r="K18" s="5" t="str">
        <f ca="1">Idiomas!D228</f>
        <v>Ecuador</v>
      </c>
      <c r="L18" s="5" t="s">
        <v>1280</v>
      </c>
      <c r="M18" s="9" t="e" vm="21">
        <v>#VALUE!</v>
      </c>
      <c r="O18" s="734"/>
      <c r="P18" s="735"/>
      <c r="Q18" s="735" cm="1">
        <f t="array" aca="1" ref="Q18" ca="1">IFERROR(MIN(IF(COUNTIF($Q$1:Q17,ADMIN!$H$6:$H$77)=0,ADMIN!$H$6:$H$77)),"")</f>
        <v>46200</v>
      </c>
      <c r="R18" s="732">
        <v>17</v>
      </c>
      <c r="S18" s="736"/>
      <c r="T18" s="733">
        <v>0.85</v>
      </c>
    </row>
    <row r="19" spans="1:20" ht="15" customHeight="1">
      <c r="A19" s="5">
        <v>18</v>
      </c>
      <c r="B19" s="5" t="str">
        <f ca="1">+INDEX(Idiomas!$D$212:$D$259,MATCH(T_Equipos[[#This Row],[Num]],Idiomas!$C$212:$C$259,0))</f>
        <v>Curazao</v>
      </c>
      <c r="C19" s="5" t="s">
        <v>3</v>
      </c>
      <c r="D19" s="5">
        <v>2</v>
      </c>
      <c r="K19" s="5" t="str">
        <f ca="1">Idiomas!D229</f>
        <v>Egipto</v>
      </c>
      <c r="L19" s="5" t="s">
        <v>1554</v>
      </c>
      <c r="M19" s="9" t="e" vm="22">
        <v>#VALUE!</v>
      </c>
      <c r="O19" s="734"/>
      <c r="P19" s="735"/>
      <c r="Q19" s="735" cm="1">
        <f t="array" aca="1" ref="Q19" ca="1">IFERROR(MIN(IF(COUNTIF($Q$1:Q18,ADMIN!$H$6:$H$77)=0,ADMIN!$H$6:$H$77)),"")</f>
        <v>0</v>
      </c>
      <c r="R19" s="732">
        <v>18</v>
      </c>
      <c r="S19" s="736"/>
      <c r="T19" s="733">
        <v>0.9</v>
      </c>
    </row>
    <row r="20" spans="1:20" ht="15" customHeight="1">
      <c r="A20" s="5">
        <v>19</v>
      </c>
      <c r="B20" s="5" t="str">
        <f ca="1">+INDEX(Idiomas!$D$212:$D$259,MATCH(T_Equipos[[#This Row],[Num]],Idiomas!$C$212:$C$259,0))</f>
        <v>Costa de Marfil</v>
      </c>
      <c r="C20" s="5" t="s">
        <v>3</v>
      </c>
      <c r="D20" s="5">
        <v>3</v>
      </c>
      <c r="K20" s="5" t="str">
        <f ca="1">Idiomas!D230</f>
        <v>Escocia</v>
      </c>
      <c r="L20" s="5" t="s">
        <v>146</v>
      </c>
      <c r="M20" s="5" t="e" vm="23">
        <v>#VALUE!</v>
      </c>
      <c r="O20" s="734"/>
      <c r="P20" s="735"/>
      <c r="Q20" s="734" t="str">
        <f>+PROPER(Idiomas!D137)</f>
        <v>Clasificados Para Dieciseisavos</v>
      </c>
      <c r="R20" s="734">
        <v>19</v>
      </c>
      <c r="T20" s="733">
        <v>0.95</v>
      </c>
    </row>
    <row r="21" spans="1:20" ht="15" customHeight="1">
      <c r="A21" s="5">
        <v>20</v>
      </c>
      <c r="B21" s="5" t="str">
        <f ca="1">+INDEX(Idiomas!$D$212:$D$259,MATCH(T_Equipos[[#This Row],[Num]],Idiomas!$C$212:$C$259,0))</f>
        <v>Ecuador</v>
      </c>
      <c r="C21" s="5" t="s">
        <v>3</v>
      </c>
      <c r="D21" s="5">
        <v>4</v>
      </c>
      <c r="K21" s="5" t="str">
        <f ca="1">Idiomas!D231</f>
        <v>España</v>
      </c>
      <c r="L21" s="5" t="s">
        <v>142</v>
      </c>
      <c r="M21" s="5" t="e" vm="24">
        <v>#VALUE!</v>
      </c>
      <c r="O21" s="734"/>
      <c r="Q21" s="735" t="str">
        <f>Idiomas!D260</f>
        <v>Dieciseisavos de final</v>
      </c>
      <c r="R21" s="732">
        <v>20</v>
      </c>
      <c r="T21" s="733"/>
    </row>
    <row r="22" spans="1:20" ht="15" customHeight="1">
      <c r="A22" s="5">
        <v>21</v>
      </c>
      <c r="B22" s="5" t="str">
        <f ca="1">+INDEX(Idiomas!$D$212:$D$259,MATCH(T_Equipos[[#This Row],[Num]],Idiomas!$C$212:$C$259,0))</f>
        <v>Países Bajos</v>
      </c>
      <c r="C22" s="5" t="s">
        <v>4</v>
      </c>
      <c r="D22" s="5">
        <v>1</v>
      </c>
      <c r="K22" s="5" t="str">
        <f ca="1">Idiomas!D232</f>
        <v>Estados Unidos</v>
      </c>
      <c r="L22" s="5" t="s">
        <v>1281</v>
      </c>
      <c r="M22" s="5" t="e" vm="25">
        <v>#VALUE!</v>
      </c>
      <c r="O22" s="734"/>
      <c r="Q22" s="735" t="str">
        <f>Idiomas!D261</f>
        <v>Octavos de final</v>
      </c>
      <c r="R22" s="732">
        <v>21</v>
      </c>
      <c r="T22" s="733"/>
    </row>
    <row r="23" spans="1:20" ht="15" customHeight="1">
      <c r="A23" s="5">
        <v>22</v>
      </c>
      <c r="B23" s="5" t="str">
        <f ca="1">+INDEX(Idiomas!$D$212:$D$259,MATCH(T_Equipos[[#This Row],[Num]],Idiomas!$C$212:$C$259,0))</f>
        <v>Japón</v>
      </c>
      <c r="C23" s="5" t="s">
        <v>4</v>
      </c>
      <c r="D23" s="5">
        <v>2</v>
      </c>
      <c r="K23" s="5" t="str">
        <f ca="1">Idiomas!D233</f>
        <v>Francia</v>
      </c>
      <c r="L23" s="5" t="s">
        <v>141</v>
      </c>
      <c r="M23" s="5" t="e" vm="26">
        <v>#VALUE!</v>
      </c>
      <c r="O23" s="734"/>
      <c r="Q23" s="735" t="str">
        <f>Idiomas!D262</f>
        <v>Cuartos de final</v>
      </c>
      <c r="R23" s="732">
        <v>22</v>
      </c>
    </row>
    <row r="24" spans="1:20" ht="15" customHeight="1">
      <c r="A24" s="5">
        <v>23</v>
      </c>
      <c r="B24" s="5" t="str">
        <f ca="1">+INDEX(Idiomas!$D$212:$D$259,MATCH(T_Equipos[[#This Row],[Num]],Idiomas!$C$212:$C$259,0))</f>
        <v>Suecia</v>
      </c>
      <c r="C24" s="5" t="s">
        <v>4</v>
      </c>
      <c r="D24" s="5">
        <v>3</v>
      </c>
      <c r="K24" s="5" t="str">
        <f ca="1">Idiomas!D234</f>
        <v>Ghana</v>
      </c>
      <c r="L24" s="5" t="s">
        <v>1555</v>
      </c>
      <c r="M24" s="5" t="e" vm="27">
        <v>#VALUE!</v>
      </c>
      <c r="O24" s="734"/>
      <c r="Q24" s="735" t="str">
        <f>Idiomas!D263</f>
        <v>Semifinales</v>
      </c>
      <c r="R24" s="732">
        <v>23</v>
      </c>
    </row>
    <row r="25" spans="1:20" ht="15" customHeight="1">
      <c r="A25" s="5">
        <v>24</v>
      </c>
      <c r="B25" s="5" t="str">
        <f ca="1">+INDEX(Idiomas!$D$212:$D$259,MATCH(T_Equipos[[#This Row],[Num]],Idiomas!$C$212:$C$259,0))</f>
        <v>Túnez</v>
      </c>
      <c r="C25" s="5" t="s">
        <v>4</v>
      </c>
      <c r="D25" s="5">
        <v>4</v>
      </c>
      <c r="K25" s="5" t="str">
        <f ca="1">Idiomas!D235</f>
        <v>Haití</v>
      </c>
      <c r="L25" s="5" t="s">
        <v>1733</v>
      </c>
      <c r="M25" s="5" t="e" vm="28">
        <v>#VALUE!</v>
      </c>
      <c r="O25" s="734"/>
      <c r="Q25" s="735" t="str">
        <f>Idiomas!D264</f>
        <v>3-4 &amp; Final</v>
      </c>
      <c r="R25" s="732">
        <v>24</v>
      </c>
    </row>
    <row r="26" spans="1:20" ht="15" customHeight="1">
      <c r="A26" s="5">
        <v>25</v>
      </c>
      <c r="B26" s="5" t="str">
        <f ca="1">+INDEX(Idiomas!$D$212:$D$259,MATCH(T_Equipos[[#This Row],[Num]],Idiomas!$C$212:$C$259,0))</f>
        <v>Bélgica</v>
      </c>
      <c r="C26" s="5" t="s">
        <v>6</v>
      </c>
      <c r="D26" s="5">
        <v>1</v>
      </c>
      <c r="K26" s="5" t="str">
        <f ca="1">Idiomas!D236</f>
        <v>Inglaterra</v>
      </c>
      <c r="L26" s="5" t="s">
        <v>139</v>
      </c>
      <c r="M26" s="5" t="e" vm="29">
        <v>#VALUE!</v>
      </c>
      <c r="O26" s="734"/>
      <c r="Q26" s="734" t="str">
        <f>+PROPER(Idiomas!G137)</f>
        <v>Clasificados Para Dieciseisavos</v>
      </c>
      <c r="R26" s="734">
        <v>19</v>
      </c>
    </row>
    <row r="27" spans="1:20" ht="15" customHeight="1">
      <c r="A27" s="5">
        <v>26</v>
      </c>
      <c r="B27" s="5" t="str">
        <f ca="1">+INDEX(Idiomas!$D$212:$D$259,MATCH(T_Equipos[[#This Row],[Num]],Idiomas!$C$212:$C$259,0))</f>
        <v>Egipto</v>
      </c>
      <c r="C27" s="5" t="s">
        <v>6</v>
      </c>
      <c r="D27" s="5">
        <v>2</v>
      </c>
      <c r="K27" s="5" t="str">
        <f ca="1">Idiomas!D237</f>
        <v>Irán</v>
      </c>
      <c r="L27" s="5" t="str">
        <f>+INDEX(Credits!$W$87:$W$91,MATCH(Credits!$N$87,Credits!$U$87:$U$91,0))</f>
        <v>🇮🇷</v>
      </c>
      <c r="M27" s="5" t="e" vm="30">
        <f>+INDEX(Credits!$X$87:$X$91,MATCH(Credits!$N$87,Credits!$U$87:$U$91,0))</f>
        <v>#VALUE!</v>
      </c>
      <c r="O27" s="734"/>
      <c r="P27" s="736"/>
      <c r="Q27" s="735" t="str">
        <f>Idiomas!G260</f>
        <v>Dieciseisavos de final</v>
      </c>
      <c r="R27" s="732">
        <v>20</v>
      </c>
    </row>
    <row r="28" spans="1:20" ht="15" customHeight="1">
      <c r="A28" s="5">
        <v>27</v>
      </c>
      <c r="B28" s="5" t="str">
        <f ca="1">+INDEX(Idiomas!$D$212:$D$259,MATCH(T_Equipos[[#This Row],[Num]],Idiomas!$C$212:$C$259,0))</f>
        <v>Irán</v>
      </c>
      <c r="C28" s="5" t="s">
        <v>6</v>
      </c>
      <c r="D28" s="5">
        <v>3</v>
      </c>
      <c r="K28" s="5" t="str">
        <f ca="1">Idiomas!D238</f>
        <v>Japón</v>
      </c>
      <c r="L28" s="5" t="s">
        <v>1285</v>
      </c>
      <c r="M28" s="5" t="e" vm="31">
        <v>#VALUE!</v>
      </c>
      <c r="O28" s="734"/>
      <c r="P28" s="736"/>
      <c r="Q28" s="735" t="str">
        <f>Idiomas!G261</f>
        <v>Octavos de final</v>
      </c>
      <c r="R28" s="732">
        <v>21</v>
      </c>
    </row>
    <row r="29" spans="1:20" ht="15" customHeight="1">
      <c r="A29" s="5">
        <v>28</v>
      </c>
      <c r="B29" s="5" t="str">
        <f ca="1">+INDEX(Idiomas!$D$212:$D$259,MATCH(T_Equipos[[#This Row],[Num]],Idiomas!$C$212:$C$259,0))</f>
        <v>Nueva Zelanda</v>
      </c>
      <c r="C29" s="5" t="s">
        <v>6</v>
      </c>
      <c r="D29" s="5">
        <v>4</v>
      </c>
      <c r="K29" s="5" t="str">
        <f ca="1">Idiomas!D239</f>
        <v>Jordania</v>
      </c>
      <c r="L29" s="5" t="s">
        <v>1287</v>
      </c>
      <c r="M29" s="5" t="e" vm="32">
        <v>#VALUE!</v>
      </c>
      <c r="O29" s="734"/>
      <c r="P29" s="736"/>
      <c r="Q29" s="735" t="str">
        <f>Idiomas!G262</f>
        <v>Cuartos de final</v>
      </c>
      <c r="R29" s="732">
        <v>22</v>
      </c>
    </row>
    <row r="30" spans="1:20" ht="15" customHeight="1">
      <c r="A30" s="5">
        <v>29</v>
      </c>
      <c r="B30" s="5" t="str">
        <f ca="1">+INDEX(Idiomas!$D$212:$D$259,MATCH(T_Equipos[[#This Row],[Num]],Idiomas!$C$212:$C$259,0))</f>
        <v>España</v>
      </c>
      <c r="C30" s="5" t="s">
        <v>437</v>
      </c>
      <c r="D30" s="5">
        <v>1</v>
      </c>
      <c r="K30" s="5" t="str">
        <f ca="1">Idiomas!D240</f>
        <v>Marruecos</v>
      </c>
      <c r="L30" s="5" t="s">
        <v>1327</v>
      </c>
      <c r="M30" s="5" t="e" vm="33">
        <v>#VALUE!</v>
      </c>
      <c r="O30" s="734"/>
      <c r="Q30" s="735" t="str">
        <f>Idiomas!G263</f>
        <v>Semifinales</v>
      </c>
      <c r="R30" s="732">
        <v>23</v>
      </c>
    </row>
    <row r="31" spans="1:20" ht="15" customHeight="1">
      <c r="A31" s="5">
        <v>30</v>
      </c>
      <c r="B31" s="5" t="str">
        <f ca="1">+INDEX(Idiomas!$D$212:$D$259,MATCH(T_Equipos[[#This Row],[Num]],Idiomas!$C$212:$C$259,0))</f>
        <v>Cabo Verde</v>
      </c>
      <c r="C31" s="5" t="s">
        <v>437</v>
      </c>
      <c r="D31" s="5">
        <v>2</v>
      </c>
      <c r="K31" s="5" t="str">
        <f ca="1">Idiomas!D241</f>
        <v>México</v>
      </c>
      <c r="L31" s="5" t="s">
        <v>1289</v>
      </c>
      <c r="M31" s="5" t="e" vm="34">
        <v>#VALUE!</v>
      </c>
      <c r="O31" s="734"/>
      <c r="Q31" s="735" t="str">
        <f>Idiomas!G264</f>
        <v>3-4 &amp; Final</v>
      </c>
      <c r="R31" s="732">
        <v>24</v>
      </c>
    </row>
    <row r="32" spans="1:20" ht="15" customHeight="1">
      <c r="A32" s="5">
        <v>31</v>
      </c>
      <c r="B32" s="5" t="str">
        <f ca="1">+INDEX(Idiomas!$D$212:$D$259,MATCH(T_Equipos[[#This Row],[Num]],Idiomas!$C$212:$C$259,0))</f>
        <v>Arabia Saudita</v>
      </c>
      <c r="C32" s="5" t="s">
        <v>437</v>
      </c>
      <c r="D32" s="5">
        <v>3</v>
      </c>
      <c r="K32" s="5" t="str">
        <f ca="1">Idiomas!D242</f>
        <v>Noruega</v>
      </c>
      <c r="L32" s="5" t="s">
        <v>147</v>
      </c>
      <c r="M32" s="5" t="e" vm="35">
        <v>#VALUE!</v>
      </c>
      <c r="O32" s="734"/>
      <c r="Q32" s="734" t="str">
        <f>+PROPER(Idiomas!H137)</f>
        <v>Qualified For Round Of 32</v>
      </c>
      <c r="R32" s="734">
        <v>19</v>
      </c>
    </row>
    <row r="33" spans="1:20" ht="15" customHeight="1">
      <c r="A33" s="5">
        <v>32</v>
      </c>
      <c r="B33" s="5" t="str">
        <f ca="1">+INDEX(Idiomas!$D$212:$D$259,MATCH(T_Equipos[[#This Row],[Num]],Idiomas!$C$212:$C$259,0))</f>
        <v>Uruguay</v>
      </c>
      <c r="C33" s="5" t="s">
        <v>437</v>
      </c>
      <c r="D33" s="5">
        <v>4</v>
      </c>
      <c r="K33" s="5" t="str">
        <f ca="1">Idiomas!D243</f>
        <v>Nueva Zelanda</v>
      </c>
      <c r="L33" s="5" t="s">
        <v>1291</v>
      </c>
      <c r="M33" s="5" t="e" vm="36">
        <v>#VALUE!</v>
      </c>
      <c r="O33" s="734"/>
      <c r="Q33" s="735" t="str">
        <f>Idiomas!H260</f>
        <v>Round of 32</v>
      </c>
      <c r="R33" s="732">
        <v>20</v>
      </c>
    </row>
    <row r="34" spans="1:20" ht="15" customHeight="1">
      <c r="A34" s="5">
        <v>33</v>
      </c>
      <c r="B34" s="5" t="str">
        <f ca="1">+INDEX(Idiomas!$D$212:$D$259,MATCH(T_Equipos[[#This Row],[Num]],Idiomas!$C$212:$C$259,0))</f>
        <v>Francia</v>
      </c>
      <c r="C34" s="5" t="s">
        <v>438</v>
      </c>
      <c r="D34" s="5">
        <v>1</v>
      </c>
      <c r="K34" s="5" t="str">
        <f ca="1">Idiomas!D244</f>
        <v>Países Bajos</v>
      </c>
      <c r="L34" s="5" t="s">
        <v>138</v>
      </c>
      <c r="M34" s="5" t="e" vm="37">
        <v>#VALUE!</v>
      </c>
      <c r="O34" s="734"/>
      <c r="Q34" s="735" t="str">
        <f>Idiomas!H261</f>
        <v>Round Of 16</v>
      </c>
      <c r="R34" s="732">
        <v>21</v>
      </c>
    </row>
    <row r="35" spans="1:20" ht="15" customHeight="1">
      <c r="A35" s="5">
        <v>34</v>
      </c>
      <c r="B35" s="5" t="str">
        <f ca="1">+INDEX(Idiomas!$D$212:$D$259,MATCH(T_Equipos[[#This Row],[Num]],Idiomas!$C$212:$C$259,0))</f>
        <v>Senegal</v>
      </c>
      <c r="C35" s="5" t="s">
        <v>438</v>
      </c>
      <c r="D35" s="5">
        <v>2</v>
      </c>
      <c r="K35" s="5" t="str">
        <f ca="1">Idiomas!D245</f>
        <v>Panamá</v>
      </c>
      <c r="L35" s="5" t="s">
        <v>1734</v>
      </c>
      <c r="M35" s="5" t="e" vm="38">
        <v>#VALUE!</v>
      </c>
      <c r="O35" s="734"/>
      <c r="Q35" s="735" t="str">
        <f>Idiomas!H262</f>
        <v>Quarterfinals</v>
      </c>
      <c r="R35" s="732">
        <v>22</v>
      </c>
    </row>
    <row r="36" spans="1:20" ht="15" customHeight="1">
      <c r="A36" s="5">
        <v>35</v>
      </c>
      <c r="B36" s="5" t="str">
        <f ca="1">+INDEX(Idiomas!$D$212:$D$259,MATCH(T_Equipos[[#This Row],[Num]],Idiomas!$C$212:$C$259,0))</f>
        <v>Irak</v>
      </c>
      <c r="C36" s="5" t="s">
        <v>438</v>
      </c>
      <c r="D36" s="5">
        <v>3</v>
      </c>
      <c r="K36" s="5" t="str">
        <f ca="1">Idiomas!D246</f>
        <v>Paraguay</v>
      </c>
      <c r="L36" s="5" t="s">
        <v>1324</v>
      </c>
      <c r="M36" s="5" t="e" vm="39">
        <v>#VALUE!</v>
      </c>
      <c r="O36" s="734"/>
      <c r="Q36" s="735" t="str">
        <f>Idiomas!H263</f>
        <v>Semifinals</v>
      </c>
      <c r="R36" s="732">
        <v>23</v>
      </c>
    </row>
    <row r="37" spans="1:20" ht="15" customHeight="1">
      <c r="A37" s="5">
        <v>36</v>
      </c>
      <c r="B37" s="5" t="str">
        <f ca="1">+INDEX(Idiomas!$D$212:$D$259,MATCH(T_Equipos[[#This Row],[Num]],Idiomas!$C$212:$C$259,0))</f>
        <v>Noruega</v>
      </c>
      <c r="C37" s="5" t="s">
        <v>438</v>
      </c>
      <c r="D37" s="5">
        <v>4</v>
      </c>
      <c r="K37" s="5" t="str">
        <f ca="1">Idiomas!D247</f>
        <v>Portugal</v>
      </c>
      <c r="L37" s="5" t="s">
        <v>137</v>
      </c>
      <c r="M37" s="5" t="e" vm="40">
        <v>#VALUE!</v>
      </c>
      <c r="O37" s="734"/>
      <c r="Q37" s="735" t="str">
        <f>Idiomas!H264</f>
        <v>3-4 &amp; Final</v>
      </c>
      <c r="R37" s="732">
        <v>24</v>
      </c>
      <c r="T37" s="735"/>
    </row>
    <row r="38" spans="1:20" ht="15" customHeight="1">
      <c r="A38" s="5">
        <v>37</v>
      </c>
      <c r="B38" s="5" t="str">
        <f ca="1">+INDEX(Idiomas!$D$212:$D$259,MATCH(T_Equipos[[#This Row],[Num]],Idiomas!$C$212:$C$259,0))</f>
        <v>Argentina</v>
      </c>
      <c r="C38" s="5" t="s">
        <v>5</v>
      </c>
      <c r="D38" s="5">
        <v>1</v>
      </c>
      <c r="K38" s="5" t="str">
        <f ca="1">Idiomas!D248</f>
        <v>Senegal</v>
      </c>
      <c r="L38" s="5" t="s">
        <v>1643</v>
      </c>
      <c r="M38" s="5" t="e" vm="41">
        <v>#VALUE!</v>
      </c>
      <c r="O38" s="734"/>
      <c r="T38" s="735"/>
    </row>
    <row r="39" spans="1:20" ht="15" customHeight="1">
      <c r="A39" s="5">
        <v>38</v>
      </c>
      <c r="B39" s="5" t="str">
        <f ca="1">+INDEX(Idiomas!$D$212:$D$259,MATCH(T_Equipos[[#This Row],[Num]],Idiomas!$C$212:$C$259,0))</f>
        <v>Argelia</v>
      </c>
      <c r="C39" s="5" t="s">
        <v>5</v>
      </c>
      <c r="D39" s="5">
        <v>2</v>
      </c>
      <c r="K39" s="5" t="str">
        <f ca="1">Idiomas!D249</f>
        <v>Sudáfrica</v>
      </c>
      <c r="L39" s="5" t="s">
        <v>1636</v>
      </c>
      <c r="M39" s="5" t="e" vm="42">
        <v>#VALUE!</v>
      </c>
      <c r="O39" s="734"/>
      <c r="Q39" s="734" t="s">
        <v>1647</v>
      </c>
      <c r="R39" s="734" t="s">
        <v>1648</v>
      </c>
      <c r="S39" s="734"/>
      <c r="T39" s="735"/>
    </row>
    <row r="40" spans="1:20" ht="15" customHeight="1">
      <c r="A40" s="5">
        <v>39</v>
      </c>
      <c r="B40" s="5" t="str">
        <f ca="1">+INDEX(Idiomas!$D$212:$D$259,MATCH(T_Equipos[[#This Row],[Num]],Idiomas!$C$212:$C$259,0))</f>
        <v>Austria</v>
      </c>
      <c r="C40" s="5" t="s">
        <v>5</v>
      </c>
      <c r="D40" s="5">
        <v>3</v>
      </c>
      <c r="K40" s="5" t="str">
        <f ca="1">Idiomas!D250</f>
        <v>Suiza</v>
      </c>
      <c r="L40" s="5" t="s">
        <v>136</v>
      </c>
      <c r="M40" s="5" t="e" vm="43">
        <v>#VALUE!</v>
      </c>
      <c r="O40" s="734"/>
      <c r="Q40" s="735" cm="1">
        <f t="array" aca="1" ref="Q40" ca="1">IFERROR(INDEX($Q$2:$Q$25,SMALL(IF(($Q$2:$Q$25)=0,"",ROW($Q$2:$Q$25)),ROW(Q1))-MIN(ROW($Q$2:$Q$25))+1),"")</f>
        <v>46184</v>
      </c>
      <c r="R40" s="735" cm="1">
        <f t="array" ref="R40:R63" ca="1">Equipos!$Q$40:INDEX(Equipos!$Q$40:$Q$63,SUMPRODUCT((NOT(ISERROR(Equipos!$Q$40:$Q$63)))*(Equipos!$Q$40:$Q$63&lt;&gt;"")))</f>
        <v>46184</v>
      </c>
      <c r="S40" s="734"/>
      <c r="T40" s="735"/>
    </row>
    <row r="41" spans="1:20" ht="15" customHeight="1">
      <c r="A41" s="5">
        <v>40</v>
      </c>
      <c r="B41" s="5" t="str">
        <f ca="1">+INDEX(Idiomas!$D$212:$D$259,MATCH(T_Equipos[[#This Row],[Num]],Idiomas!$C$212:$C$259,0))</f>
        <v>Jordania</v>
      </c>
      <c r="C41" s="5" t="s">
        <v>5</v>
      </c>
      <c r="D41" s="5">
        <v>4</v>
      </c>
      <c r="K41" s="5" t="str">
        <f ca="1">Idiomas!D251</f>
        <v>Túnez</v>
      </c>
      <c r="L41" s="5" t="s">
        <v>1329</v>
      </c>
      <c r="M41" s="5" t="e" vm="44">
        <v>#VALUE!</v>
      </c>
      <c r="O41" s="734"/>
      <c r="Q41" s="735" cm="1">
        <f t="array" aca="1" ref="Q41" ca="1">IFERROR(INDEX($Q$2:$Q$25,SMALL(IF(($Q$2:$Q$25)=0,"",ROW($Q$2:$Q$25)),ROW(Q2))-MIN(ROW($Q$2:$Q$25))+1),"")</f>
        <v>46185</v>
      </c>
      <c r="R41" s="735">
        <f ca="1"/>
        <v>46185</v>
      </c>
      <c r="T41" s="735"/>
    </row>
    <row r="42" spans="1:20" ht="15" customHeight="1">
      <c r="A42" s="5">
        <v>41</v>
      </c>
      <c r="B42" s="5" t="str">
        <f ca="1">+INDEX(Idiomas!$D$212:$D$259,MATCH(T_Equipos[[#This Row],[Num]],Idiomas!$C$212:$C$259,0))</f>
        <v>Portugal</v>
      </c>
      <c r="C42" s="5" t="s">
        <v>439</v>
      </c>
      <c r="D42" s="5">
        <v>1</v>
      </c>
      <c r="K42" s="5" t="str">
        <f ca="1">Idiomas!D252</f>
        <v>Uruguay</v>
      </c>
      <c r="L42" s="5" t="s">
        <v>1323</v>
      </c>
      <c r="M42" s="5" t="e" vm="45">
        <v>#VALUE!</v>
      </c>
      <c r="O42" s="734"/>
      <c r="Q42" s="735" cm="1">
        <f t="array" aca="1" ref="Q42" ca="1">IFERROR(INDEX($Q$2:$Q$25,SMALL(IF(($Q$2:$Q$25)=0,"",ROW($Q$2:$Q$25)),ROW(Q3))-MIN(ROW($Q$2:$Q$25))+1),"")</f>
        <v>46186</v>
      </c>
      <c r="R42" s="735">
        <f ca="1"/>
        <v>46186</v>
      </c>
      <c r="T42" s="735"/>
    </row>
    <row r="43" spans="1:20" ht="15" customHeight="1">
      <c r="A43" s="5">
        <v>42</v>
      </c>
      <c r="B43" s="5" t="str">
        <f ca="1">+INDEX(Idiomas!$D$212:$D$259,MATCH(T_Equipos[[#This Row],[Num]],Idiomas!$C$212:$C$259,0))</f>
        <v>RD Congo</v>
      </c>
      <c r="C43" s="5" t="s">
        <v>439</v>
      </c>
      <c r="D43" s="5">
        <v>2</v>
      </c>
      <c r="K43" s="5" t="str">
        <f ca="1">Idiomas!D253</f>
        <v>Uzbekistán</v>
      </c>
      <c r="L43" s="5" t="s">
        <v>1293</v>
      </c>
      <c r="M43" s="5" t="e" vm="46">
        <v>#VALUE!</v>
      </c>
      <c r="O43" s="734"/>
      <c r="Q43" s="735" cm="1">
        <f t="array" aca="1" ref="Q43" ca="1">IFERROR(INDEX($Q$2:$Q$25,SMALL(IF(($Q$2:$Q$25)=0,"",ROW($Q$2:$Q$25)),ROW(Q4))-MIN(ROW($Q$2:$Q$25))+1),"")</f>
        <v>46187</v>
      </c>
      <c r="R43" s="735">
        <f ca="1"/>
        <v>46187</v>
      </c>
      <c r="T43" s="735"/>
    </row>
    <row r="44" spans="1:20" ht="15" customHeight="1">
      <c r="A44" s="5">
        <v>43</v>
      </c>
      <c r="B44" s="5" t="str">
        <f ca="1">+INDEX(Idiomas!$D$212:$D$259,MATCH(T_Equipos[[#This Row],[Num]],Idiomas!$C$212:$C$259,0))</f>
        <v>Uzbekistán</v>
      </c>
      <c r="C44" s="5" t="s">
        <v>439</v>
      </c>
      <c r="D44" s="5">
        <v>3</v>
      </c>
      <c r="K44" s="5" t="str">
        <f ca="1">Idiomas!D254</f>
        <v>RD Congo</v>
      </c>
      <c r="L44" s="737" t="s">
        <v>1845</v>
      </c>
      <c r="M44" s="5" t="e" vm="47">
        <v>#VALUE!</v>
      </c>
      <c r="O44" s="734"/>
      <c r="Q44" s="735" cm="1">
        <f t="array" aca="1" ref="Q44" ca="1">IFERROR(INDEX($Q$2:$Q$25,SMALL(IF(($Q$2:$Q$25)=0,"",ROW($Q$2:$Q$25)),ROW(Q5))-MIN(ROW($Q$2:$Q$25))+1),"")</f>
        <v>46188</v>
      </c>
      <c r="R44" s="735">
        <f ca="1"/>
        <v>46188</v>
      </c>
      <c r="T44" s="735"/>
    </row>
    <row r="45" spans="1:20" ht="15" customHeight="1">
      <c r="A45" s="5">
        <v>44</v>
      </c>
      <c r="B45" s="5" t="str">
        <f ca="1">+INDEX(Idiomas!$D$212:$D$259,MATCH(T_Equipos[[#This Row],[Num]],Idiomas!$C$212:$C$259,0))</f>
        <v>Colombia</v>
      </c>
      <c r="C45" s="5" t="s">
        <v>439</v>
      </c>
      <c r="D45" s="5">
        <v>4</v>
      </c>
      <c r="K45" s="5" t="str">
        <f ca="1">Idiomas!D255</f>
        <v>Irak</v>
      </c>
      <c r="L45" s="737" t="s">
        <v>1759</v>
      </c>
      <c r="M45" s="5" t="e" vm="48">
        <v>#VALUE!</v>
      </c>
      <c r="O45" s="734"/>
      <c r="Q45" s="735" cm="1">
        <f t="array" aca="1" ref="Q45" ca="1">IFERROR(INDEX($Q$2:$Q$25,SMALL(IF(($Q$2:$Q$25)=0,"",ROW($Q$2:$Q$25)),ROW(Q6))-MIN(ROW($Q$2:$Q$25))+1),"")</f>
        <v>46189</v>
      </c>
      <c r="R45" s="735">
        <f ca="1"/>
        <v>46189</v>
      </c>
      <c r="T45" s="735"/>
    </row>
    <row r="46" spans="1:20" ht="15" customHeight="1">
      <c r="A46" s="5">
        <v>45</v>
      </c>
      <c r="B46" s="5" t="str">
        <f ca="1">+INDEX(Idiomas!$D$212:$D$259,MATCH(T_Equipos[[#This Row],[Num]],Idiomas!$C$212:$C$259,0))</f>
        <v>Inglaterra</v>
      </c>
      <c r="C46" s="5" t="s">
        <v>238</v>
      </c>
      <c r="D46" s="5">
        <v>1</v>
      </c>
      <c r="K46" s="5" t="str">
        <f ca="1">Idiomas!D256</f>
        <v>Bosnia y Herzegovina</v>
      </c>
      <c r="L46" s="738" t="s">
        <v>1846</v>
      </c>
      <c r="M46" s="5" t="e" vm="49">
        <v>#VALUE!</v>
      </c>
      <c r="O46" s="734"/>
      <c r="Q46" s="735" cm="1">
        <f t="array" aca="1" ref="Q46" ca="1">IFERROR(INDEX($Q$2:$Q$25,SMALL(IF(($Q$2:$Q$25)=0,"",ROW($Q$2:$Q$25)),ROW(Q7))-MIN(ROW($Q$2:$Q$25))+1),"")</f>
        <v>46190</v>
      </c>
      <c r="R46" s="735">
        <f ca="1"/>
        <v>46190</v>
      </c>
      <c r="T46" s="735"/>
    </row>
    <row r="47" spans="1:20" ht="15" customHeight="1">
      <c r="A47" s="5">
        <v>46</v>
      </c>
      <c r="B47" s="5" t="str">
        <f ca="1">+INDEX(Idiomas!$D$212:$D$259,MATCH(T_Equipos[[#This Row],[Num]],Idiomas!$C$212:$C$259,0))</f>
        <v>Croacia</v>
      </c>
      <c r="C47" s="5" t="s">
        <v>238</v>
      </c>
      <c r="D47" s="5">
        <v>2</v>
      </c>
      <c r="K47" s="5" t="str">
        <f ca="1">Idiomas!D257</f>
        <v>Suecia</v>
      </c>
      <c r="L47" s="737" t="s">
        <v>1837</v>
      </c>
      <c r="M47" s="5" t="e" vm="50">
        <v>#VALUE!</v>
      </c>
      <c r="O47" s="734"/>
      <c r="Q47" s="735" cm="1">
        <f t="array" aca="1" ref="Q47" ca="1">IFERROR(INDEX($Q$2:$Q$25,SMALL(IF(($Q$2:$Q$25)=0,"",ROW($Q$2:$Q$25)),ROW(Q8))-MIN(ROW($Q$2:$Q$25))+1),"")</f>
        <v>46191</v>
      </c>
      <c r="R47" s="735">
        <f ca="1"/>
        <v>46191</v>
      </c>
      <c r="T47" s="735"/>
    </row>
    <row r="48" spans="1:20" ht="15" customHeight="1">
      <c r="A48" s="5">
        <v>47</v>
      </c>
      <c r="B48" s="5" t="str">
        <f ca="1">+INDEX(Idiomas!$D$212:$D$259,MATCH(T_Equipos[[#This Row],[Num]],Idiomas!$C$212:$C$259,0))</f>
        <v>Ghana</v>
      </c>
      <c r="C48" s="5" t="s">
        <v>238</v>
      </c>
      <c r="D48" s="5">
        <v>3</v>
      </c>
      <c r="K48" s="5" t="str">
        <f ca="1">Idiomas!D258</f>
        <v>Turquía</v>
      </c>
      <c r="L48" s="737" t="s">
        <v>1838</v>
      </c>
      <c r="M48" s="5" t="e" vm="51">
        <v>#VALUE!</v>
      </c>
      <c r="O48" s="734"/>
      <c r="Q48" s="735" cm="1">
        <f t="array" aca="1" ref="Q48" ca="1">IFERROR(INDEX($Q$2:$Q$25,SMALL(IF(($Q$2:$Q$25)=0,"",ROW($Q$2:$Q$25)),ROW(Q9))-MIN(ROW($Q$2:$Q$25))+1),"")</f>
        <v>46192</v>
      </c>
      <c r="R48" s="735">
        <f ca="1"/>
        <v>46192</v>
      </c>
      <c r="T48" s="735"/>
    </row>
    <row r="49" spans="1:20" ht="15" customHeight="1">
      <c r="A49" s="5">
        <v>48</v>
      </c>
      <c r="B49" s="5" t="str">
        <f ca="1">+INDEX(Idiomas!$D$212:$D$259,MATCH(T_Equipos[[#This Row],[Num]],Idiomas!$C$212:$C$259,0))</f>
        <v>Panamá</v>
      </c>
      <c r="C49" s="5" t="s">
        <v>238</v>
      </c>
      <c r="D49" s="5">
        <v>4</v>
      </c>
      <c r="K49" s="5" t="str">
        <f ca="1">Idiomas!D259</f>
        <v>República Checa</v>
      </c>
      <c r="L49" s="737" t="s">
        <v>1847</v>
      </c>
      <c r="M49" s="5" t="e" vm="52">
        <v>#VALUE!</v>
      </c>
      <c r="O49" s="734"/>
      <c r="Q49" s="735" cm="1">
        <f t="array" aca="1" ref="Q49" ca="1">IFERROR(INDEX($Q$2:$Q$25,SMALL(IF(($Q$2:$Q$25)=0,"",ROW($Q$2:$Q$25)),ROW(Q10))-MIN(ROW($Q$2:$Q$25))+1),"")</f>
        <v>46193</v>
      </c>
      <c r="R49" s="735">
        <f ca="1"/>
        <v>46193</v>
      </c>
      <c r="T49" s="735"/>
    </row>
    <row r="50" spans="1:20" ht="15" customHeight="1">
      <c r="L50" s="5" t="s">
        <v>1304</v>
      </c>
      <c r="O50" s="734"/>
      <c r="Q50" s="735" cm="1">
        <f t="array" aca="1" ref="Q50" ca="1">IFERROR(INDEX($Q$2:$Q$25,SMALL(IF(($Q$2:$Q$25)=0,"",ROW($Q$2:$Q$25)),ROW(Q11))-MIN(ROW($Q$2:$Q$25))+1),"")</f>
        <v>46194</v>
      </c>
      <c r="R50" s="735">
        <f ca="1"/>
        <v>46194</v>
      </c>
      <c r="T50" s="735"/>
    </row>
    <row r="51" spans="1:20" ht="15" customHeight="1">
      <c r="O51" s="734"/>
      <c r="Q51" s="735" cm="1">
        <f t="array" aca="1" ref="Q51" ca="1">IFERROR(INDEX($Q$2:$Q$25,SMALL(IF(($Q$2:$Q$25)=0,"",ROW($Q$2:$Q$25)),ROW(Q12))-MIN(ROW($Q$2:$Q$25))+1),"")</f>
        <v>46195</v>
      </c>
      <c r="R51" s="735">
        <f ca="1"/>
        <v>46195</v>
      </c>
      <c r="T51" s="735"/>
    </row>
    <row r="52" spans="1:20" ht="15" customHeight="1">
      <c r="O52" s="734"/>
      <c r="Q52" s="735" cm="1">
        <f t="array" aca="1" ref="Q52" ca="1">IFERROR(INDEX($Q$2:$Q$25,SMALL(IF(($Q$2:$Q$25)=0,"",ROW($Q$2:$Q$25)),ROW(Q13))-MIN(ROW($Q$2:$Q$25))+1),"")</f>
        <v>46196</v>
      </c>
      <c r="R52" s="735">
        <f ca="1"/>
        <v>46196</v>
      </c>
      <c r="T52" s="735"/>
    </row>
    <row r="53" spans="1:20" ht="15" customHeight="1">
      <c r="O53" s="734"/>
      <c r="P53" s="736"/>
      <c r="Q53" s="735" cm="1">
        <f t="array" aca="1" ref="Q53" ca="1">IFERROR(INDEX($Q$2:$Q$25,SMALL(IF(($Q$2:$Q$25)=0,"",ROW($Q$2:$Q$25)),ROW(Q14))-MIN(ROW($Q$2:$Q$25))+1),"")</f>
        <v>46197</v>
      </c>
      <c r="R53" s="735">
        <f ca="1"/>
        <v>46197</v>
      </c>
      <c r="T53" s="735"/>
    </row>
    <row r="54" spans="1:20" ht="15" customHeight="1">
      <c r="O54" s="734"/>
      <c r="Q54" s="735" cm="1">
        <f t="array" aca="1" ref="Q54" ca="1">IFERROR(INDEX($Q$2:$Q$25,SMALL(IF(($Q$2:$Q$25)=0,"",ROW($Q$2:$Q$25)),ROW(Q15))-MIN(ROW($Q$2:$Q$25))+1),"")</f>
        <v>46198</v>
      </c>
      <c r="R54" s="735">
        <f ca="1"/>
        <v>46198</v>
      </c>
      <c r="T54" s="735"/>
    </row>
    <row r="55" spans="1:20" ht="15" customHeight="1">
      <c r="O55" s="734"/>
      <c r="Q55" s="735" cm="1">
        <f t="array" aca="1" ref="Q55" ca="1">IFERROR(INDEX($Q$2:$Q$25,SMALL(IF(($Q$2:$Q$25)=0,"",ROW($Q$2:$Q$25)),ROW(Q16))-MIN(ROW($Q$2:$Q$25))+1),"")</f>
        <v>46199</v>
      </c>
      <c r="R55" s="735">
        <f ca="1"/>
        <v>46199</v>
      </c>
      <c r="T55" s="735"/>
    </row>
    <row r="56" spans="1:20" ht="15" customHeight="1">
      <c r="O56" s="734"/>
      <c r="Q56" s="735" cm="1">
        <f t="array" aca="1" ref="Q56" ca="1">IFERROR(INDEX($Q$2:$Q$25,SMALL(IF(($Q$2:$Q$25)=0,"",ROW($Q$2:$Q$25)),ROW(Q17))-MIN(ROW($Q$2:$Q$25))+1),"")</f>
        <v>46200</v>
      </c>
      <c r="R56" s="735">
        <f ca="1"/>
        <v>46200</v>
      </c>
      <c r="T56" s="735"/>
    </row>
    <row r="57" spans="1:20" ht="15" customHeight="1">
      <c r="O57" s="734"/>
      <c r="Q57" s="735" t="str" cm="1">
        <f t="array" aca="1" ref="Q57" ca="1">IFERROR(INDEX($Q$2:$Q$25,SMALL(IF(($Q$2:$Q$25)=0,"",ROW($Q$2:$Q$25)),ROW(Q18))-MIN(ROW($Q$2:$Q$25))+1),"")</f>
        <v>Clasificados Para Dieciseisavos</v>
      </c>
      <c r="R57" s="735" t="str">
        <f ca="1"/>
        <v>Clasificados Para Dieciseisavos</v>
      </c>
      <c r="T57" s="735"/>
    </row>
    <row r="58" spans="1:20" ht="15" customHeight="1">
      <c r="O58" s="734"/>
      <c r="Q58" s="735" t="str" cm="1">
        <f t="array" aca="1" ref="Q58" ca="1">IFERROR(INDEX($Q$2:$Q$25,SMALL(IF(($Q$2:$Q$25)=0,"",ROW($Q$2:$Q$25)),ROW(Q19))-MIN(ROW($Q$2:$Q$25))+1),"")</f>
        <v>Dieciseisavos de final</v>
      </c>
      <c r="R58" s="734" t="str">
        <f ca="1"/>
        <v>Dieciseisavos de final</v>
      </c>
      <c r="T58" s="735"/>
    </row>
    <row r="59" spans="1:20" ht="15" customHeight="1">
      <c r="O59" s="734"/>
      <c r="Q59" s="735" t="str" cm="1">
        <f t="array" aca="1" ref="Q59" ca="1">IFERROR(INDEX($Q$2:$Q$25,SMALL(IF(($Q$2:$Q$25)=0,"",ROW($Q$2:$Q$25)),ROW(Q20))-MIN(ROW($Q$2:$Q$25))+1),"")</f>
        <v>Octavos de final</v>
      </c>
      <c r="R59" s="734" t="str">
        <f ca="1"/>
        <v>Octavos de final</v>
      </c>
      <c r="T59" s="735"/>
    </row>
    <row r="60" spans="1:20" ht="15" customHeight="1">
      <c r="O60" s="734"/>
      <c r="Q60" s="735" t="str" cm="1">
        <f t="array" aca="1" ref="Q60" ca="1">IFERROR(INDEX($Q$2:$Q$25,SMALL(IF(($Q$2:$Q$25)=0,"",ROW($Q$2:$Q$25)),ROW(Q21))-MIN(ROW($Q$2:$Q$25))+1),"")</f>
        <v>Cuartos de final</v>
      </c>
      <c r="R60" s="734" t="str">
        <f ca="1"/>
        <v>Cuartos de final</v>
      </c>
      <c r="T60" s="735"/>
    </row>
    <row r="61" spans="1:20" ht="15" customHeight="1">
      <c r="O61" s="734"/>
      <c r="Q61" s="735" t="str" cm="1">
        <f t="array" aca="1" ref="Q61" ca="1">IFERROR(INDEX($Q$2:$Q$25,SMALL(IF(($Q$2:$Q$25)=0,"",ROW($Q$2:$Q$25)),ROW(Q22))-MIN(ROW($Q$2:$Q$25))+1),"")</f>
        <v>Semifinales</v>
      </c>
      <c r="R61" s="734" t="str">
        <f ca="1"/>
        <v>Semifinales</v>
      </c>
    </row>
    <row r="62" spans="1:20" ht="15" customHeight="1">
      <c r="O62" s="734"/>
      <c r="Q62" s="735" t="str" cm="1">
        <f t="array" aca="1" ref="Q62" ca="1">IFERROR(INDEX($Q$2:$Q$25,SMALL(IF(($Q$2:$Q$25)=0,"",ROW($Q$2:$Q$25)),ROW(Q23))-MIN(ROW($Q$2:$Q$25))+1),"")</f>
        <v>3-4 &amp; Final</v>
      </c>
      <c r="R62" s="734" t="str">
        <f ca="1"/>
        <v>3-4 &amp; Final</v>
      </c>
    </row>
    <row r="63" spans="1:20" ht="15" customHeight="1">
      <c r="O63" s="734"/>
      <c r="Q63" s="735" t="str" cm="1">
        <f t="array" aca="1" ref="Q63" ca="1">IFERROR(INDEX($Q$2:$Q$25,SMALL(IF(($Q$2:$Q$25)=0,"",ROW($Q$2:$Q$25)),ROW(Q24))-MIN(ROW($Q$2:$Q$25))+1),"")</f>
        <v/>
      </c>
      <c r="R63" s="734" t="e">
        <f ca="1"/>
        <v>#N/A</v>
      </c>
    </row>
    <row r="64" spans="1:20" ht="15" customHeight="1">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ColWidth="10.81640625" defaultRowHeight="14.5"/>
  <cols>
    <col min="1" max="1" width="13.1796875" style="9" bestFit="1" customWidth="1"/>
    <col min="2" max="2" width="5" style="9" customWidth="1"/>
    <col min="3" max="3" width="12.453125" style="9" customWidth="1"/>
    <col min="4" max="4" width="13.1796875" style="9" customWidth="1"/>
    <col min="5" max="5" width="12.26953125" style="9" bestFit="1" customWidth="1"/>
    <col min="6" max="6" width="10.81640625" style="9"/>
    <col min="7" max="7" width="12.26953125" style="9" bestFit="1" customWidth="1"/>
    <col min="8" max="15" width="10.81640625" style="9"/>
    <col min="16" max="16" width="4.81640625" style="9" bestFit="1" customWidth="1"/>
    <col min="17" max="17" width="17.81640625" style="9" bestFit="1" customWidth="1"/>
    <col min="18" max="18" width="11.1796875" style="9" bestFit="1" customWidth="1"/>
    <col min="19" max="19" width="11" style="9" bestFit="1" customWidth="1"/>
    <col min="20" max="20" width="10.26953125" style="9" bestFit="1" customWidth="1"/>
    <col min="21" max="21" width="10.453125" style="9" customWidth="1"/>
    <col min="22" max="22" width="10.26953125" style="9" customWidth="1"/>
    <col min="23" max="23" width="3.26953125" style="9" bestFit="1" customWidth="1"/>
    <col min="24" max="26" width="10.81640625" style="9"/>
    <col min="27" max="27" width="6.453125" style="9" customWidth="1"/>
    <col min="28" max="33" width="10.81640625" style="9"/>
    <col min="34" max="34" width="3.26953125" style="9" bestFit="1" customWidth="1"/>
    <col min="35" max="16384" width="10.81640625" style="9"/>
  </cols>
  <sheetData>
    <row r="1" spans="1:35" ht="15" thickBot="1">
      <c r="A1" s="716"/>
      <c r="K1" s="720" t="s">
        <v>376</v>
      </c>
      <c r="L1" s="720" t="s">
        <v>367</v>
      </c>
      <c r="M1" s="720" t="s">
        <v>149</v>
      </c>
      <c r="N1" s="720" t="s">
        <v>372</v>
      </c>
      <c r="P1" s="9" t="s">
        <v>1343</v>
      </c>
    </row>
    <row r="2" spans="1:35" ht="15" thickBot="1">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c r="A3" s="5" t="s">
        <v>39</v>
      </c>
      <c r="C3" s="9">
        <f ca="1">+IFERROR(INDEX($P$3:$P$86,MATCH(Home!$C$8,Horarios!$Q$3:$Q$86,0)),INDEX($P$3:$P$86,MATCH(1,$T$3:$T$86,0)))</f>
        <v>32</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c r="A4" s="716">
        <v>46184.625</v>
      </c>
      <c r="C4" s="716">
        <f t="shared" ref="C4:C9" ca="1" si="2">A4+INDEX($V$3:$V$86,MATCH($C$3,$P$3:$P$86,0))*INDEX($W$3:$W$86,MATCH($C$3,$P$3:$P$86,0))</f>
        <v>46184.541666666664</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c r="A5" s="716">
        <v>46184.916666666664</v>
      </c>
      <c r="C5" s="716">
        <f t="shared" ca="1" si="2"/>
        <v>46184.833333333328</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c r="A6" s="716">
        <v>46191.5</v>
      </c>
      <c r="C6" s="716">
        <f t="shared" ca="1" si="2"/>
        <v>46191.416666666664</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c r="A7" s="716">
        <v>46191.875</v>
      </c>
      <c r="C7" s="716">
        <f t="shared" ca="1" si="2"/>
        <v>46191.791666666664</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c r="A8" s="716">
        <v>46197.875</v>
      </c>
      <c r="C8" s="716">
        <f t="shared" ca="1" si="2"/>
        <v>46197.791666666664</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c r="A9" s="716">
        <v>46197.875</v>
      </c>
      <c r="C9" s="716">
        <f t="shared" ca="1" si="2"/>
        <v>46197.791666666664</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c r="A12" s="716">
        <v>46185.625</v>
      </c>
      <c r="C12" s="716">
        <f t="shared" ref="C12:C17" ca="1" si="9">A12+INDEX($V$3:$V$86,MATCH($C$3,$P$3:$P$86,0))*INDEX($W$3:$W$86,MATCH($C$3,$P$3:$P$86,0))</f>
        <v>46185.541666666664</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c r="A13" s="716">
        <v>46186.625</v>
      </c>
      <c r="C13" s="716">
        <f t="shared" ca="1" si="9"/>
        <v>46186.541666666664</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c r="A14" s="716">
        <v>46191.625</v>
      </c>
      <c r="C14" s="716">
        <f t="shared" ca="1" si="9"/>
        <v>46191.541666666664</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c r="A15" s="716">
        <v>46191.75</v>
      </c>
      <c r="C15" s="716">
        <f t="shared" ca="1" si="9"/>
        <v>46191.666666666664</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c r="A16" s="716">
        <v>46197.625</v>
      </c>
      <c r="C16" s="716">
        <f t="shared" ca="1" si="9"/>
        <v>46197.541666666664</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c r="A17" s="716">
        <v>46197.625</v>
      </c>
      <c r="C17" s="716">
        <f t="shared" ca="1" si="9"/>
        <v>46197.541666666664</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c r="A20" s="716">
        <v>46186.75</v>
      </c>
      <c r="C20" s="716">
        <f t="shared" ref="C20:C25" ca="1" si="11">A20+INDEX($V$3:$V$86,MATCH($C$3,$P$3:$P$86,0))*INDEX($W$3:$W$86,MATCH($C$3,$P$3:$P$86,0))</f>
        <v>46186.666666666664</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c r="A21" s="716">
        <v>46186.875</v>
      </c>
      <c r="C21" s="716">
        <f t="shared" ca="1" si="11"/>
        <v>46186.791666666664</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c r="A22" s="716">
        <v>46192.75</v>
      </c>
      <c r="C22" s="716">
        <f t="shared" ca="1" si="11"/>
        <v>46192.666666666664</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c r="A23" s="716">
        <v>46192.854166666664</v>
      </c>
      <c r="C23" s="716">
        <f t="shared" ca="1" si="11"/>
        <v>46192.770833333328</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c r="A24" s="716">
        <v>46197.75</v>
      </c>
      <c r="C24" s="716">
        <f t="shared" ca="1" si="11"/>
        <v>46197.666666666664</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c r="A25" s="716">
        <v>46197.75</v>
      </c>
      <c r="C25" s="716">
        <f t="shared" ca="1" si="11"/>
        <v>46197.666666666664</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c r="A28" s="716">
        <v>46185.875</v>
      </c>
      <c r="C28" s="716">
        <f t="shared" ref="C28:C33" ca="1" si="13">A28+INDEX($V$3:$V$86,MATCH($C$3,$P$3:$P$86,0))*INDEX($W$3:$W$86,MATCH($C$3,$P$3:$P$86,0))</f>
        <v>46185.791666666664</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c r="A29" s="716">
        <v>46187</v>
      </c>
      <c r="C29" s="716">
        <f t="shared" ca="1" si="13"/>
        <v>46186.916666666664</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c r="A30" s="716">
        <v>46192.625</v>
      </c>
      <c r="C30" s="716">
        <f ca="1">A30+INDEX($V$3:$V$86,MATCH($C$3,$P$3:$P$86,0))*INDEX($W$3:$W$86,MATCH($C$3,$P$3:$P$86,0))</f>
        <v>46192.541666666664</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c r="A31" s="716">
        <v>46192.958333333336</v>
      </c>
      <c r="C31" s="716">
        <f ca="1">A31+INDEX($V$3:$V$86,MATCH($C$3,$P$3:$P$86,0))*INDEX($W$3:$W$86,MATCH($C$3,$P$3:$P$86,0))</f>
        <v>46192.875</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c r="A32" s="716">
        <v>46198.916666666664</v>
      </c>
      <c r="C32" s="716">
        <f t="shared" ca="1" si="13"/>
        <v>46198.833333333328</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c r="A33" s="716">
        <v>46198.916666666664</v>
      </c>
      <c r="C33" s="716">
        <f t="shared" ca="1" si="13"/>
        <v>46198.833333333328</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c r="A36" s="716">
        <v>46187.541666666664</v>
      </c>
      <c r="C36" s="716">
        <f t="shared" ref="C36:C41" ca="1" si="15">A36+INDEX($V$3:$V$86,MATCH($C$3,$P$3:$P$86,0))*INDEX($W$3:$W$86,MATCH($C$3,$P$3:$P$86,0))</f>
        <v>46187.458333333328</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c r="A37" s="716">
        <v>46187.791666666664</v>
      </c>
      <c r="C37" s="716">
        <f t="shared" ca="1" si="15"/>
        <v>46187.708333333328</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c r="A38" s="716">
        <v>46193.666666666664</v>
      </c>
      <c r="C38" s="716">
        <f t="shared" ca="1" si="15"/>
        <v>46193.583333333328</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c r="A39" s="716">
        <v>46193.833333333336</v>
      </c>
      <c r="C39" s="716">
        <f t="shared" ca="1" si="15"/>
        <v>46193.75</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c r="A40" s="716">
        <v>46198.666666666664</v>
      </c>
      <c r="C40" s="716">
        <f t="shared" ca="1" si="15"/>
        <v>46198.583333333328</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c r="A41" s="716">
        <v>46198.666666666664</v>
      </c>
      <c r="C41" s="716">
        <f t="shared" ca="1" si="15"/>
        <v>46198.583333333328</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c r="A44" s="716">
        <v>46187.666666666664</v>
      </c>
      <c r="C44" s="716">
        <f t="shared" ref="C44:C49" ca="1" si="17">A44+INDEX($V$3:$V$86,MATCH($C$3,$P$3:$P$86,0))*INDEX($W$3:$W$86,MATCH($C$3,$P$3:$P$86,0))</f>
        <v>46187.583333333328</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c r="A45" s="716">
        <v>46187.916666666664</v>
      </c>
      <c r="C45" s="716">
        <f t="shared" ca="1" si="17"/>
        <v>46187.833333333328</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c r="A46" s="716">
        <v>46193.541666666664</v>
      </c>
      <c r="C46" s="716">
        <f t="shared" ca="1" si="17"/>
        <v>46193.458333333328</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c r="A47" s="716">
        <v>46194</v>
      </c>
      <c r="C47" s="716">
        <f t="shared" ca="1" si="17"/>
        <v>46193.916666666664</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c r="A48" s="716">
        <v>46198.791666666664</v>
      </c>
      <c r="C48" s="716">
        <f t="shared" ca="1" si="17"/>
        <v>46198.708333333328</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c r="A49" s="716">
        <v>46198.791666666664</v>
      </c>
      <c r="C49" s="716">
        <f t="shared" ca="1" si="17"/>
        <v>46198.708333333328</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c r="A52" s="716">
        <v>46188.625</v>
      </c>
      <c r="C52" s="716">
        <f t="shared" ref="C52:C57" ca="1" si="21">A52+INDEX($V$3:$V$86,MATCH($C$3,$P$3:$P$86,0))*INDEX($W$3:$W$86,MATCH($C$3,$P$3:$P$86,0))</f>
        <v>46188.541666666664</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c r="A53" s="716">
        <v>46188.875</v>
      </c>
      <c r="C53" s="716">
        <f t="shared" ca="1" si="21"/>
        <v>46188.791666666664</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c r="A54" s="716">
        <v>46194.625</v>
      </c>
      <c r="C54" s="716">
        <f t="shared" ca="1" si="21"/>
        <v>46194.541666666664</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c r="A55" s="716">
        <v>46194.875</v>
      </c>
      <c r="C55" s="716">
        <f t="shared" ca="1" si="21"/>
        <v>46194.791666666664</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c r="A56" s="716">
        <v>46199.958333333336</v>
      </c>
      <c r="C56" s="716">
        <f t="shared" ca="1" si="21"/>
        <v>46199.875</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c r="A57" s="716">
        <v>46199.958333333336</v>
      </c>
      <c r="C57" s="716">
        <f t="shared" ca="1" si="21"/>
        <v>46199.875</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c r="A60" s="716">
        <v>46188.5</v>
      </c>
      <c r="C60" s="716">
        <f t="shared" ref="C60:C65" ca="1" si="26">A60+INDEX($V$3:$V$86,MATCH($C$3,$P$3:$P$86,0))*INDEX($W$3:$W$86,MATCH($C$3,$P$3:$P$86,0))</f>
        <v>46188.416666666664</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c r="A61" s="716">
        <v>46188.75</v>
      </c>
      <c r="C61" s="716">
        <f t="shared" ca="1" si="26"/>
        <v>46188.666666666664</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c r="A62" s="716">
        <v>46194.5</v>
      </c>
      <c r="C62" s="716">
        <f t="shared" ca="1" si="26"/>
        <v>46194.416666666664</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c r="A63" s="716">
        <v>46194.75</v>
      </c>
      <c r="C63" s="716">
        <f t="shared" ca="1" si="26"/>
        <v>46194.666666666664</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c r="A64" s="716">
        <v>46199.833333333336</v>
      </c>
      <c r="C64" s="716">
        <f t="shared" ca="1" si="26"/>
        <v>46199.75</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c r="A65" s="716">
        <v>46199.833333333336</v>
      </c>
      <c r="C65" s="716">
        <f t="shared" ca="1" si="26"/>
        <v>46199.75</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c r="A68" s="716">
        <v>46189.625</v>
      </c>
      <c r="C68" s="716">
        <f t="shared" ref="C68:C73" ca="1" si="30">A68+INDEX($V$3:$V$86,MATCH($C$3,$P$3:$P$86,0))*INDEX($W$3:$W$86,MATCH($C$3,$P$3:$P$86,0))</f>
        <v>46189.541666666664</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c r="A69" s="716">
        <v>46189.75</v>
      </c>
      <c r="C69" s="716">
        <f t="shared" ca="1" si="30"/>
        <v>46189.666666666664</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c r="A70" s="716">
        <v>46195.708333333336</v>
      </c>
      <c r="C70" s="716">
        <f t="shared" ca="1" si="30"/>
        <v>46195.625</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c r="A71" s="716">
        <v>46195.833333333336</v>
      </c>
      <c r="C71" s="716">
        <f t="shared" ca="1" si="30"/>
        <v>46195.75</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c r="A72" s="716">
        <v>46199.625</v>
      </c>
      <c r="C72" s="716">
        <f t="shared" ca="1" si="30"/>
        <v>46199.541666666664</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c r="A73" s="716">
        <v>46199.625</v>
      </c>
      <c r="C73" s="716">
        <f t="shared" ca="1" si="30"/>
        <v>46199.541666666664</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c r="A76" s="716">
        <v>46189.875</v>
      </c>
      <c r="C76" s="716">
        <f t="shared" ref="C76:C81" ca="1" si="33">A76+INDEX($V$3:$V$86,MATCH($C$3,$P$3:$P$86,0))*INDEX($W$3:$W$86,MATCH($C$3,$P$3:$P$86,0))</f>
        <v>46189.791666666664</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c r="A77" s="716">
        <v>46190</v>
      </c>
      <c r="C77" s="716">
        <f t="shared" ca="1" si="33"/>
        <v>46189.916666666664</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c r="A78" s="716">
        <v>46195.541666666664</v>
      </c>
      <c r="C78" s="716">
        <f t="shared" ca="1" si="33"/>
        <v>46195.458333333328</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c r="A79" s="716">
        <v>46195.958333333336</v>
      </c>
      <c r="C79" s="716">
        <f t="shared" ca="1" si="33"/>
        <v>46195.875</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c r="A80" s="716">
        <v>46200.916666666664</v>
      </c>
      <c r="C80" s="716">
        <f t="shared" ca="1" si="33"/>
        <v>46200.833333333328</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c r="A81" s="716">
        <v>46200.916666666664</v>
      </c>
      <c r="C81" s="716">
        <f t="shared" ca="1" si="33"/>
        <v>46200.833333333328</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c r="A84" s="716">
        <v>46190.541666666664</v>
      </c>
      <c r="C84" s="716">
        <f t="shared" ref="C84:C89" ca="1" si="34">A84+INDEX($V$3:$V$86,MATCH($C$3,$P$3:$P$86,0))*INDEX($W$3:$W$86,MATCH($C$3,$P$3:$P$86,0))</f>
        <v>46190.458333333328</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c r="A85" s="716">
        <v>46190.916666666664</v>
      </c>
      <c r="C85" s="716">
        <f t="shared" ca="1" si="34"/>
        <v>46190.833333333328</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c r="A86" s="716">
        <v>46196.541666666664</v>
      </c>
      <c r="C86" s="716">
        <f t="shared" ca="1" si="34"/>
        <v>46196.458333333328</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c r="A87" s="716">
        <v>46196.916666666664</v>
      </c>
      <c r="C87" s="716">
        <f t="shared" ca="1" si="34"/>
        <v>46196.833333333328</v>
      </c>
    </row>
    <row r="88" spans="1:34">
      <c r="A88" s="716">
        <v>46200.8125</v>
      </c>
      <c r="C88" s="716">
        <f t="shared" ca="1" si="34"/>
        <v>46200.729166666664</v>
      </c>
    </row>
    <row r="89" spans="1:34">
      <c r="A89" s="716">
        <v>46200.8125</v>
      </c>
      <c r="C89" s="716">
        <f t="shared" ca="1" si="34"/>
        <v>46200.729166666664</v>
      </c>
    </row>
    <row r="90" spans="1:34">
      <c r="C90" s="716"/>
    </row>
    <row r="91" spans="1:34">
      <c r="A91" s="5" t="s">
        <v>489</v>
      </c>
      <c r="C91" s="716"/>
    </row>
    <row r="92" spans="1:34">
      <c r="A92" s="716">
        <v>46190.666666666664</v>
      </c>
      <c r="C92" s="716">
        <f t="shared" ref="C92:C97" ca="1" si="35">A92+INDEX($V$3:$V$86,MATCH($C$3,$P$3:$P$86,0))*INDEX($W$3:$W$86,MATCH($C$3,$P$3:$P$86,0))</f>
        <v>46190.583333333328</v>
      </c>
    </row>
    <row r="93" spans="1:34">
      <c r="A93" s="716">
        <v>46190.791666666664</v>
      </c>
      <c r="C93" s="716">
        <f t="shared" ca="1" si="35"/>
        <v>46190.708333333328</v>
      </c>
    </row>
    <row r="94" spans="1:34">
      <c r="A94" s="716">
        <v>46196.666666666664</v>
      </c>
      <c r="C94" s="716">
        <f t="shared" ca="1" si="35"/>
        <v>46196.583333333328</v>
      </c>
    </row>
    <row r="95" spans="1:34">
      <c r="A95" s="716">
        <v>46196.791666666664</v>
      </c>
      <c r="C95" s="716">
        <f t="shared" ca="1" si="35"/>
        <v>46196.708333333328</v>
      </c>
    </row>
    <row r="96" spans="1:34">
      <c r="A96" s="716">
        <v>46200.708333333336</v>
      </c>
      <c r="C96" s="716">
        <f t="shared" ca="1" si="35"/>
        <v>46200.625</v>
      </c>
    </row>
    <row r="97" spans="1:3">
      <c r="A97" s="716">
        <v>46200.708333333336</v>
      </c>
      <c r="C97" s="716">
        <f t="shared" ca="1" si="35"/>
        <v>46200.625</v>
      </c>
    </row>
    <row r="100" spans="1:3">
      <c r="A100" s="725" t="s">
        <v>490</v>
      </c>
      <c r="C100" s="716"/>
    </row>
    <row r="101" spans="1:3">
      <c r="A101" s="716">
        <v>46201.625</v>
      </c>
      <c r="C101" s="716">
        <f t="shared" ref="C101:C116" ca="1" si="36">A101+INDEX($V$3:$V$86,MATCH($C$3,$P$3:$P$86,0))*INDEX($W$3:$W$86,MATCH($C$3,$P$3:$P$86,0))</f>
        <v>46201.541666666664</v>
      </c>
    </row>
    <row r="102" spans="1:3">
      <c r="A102" s="716">
        <v>46202.541666666664</v>
      </c>
      <c r="C102" s="716">
        <f t="shared" ca="1" si="36"/>
        <v>46202.458333333328</v>
      </c>
    </row>
    <row r="103" spans="1:3">
      <c r="A103" s="716">
        <v>46202.6875</v>
      </c>
      <c r="C103" s="716">
        <f t="shared" ca="1" si="36"/>
        <v>46202.604166666664</v>
      </c>
    </row>
    <row r="104" spans="1:3">
      <c r="A104" s="716">
        <v>46202.875</v>
      </c>
      <c r="C104" s="716">
        <f t="shared" ca="1" si="36"/>
        <v>46202.791666666664</v>
      </c>
    </row>
    <row r="105" spans="1:3">
      <c r="A105" s="716">
        <v>46203.541666666664</v>
      </c>
      <c r="C105" s="716">
        <f t="shared" ca="1" si="36"/>
        <v>46203.458333333328</v>
      </c>
    </row>
    <row r="106" spans="1:3">
      <c r="A106" s="716">
        <v>46203.708333333336</v>
      </c>
      <c r="C106" s="716">
        <f t="shared" ca="1" si="36"/>
        <v>46203.625</v>
      </c>
    </row>
    <row r="107" spans="1:3">
      <c r="A107" s="716">
        <v>46203.875</v>
      </c>
      <c r="C107" s="716">
        <f t="shared" ca="1" si="36"/>
        <v>46203.791666666664</v>
      </c>
    </row>
    <row r="108" spans="1:3">
      <c r="A108" s="716">
        <v>46204.5</v>
      </c>
      <c r="C108" s="716">
        <f t="shared" ca="1" si="36"/>
        <v>46204.416666666664</v>
      </c>
    </row>
    <row r="109" spans="1:3">
      <c r="A109" s="716">
        <v>46204.666666666664</v>
      </c>
      <c r="C109" s="716">
        <f t="shared" ca="1" si="36"/>
        <v>46204.583333333328</v>
      </c>
    </row>
    <row r="110" spans="1:3">
      <c r="A110" s="716">
        <v>46204.833333333336</v>
      </c>
      <c r="C110" s="716">
        <f t="shared" ca="1" si="36"/>
        <v>46204.75</v>
      </c>
    </row>
    <row r="111" spans="1:3">
      <c r="A111" s="716">
        <v>46205.625</v>
      </c>
      <c r="C111" s="716">
        <f t="shared" ca="1" si="36"/>
        <v>46205.541666666664</v>
      </c>
    </row>
    <row r="112" spans="1:3">
      <c r="A112" s="716">
        <v>46205.791666666664</v>
      </c>
      <c r="C112" s="716">
        <f t="shared" ca="1" si="36"/>
        <v>46205.708333333328</v>
      </c>
    </row>
    <row r="113" spans="1:3">
      <c r="A113" s="716">
        <v>46205.958333333336</v>
      </c>
      <c r="C113" s="716">
        <f t="shared" ca="1" si="36"/>
        <v>46205.875</v>
      </c>
    </row>
    <row r="114" spans="1:3">
      <c r="A114" s="716">
        <v>46206.583333333336</v>
      </c>
      <c r="C114" s="716">
        <f t="shared" ca="1" si="36"/>
        <v>46206.5</v>
      </c>
    </row>
    <row r="115" spans="1:3">
      <c r="A115" s="716">
        <v>46206.75</v>
      </c>
      <c r="C115" s="716">
        <f t="shared" ca="1" si="36"/>
        <v>46206.666666666664</v>
      </c>
    </row>
    <row r="116" spans="1:3">
      <c r="A116" s="716">
        <v>46206.895833333336</v>
      </c>
      <c r="C116" s="716">
        <f t="shared" ca="1" si="36"/>
        <v>46206.8125</v>
      </c>
    </row>
    <row r="117" spans="1:3">
      <c r="C117" s="716"/>
    </row>
    <row r="118" spans="1:3">
      <c r="C118" s="716"/>
    </row>
    <row r="119" spans="1:3">
      <c r="A119" s="725" t="s">
        <v>718</v>
      </c>
    </row>
    <row r="120" spans="1:3">
      <c r="A120" s="716">
        <v>46207.541666666664</v>
      </c>
      <c r="C120" s="716">
        <f t="shared" ref="C120:C127" ca="1" si="37">A120+INDEX($V$3:$V$86,MATCH($C$3,$P$3:$P$86,0))*INDEX($W$3:$W$86,MATCH($C$3,$P$3:$P$86,0))</f>
        <v>46207.458333333328</v>
      </c>
    </row>
    <row r="121" spans="1:3">
      <c r="A121" s="716">
        <v>46207.708333333336</v>
      </c>
      <c r="C121" s="716">
        <f t="shared" ca="1" si="37"/>
        <v>46207.625</v>
      </c>
    </row>
    <row r="122" spans="1:3">
      <c r="A122" s="716">
        <v>46208.666666666664</v>
      </c>
      <c r="C122" s="716">
        <f t="shared" ca="1" si="37"/>
        <v>46208.583333333328</v>
      </c>
    </row>
    <row r="123" spans="1:3">
      <c r="A123" s="716">
        <v>46208.833333333336</v>
      </c>
      <c r="C123" s="716">
        <f t="shared" ca="1" si="37"/>
        <v>46208.75</v>
      </c>
    </row>
    <row r="124" spans="1:3">
      <c r="A124" s="716">
        <v>46209.625</v>
      </c>
      <c r="C124" s="716">
        <f t="shared" ca="1" si="37"/>
        <v>46209.541666666664</v>
      </c>
    </row>
    <row r="125" spans="1:3">
      <c r="A125" s="716">
        <v>46209.833333333336</v>
      </c>
      <c r="C125" s="716">
        <f t="shared" ca="1" si="37"/>
        <v>46209.75</v>
      </c>
    </row>
    <row r="126" spans="1:3">
      <c r="A126" s="716">
        <v>46210.5</v>
      </c>
      <c r="C126" s="716">
        <f t="shared" ca="1" si="37"/>
        <v>46210.416666666664</v>
      </c>
    </row>
    <row r="127" spans="1:3">
      <c r="A127" s="716">
        <v>46210.666666666664</v>
      </c>
      <c r="C127" s="716">
        <f t="shared" ca="1" si="37"/>
        <v>46210.583333333328</v>
      </c>
    </row>
    <row r="130" spans="1:3">
      <c r="A130" s="725" t="s">
        <v>95</v>
      </c>
      <c r="C130" s="716"/>
    </row>
    <row r="131" spans="1:3">
      <c r="A131" s="716">
        <v>46212.666666666664</v>
      </c>
      <c r="C131" s="716">
        <f ca="1">A131+INDEX($V$3:$V$86,MATCH($C$3,$P$3:$P$86,0))*INDEX($W$3:$W$86,MATCH($C$3,$P$3:$P$86,0))</f>
        <v>46212.583333333328</v>
      </c>
    </row>
    <row r="132" spans="1:3">
      <c r="A132" s="716">
        <v>46213.625</v>
      </c>
      <c r="C132" s="716">
        <f ca="1">A132+INDEX($V$3:$V$86,MATCH($C$3,$P$3:$P$86,0))*INDEX($W$3:$W$86,MATCH($C$3,$P$3:$P$86,0))</f>
        <v>46213.541666666664</v>
      </c>
    </row>
    <row r="133" spans="1:3">
      <c r="A133" s="716">
        <v>46214.708333333336</v>
      </c>
      <c r="C133" s="716">
        <f ca="1">A133+INDEX($V$3:$V$86,MATCH($C$3,$P$3:$P$86,0))*INDEX($W$3:$W$86,MATCH($C$3,$P$3:$P$86,0))</f>
        <v>46214.625</v>
      </c>
    </row>
    <row r="134" spans="1:3">
      <c r="A134" s="716">
        <v>46214.875</v>
      </c>
      <c r="C134" s="716">
        <f ca="1">A134+INDEX($V$3:$V$86,MATCH($C$3,$P$3:$P$86,0))*INDEX($W$3:$W$86,MATCH($C$3,$P$3:$P$86,0))</f>
        <v>46214.791666666664</v>
      </c>
    </row>
    <row r="135" spans="1:3">
      <c r="C135" s="716"/>
    </row>
    <row r="137" spans="1:3">
      <c r="A137" s="726" t="s">
        <v>41</v>
      </c>
      <c r="C137" s="716"/>
    </row>
    <row r="138" spans="1:3">
      <c r="A138" s="716">
        <v>46217.625</v>
      </c>
      <c r="C138" s="716">
        <f ca="1">A138+INDEX($V$3:$V$86,MATCH($C$3,$P$3:$P$86,0))*INDEX($W$3:$W$86,MATCH($C$3,$P$3:$P$86,0))</f>
        <v>46217.541666666664</v>
      </c>
    </row>
    <row r="139" spans="1:3">
      <c r="A139" s="716">
        <v>46218.625</v>
      </c>
      <c r="C139" s="716">
        <f ca="1">A139+INDEX($V$3:$V$86,MATCH($C$3,$P$3:$P$86,0))*INDEX($W$3:$W$86,MATCH($C$3,$P$3:$P$86,0))</f>
        <v>46218.541666666664</v>
      </c>
    </row>
    <row r="140" spans="1:3">
      <c r="C140" s="716"/>
    </row>
    <row r="142" spans="1:3">
      <c r="A142" s="727" t="s">
        <v>493</v>
      </c>
    </row>
    <row r="143" spans="1:3">
      <c r="A143" s="716">
        <v>46221.708333333336</v>
      </c>
      <c r="C143" s="716">
        <f ca="1">A143+INDEX($V$3:$V$86,MATCH($C$3,$P$3:$P$86,0))*INDEX($W$3:$W$86,MATCH($C$3,$P$3:$P$86,0))</f>
        <v>46221.625</v>
      </c>
    </row>
    <row r="146" spans="1:3">
      <c r="A146" s="728" t="s">
        <v>4</v>
      </c>
      <c r="C146" s="716"/>
    </row>
    <row r="147" spans="1:3">
      <c r="A147" s="716">
        <v>46222.625</v>
      </c>
      <c r="C147" s="716">
        <f ca="1">A147+INDEX($V$3:$V$86,MATCH($C$3,$P$3:$P$86,0))*INDEX($W$3:$W$86,MATCH($C$3,$P$3:$P$86,0))</f>
        <v>46222.541666666664</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ColWidth="10.81640625" defaultRowHeight="14.5"/>
  <cols>
    <col min="1" max="1" width="9.453125" style="9" bestFit="1" customWidth="1"/>
    <col min="2" max="2" width="6" style="9" bestFit="1" customWidth="1"/>
    <col min="3" max="13" width="10.81640625" style="9"/>
    <col min="14" max="14" width="9.453125" style="9" bestFit="1" customWidth="1"/>
    <col min="15" max="15" width="6.453125" style="9" bestFit="1" customWidth="1"/>
    <col min="16" max="16384" width="10.81640625" style="9"/>
  </cols>
  <sheetData>
    <row r="1" spans="1:23">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c r="A2" s="9" t="s">
        <v>479</v>
      </c>
      <c r="B2" s="9">
        <f ca="1">+IF(A2=WORLDCUP!$BI$112,1,0)</f>
        <v>0</v>
      </c>
      <c r="C2" s="9" t="str">
        <f ca="1">+WORLDCUP!BD62</f>
        <v>Ecuador</v>
      </c>
      <c r="D2" s="9" t="str">
        <f ca="1">+WORLDCUP!BD67</f>
        <v>Argelia</v>
      </c>
      <c r="E2" s="9" t="str">
        <f ca="1">+WORLDCUP!BD66</f>
        <v>Senegal</v>
      </c>
      <c r="F2" s="9" t="str">
        <f ca="1">+WORLDCUP!BD63</f>
        <v>Suecia</v>
      </c>
      <c r="G2" s="9" t="str">
        <f ca="1">+WORLDCUP!BD65</f>
        <v>Arabia Saudita</v>
      </c>
      <c r="H2" s="9" t="str">
        <f ca="1">+WORLDCUP!BD64</f>
        <v>Egipto</v>
      </c>
      <c r="I2" s="9" t="str">
        <f ca="1">+WORLDCUP!BD69</f>
        <v>Ghana</v>
      </c>
      <c r="J2" s="9" t="str">
        <f ca="1">+WORLDCUP!BD68</f>
        <v>RD Congo</v>
      </c>
      <c r="N2" s="9" t="s">
        <v>479</v>
      </c>
      <c r="O2" s="9">
        <v>1</v>
      </c>
      <c r="P2" s="9" t="s">
        <v>93</v>
      </c>
      <c r="Q2" s="9" t="s">
        <v>441</v>
      </c>
      <c r="R2" s="9" t="s">
        <v>440</v>
      </c>
      <c r="S2" s="9" t="s">
        <v>94</v>
      </c>
      <c r="T2" s="9" t="s">
        <v>436</v>
      </c>
      <c r="U2" s="9" t="s">
        <v>435</v>
      </c>
      <c r="V2" s="9" t="s">
        <v>443</v>
      </c>
      <c r="W2" s="9" t="s">
        <v>442</v>
      </c>
    </row>
    <row r="3" spans="1:23">
      <c r="A3" s="9" t="s">
        <v>611</v>
      </c>
      <c r="B3" s="9">
        <f ca="1">+IF(A3=WORLDCUP!$BI$112,1,0)</f>
        <v>0</v>
      </c>
      <c r="C3" s="9" t="str">
        <f ca="1">+WORLDCUP!BD65</f>
        <v>Arabia Saudita</v>
      </c>
      <c r="D3" s="9" t="str">
        <f ca="1">+WORLDCUP!BD64</f>
        <v>Egipto</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9" t="s">
        <v>611</v>
      </c>
      <c r="O3" s="9">
        <v>2</v>
      </c>
      <c r="P3" s="9" t="s">
        <v>436</v>
      </c>
      <c r="Q3" s="9" t="s">
        <v>435</v>
      </c>
      <c r="R3" s="9" t="s">
        <v>440</v>
      </c>
      <c r="S3" s="9" t="s">
        <v>92</v>
      </c>
      <c r="T3" s="9" t="s">
        <v>441</v>
      </c>
      <c r="U3" s="9" t="s">
        <v>94</v>
      </c>
      <c r="V3" s="9" t="s">
        <v>443</v>
      </c>
      <c r="W3" s="9" t="s">
        <v>442</v>
      </c>
    </row>
    <row r="4" spans="1:23">
      <c r="A4" s="9" t="s">
        <v>1190</v>
      </c>
      <c r="B4" s="9">
        <f ca="1">+IF(A4=WORLDCUP!$BI$112,1,0)</f>
        <v>0</v>
      </c>
      <c r="C4" s="9" t="str">
        <f ca="1">+WORLDCUP!BD62</f>
        <v>Ecuador</v>
      </c>
      <c r="D4" s="9" t="str">
        <f ca="1">+WORLDCUP!BD67</f>
        <v>Argelia</v>
      </c>
      <c r="E4" s="9" t="str">
        <f ca="1">+WORLDCUP!BD66</f>
        <v>Senegal</v>
      </c>
      <c r="F4" s="9" t="str">
        <f ca="1">+WORLDCUP!BD61</f>
        <v>Paraguay</v>
      </c>
      <c r="G4" s="9" t="str">
        <f ca="1">+WORLDCUP!BD65</f>
        <v>Arabia Saudita</v>
      </c>
      <c r="H4" s="9" t="str">
        <f ca="1">+WORLDCUP!BD64</f>
        <v>Egipto</v>
      </c>
      <c r="I4" s="9" t="str">
        <f ca="1">+WORLDCUP!BD69</f>
        <v>Ghana</v>
      </c>
      <c r="J4" s="9" t="str">
        <f ca="1">+WORLDCUP!BD68</f>
        <v>RD Congo</v>
      </c>
      <c r="N4" s="9" t="s">
        <v>1190</v>
      </c>
      <c r="O4" s="9">
        <v>3</v>
      </c>
      <c r="P4" s="9" t="s">
        <v>93</v>
      </c>
      <c r="Q4" s="9" t="s">
        <v>441</v>
      </c>
      <c r="R4" s="9" t="s">
        <v>440</v>
      </c>
      <c r="S4" s="9" t="s">
        <v>92</v>
      </c>
      <c r="T4" s="9" t="s">
        <v>436</v>
      </c>
      <c r="U4" s="9" t="s">
        <v>435</v>
      </c>
      <c r="V4" s="9" t="s">
        <v>443</v>
      </c>
      <c r="W4" s="9" t="s">
        <v>442</v>
      </c>
    </row>
    <row r="5" spans="1:23">
      <c r="A5" s="9" t="s">
        <v>1189</v>
      </c>
      <c r="B5" s="9">
        <f ca="1">+IF(A5=WORLDCUP!$BI$112,1,0)</f>
        <v>0</v>
      </c>
      <c r="C5" s="9" t="str">
        <f ca="1">+WORLDCUP!BD62</f>
        <v>Ecuador</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9" t="s">
        <v>1189</v>
      </c>
      <c r="O5" s="9">
        <v>4</v>
      </c>
      <c r="P5" s="9" t="s">
        <v>93</v>
      </c>
      <c r="Q5" s="9" t="s">
        <v>441</v>
      </c>
      <c r="R5" s="9" t="s">
        <v>440</v>
      </c>
      <c r="S5" s="9" t="s">
        <v>92</v>
      </c>
      <c r="T5" s="9" t="s">
        <v>436</v>
      </c>
      <c r="U5" s="9" t="s">
        <v>94</v>
      </c>
      <c r="V5" s="9" t="s">
        <v>443</v>
      </c>
      <c r="W5" s="9" t="s">
        <v>442</v>
      </c>
    </row>
    <row r="6" spans="1:23">
      <c r="A6" s="9" t="s">
        <v>1188</v>
      </c>
      <c r="B6" s="9">
        <f ca="1">+IF(A6=WORLDCUP!$BI$112,1,0)</f>
        <v>0</v>
      </c>
      <c r="C6" s="9" t="str">
        <f ca="1">+WORLDCUP!BD62</f>
        <v>Ecuador</v>
      </c>
      <c r="D6" s="9" t="str">
        <f ca="1">+WORLDCUP!BD64</f>
        <v>Egipto</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9" t="s">
        <v>1188</v>
      </c>
      <c r="O6" s="9">
        <v>5</v>
      </c>
      <c r="P6" s="9" t="s">
        <v>93</v>
      </c>
      <c r="Q6" s="9" t="s">
        <v>435</v>
      </c>
      <c r="R6" s="9" t="s">
        <v>440</v>
      </c>
      <c r="S6" s="9" t="s">
        <v>92</v>
      </c>
      <c r="T6" s="9" t="s">
        <v>441</v>
      </c>
      <c r="U6" s="9" t="s">
        <v>94</v>
      </c>
      <c r="V6" s="9" t="s">
        <v>443</v>
      </c>
      <c r="W6" s="9" t="s">
        <v>442</v>
      </c>
    </row>
    <row r="7" spans="1:23">
      <c r="A7" s="9" t="s">
        <v>1187</v>
      </c>
      <c r="B7" s="9">
        <f ca="1">+IF(A7=WORLDCUP!$BI$112,1,0)</f>
        <v>0</v>
      </c>
      <c r="C7" s="9" t="str">
        <f ca="1">+WORLDCUP!BD62</f>
        <v>Ecuador</v>
      </c>
      <c r="D7" s="9" t="str">
        <f ca="1">+WORLDCUP!BD64</f>
        <v>Egipto</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9" t="s">
        <v>1187</v>
      </c>
      <c r="O7" s="9">
        <v>6</v>
      </c>
      <c r="P7" s="9" t="s">
        <v>93</v>
      </c>
      <c r="Q7" s="9" t="s">
        <v>435</v>
      </c>
      <c r="R7" s="9" t="s">
        <v>441</v>
      </c>
      <c r="S7" s="9" t="s">
        <v>92</v>
      </c>
      <c r="T7" s="9" t="s">
        <v>436</v>
      </c>
      <c r="U7" s="9" t="s">
        <v>94</v>
      </c>
      <c r="V7" s="9" t="s">
        <v>443</v>
      </c>
      <c r="W7" s="9" t="s">
        <v>442</v>
      </c>
    </row>
    <row r="8" spans="1:23">
      <c r="A8" s="9" t="s">
        <v>478</v>
      </c>
      <c r="B8" s="9">
        <f ca="1">+IF(A8=WORLDCUP!$BI$112,1,0)</f>
        <v>0</v>
      </c>
      <c r="C8" s="9" t="str">
        <f ca="1">+WORLDCUP!BD62</f>
        <v>Ecuador</v>
      </c>
      <c r="D8" s="9" t="str">
        <f ca="1">+WORLDCUP!BD64</f>
        <v>Egipto</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9" t="s">
        <v>478</v>
      </c>
      <c r="O8" s="9">
        <v>7</v>
      </c>
      <c r="P8" s="9" t="s">
        <v>93</v>
      </c>
      <c r="Q8" s="9" t="s">
        <v>435</v>
      </c>
      <c r="R8" s="9" t="s">
        <v>440</v>
      </c>
      <c r="S8" s="9" t="s">
        <v>92</v>
      </c>
      <c r="T8" s="9" t="s">
        <v>436</v>
      </c>
      <c r="U8" s="9" t="s">
        <v>94</v>
      </c>
      <c r="V8" s="9" t="s">
        <v>443</v>
      </c>
      <c r="W8" s="9" t="s">
        <v>442</v>
      </c>
    </row>
    <row r="9" spans="1:23">
      <c r="A9" s="9" t="s">
        <v>477</v>
      </c>
      <c r="B9" s="9">
        <f ca="1">+IF(A9=WORLDCUP!$BI$112,1,0)</f>
        <v>0</v>
      </c>
      <c r="C9" s="9" t="str">
        <f ca="1">+WORLDCUP!BD62</f>
        <v>Ecuador</v>
      </c>
      <c r="D9" s="9" t="str">
        <f ca="1">+WORLDCUP!BD64</f>
        <v>Egipto</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9" t="s">
        <v>477</v>
      </c>
      <c r="O9" s="9">
        <v>8</v>
      </c>
      <c r="P9" s="9" t="s">
        <v>93</v>
      </c>
      <c r="Q9" s="9" t="s">
        <v>435</v>
      </c>
      <c r="R9" s="9" t="s">
        <v>441</v>
      </c>
      <c r="S9" s="9" t="s">
        <v>92</v>
      </c>
      <c r="T9" s="9" t="s">
        <v>436</v>
      </c>
      <c r="U9" s="9" t="s">
        <v>94</v>
      </c>
      <c r="V9" s="9" t="s">
        <v>443</v>
      </c>
      <c r="W9" s="9" t="s">
        <v>440</v>
      </c>
    </row>
    <row r="10" spans="1:23">
      <c r="A10" s="9" t="s">
        <v>476</v>
      </c>
      <c r="B10" s="9">
        <f ca="1">+IF(A10=WORLDCUP!$BI$112,1,0)</f>
        <v>0</v>
      </c>
      <c r="C10" s="9" t="str">
        <f ca="1">+WORLDCUP!BD62</f>
        <v>Ecuador</v>
      </c>
      <c r="D10" s="9" t="str">
        <f ca="1">+WORLDCUP!BD64</f>
        <v>Egipto</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9" t="s">
        <v>476</v>
      </c>
      <c r="O10" s="9">
        <v>9</v>
      </c>
      <c r="P10" s="9" t="s">
        <v>93</v>
      </c>
      <c r="Q10" s="9" t="s">
        <v>435</v>
      </c>
      <c r="R10" s="9" t="s">
        <v>441</v>
      </c>
      <c r="S10" s="9" t="s">
        <v>92</v>
      </c>
      <c r="T10" s="9" t="s">
        <v>436</v>
      </c>
      <c r="U10" s="9" t="s">
        <v>94</v>
      </c>
      <c r="V10" s="9" t="s">
        <v>440</v>
      </c>
      <c r="W10" s="9" t="s">
        <v>442</v>
      </c>
    </row>
    <row r="11" spans="1:23">
      <c r="A11" s="9" t="s">
        <v>610</v>
      </c>
      <c r="B11" s="9">
        <f ca="1">+IF(A11=WORLDCUP!$BI$112,1,0)</f>
        <v>0</v>
      </c>
      <c r="C11" s="9" t="str">
        <f ca="1">+WORLDCUP!BD65</f>
        <v>Arabia Saudita</v>
      </c>
      <c r="D11" s="9" t="str">
        <f ca="1">+WORLDCUP!BD64</f>
        <v>Egipto</v>
      </c>
      <c r="E11" s="9" t="str">
        <f ca="1">+WORLDCUP!BD66</f>
        <v>Senegal</v>
      </c>
      <c r="F11" s="9" t="str">
        <f ca="1">+WORLDCUP!BD60</f>
        <v>Marruecos</v>
      </c>
      <c r="G11" s="9" t="str">
        <f ca="1">+WORLDCUP!BD67</f>
        <v>Argelia</v>
      </c>
      <c r="H11" s="9" t="str">
        <f ca="1">+WORLDCUP!BD63</f>
        <v>Suecia</v>
      </c>
      <c r="I11" s="9" t="str">
        <f ca="1">+WORLDCUP!BD69</f>
        <v>Ghana</v>
      </c>
      <c r="J11" s="9" t="str">
        <f ca="1">+WORLDCUP!BD68</f>
        <v>RD Congo</v>
      </c>
      <c r="N11" s="9" t="s">
        <v>610</v>
      </c>
      <c r="O11" s="9">
        <v>10</v>
      </c>
      <c r="P11" s="9" t="s">
        <v>436</v>
      </c>
      <c r="Q11" s="9" t="s">
        <v>435</v>
      </c>
      <c r="R11" s="9" t="s">
        <v>440</v>
      </c>
      <c r="S11" s="9" t="s">
        <v>91</v>
      </c>
      <c r="T11" s="9" t="s">
        <v>441</v>
      </c>
      <c r="U11" s="9" t="s">
        <v>94</v>
      </c>
      <c r="V11" s="9" t="s">
        <v>443</v>
      </c>
      <c r="W11" s="9" t="s">
        <v>442</v>
      </c>
    </row>
    <row r="12" spans="1:23">
      <c r="A12" s="9" t="s">
        <v>1186</v>
      </c>
      <c r="B12" s="9">
        <f ca="1">+IF(A12=WORLDCUP!$BI$112,1,0)</f>
        <v>0</v>
      </c>
      <c r="C12" s="9" t="str">
        <f ca="1">+WORLDCUP!BD62</f>
        <v>Ecuador</v>
      </c>
      <c r="D12" s="9" t="str">
        <f ca="1">+WORLDCUP!BD67</f>
        <v>Argelia</v>
      </c>
      <c r="E12" s="9" t="str">
        <f ca="1">+WORLDCUP!BD66</f>
        <v>Senegal</v>
      </c>
      <c r="F12" s="9" t="str">
        <f ca="1">+WORLDCUP!BD60</f>
        <v>Marruecos</v>
      </c>
      <c r="G12" s="9" t="str">
        <f ca="1">+WORLDCUP!BD65</f>
        <v>Arabia Saudita</v>
      </c>
      <c r="H12" s="9" t="str">
        <f ca="1">+WORLDCUP!BD64</f>
        <v>Egipto</v>
      </c>
      <c r="I12" s="9" t="str">
        <f ca="1">+WORLDCUP!BD69</f>
        <v>Ghana</v>
      </c>
      <c r="J12" s="9" t="str">
        <f ca="1">+WORLDCUP!BD68</f>
        <v>RD Congo</v>
      </c>
      <c r="N12" s="9" t="s">
        <v>1186</v>
      </c>
      <c r="O12" s="9">
        <v>11</v>
      </c>
      <c r="P12" s="9" t="s">
        <v>93</v>
      </c>
      <c r="Q12" s="9" t="s">
        <v>441</v>
      </c>
      <c r="R12" s="9" t="s">
        <v>440</v>
      </c>
      <c r="S12" s="9" t="s">
        <v>91</v>
      </c>
      <c r="T12" s="9" t="s">
        <v>436</v>
      </c>
      <c r="U12" s="9" t="s">
        <v>435</v>
      </c>
      <c r="V12" s="9" t="s">
        <v>443</v>
      </c>
      <c r="W12" s="9" t="s">
        <v>442</v>
      </c>
    </row>
    <row r="13" spans="1:23">
      <c r="A13" s="9" t="s">
        <v>1185</v>
      </c>
      <c r="B13" s="9">
        <f ca="1">+IF(A13=WORLDCUP!$BI$112,1,0)</f>
        <v>0</v>
      </c>
      <c r="C13" s="9" t="str">
        <f ca="1">+WORLDCUP!BD62</f>
        <v>Ecuador</v>
      </c>
      <c r="D13" s="9" t="str">
        <f ca="1">+WORLDCUP!BD67</f>
        <v>Argelia</v>
      </c>
      <c r="E13" s="9" t="str">
        <f ca="1">+WORLDCUP!BD66</f>
        <v>Senegal</v>
      </c>
      <c r="F13" s="9" t="str">
        <f ca="1">+WORLDCUP!BD60</f>
        <v>Marruecos</v>
      </c>
      <c r="G13" s="9" t="str">
        <f ca="1">+WORLDCUP!BD65</f>
        <v>Arabia Saudita</v>
      </c>
      <c r="H13" s="9" t="str">
        <f ca="1">+WORLDCUP!BD63</f>
        <v>Suecia</v>
      </c>
      <c r="I13" s="9" t="str">
        <f ca="1">+WORLDCUP!BD69</f>
        <v>Ghana</v>
      </c>
      <c r="J13" s="9" t="str">
        <f ca="1">+WORLDCUP!BD68</f>
        <v>RD Congo</v>
      </c>
      <c r="N13" s="9" t="s">
        <v>1185</v>
      </c>
      <c r="O13" s="9">
        <v>12</v>
      </c>
      <c r="P13" s="9" t="s">
        <v>93</v>
      </c>
      <c r="Q13" s="9" t="s">
        <v>441</v>
      </c>
      <c r="R13" s="9" t="s">
        <v>440</v>
      </c>
      <c r="S13" s="9" t="s">
        <v>91</v>
      </c>
      <c r="T13" s="9" t="s">
        <v>436</v>
      </c>
      <c r="U13" s="9" t="s">
        <v>94</v>
      </c>
      <c r="V13" s="9" t="s">
        <v>443</v>
      </c>
      <c r="W13" s="9" t="s">
        <v>442</v>
      </c>
    </row>
    <row r="14" spans="1:23">
      <c r="A14" s="9" t="s">
        <v>1184</v>
      </c>
      <c r="B14" s="9">
        <f ca="1">+IF(A14=WORLDCUP!$BI$112,1,0)</f>
        <v>0</v>
      </c>
      <c r="C14" s="9" t="str">
        <f ca="1">+WORLDCUP!BD62</f>
        <v>Ecuador</v>
      </c>
      <c r="D14" s="9" t="str">
        <f ca="1">+WORLDCUP!BD64</f>
        <v>Egipto</v>
      </c>
      <c r="E14" s="9" t="str">
        <f ca="1">+WORLDCUP!BD66</f>
        <v>Senegal</v>
      </c>
      <c r="F14" s="9" t="str">
        <f ca="1">+WORLDCUP!BD60</f>
        <v>Marruecos</v>
      </c>
      <c r="G14" s="9" t="str">
        <f ca="1">+WORLDCUP!BD67</f>
        <v>Argelia</v>
      </c>
      <c r="H14" s="9" t="str">
        <f ca="1">+WORLDCUP!BD63</f>
        <v>Suecia</v>
      </c>
      <c r="I14" s="9" t="str">
        <f ca="1">+WORLDCUP!BD69</f>
        <v>Ghana</v>
      </c>
      <c r="J14" s="9" t="str">
        <f ca="1">+WORLDCUP!BD68</f>
        <v>RD Congo</v>
      </c>
      <c r="N14" s="9" t="s">
        <v>1184</v>
      </c>
      <c r="O14" s="9">
        <v>13</v>
      </c>
      <c r="P14" s="9" t="s">
        <v>93</v>
      </c>
      <c r="Q14" s="9" t="s">
        <v>435</v>
      </c>
      <c r="R14" s="9" t="s">
        <v>440</v>
      </c>
      <c r="S14" s="9" t="s">
        <v>91</v>
      </c>
      <c r="T14" s="9" t="s">
        <v>441</v>
      </c>
      <c r="U14" s="9" t="s">
        <v>94</v>
      </c>
      <c r="V14" s="9" t="s">
        <v>443</v>
      </c>
      <c r="W14" s="9" t="s">
        <v>442</v>
      </c>
    </row>
    <row r="15" spans="1:23">
      <c r="A15" s="9" t="s">
        <v>1183</v>
      </c>
      <c r="B15" s="9">
        <f ca="1">+IF(A15=WORLDCUP!$BI$112,1,0)</f>
        <v>0</v>
      </c>
      <c r="C15" s="9" t="str">
        <f ca="1">+WORLDCUP!BD62</f>
        <v>Ecuador</v>
      </c>
      <c r="D15" s="9" t="str">
        <f ca="1">+WORLDCUP!BD64</f>
        <v>Egipto</v>
      </c>
      <c r="E15" s="9" t="str">
        <f ca="1">+WORLDCUP!BD67</f>
        <v>Argelia</v>
      </c>
      <c r="F15" s="9" t="str">
        <f ca="1">+WORLDCUP!BD60</f>
        <v>Marruecos</v>
      </c>
      <c r="G15" s="9" t="str">
        <f ca="1">+WORLDCUP!BD65</f>
        <v>Arabia Saudita</v>
      </c>
      <c r="H15" s="9" t="str">
        <f ca="1">+WORLDCUP!BD63</f>
        <v>Suecia</v>
      </c>
      <c r="I15" s="9" t="str">
        <f ca="1">+WORLDCUP!BD69</f>
        <v>Ghana</v>
      </c>
      <c r="J15" s="9" t="str">
        <f ca="1">+WORLDCUP!BD68</f>
        <v>RD Congo</v>
      </c>
      <c r="N15" s="9" t="s">
        <v>1183</v>
      </c>
      <c r="O15" s="9">
        <v>14</v>
      </c>
      <c r="P15" s="9" t="s">
        <v>93</v>
      </c>
      <c r="Q15" s="9" t="s">
        <v>435</v>
      </c>
      <c r="R15" s="9" t="s">
        <v>441</v>
      </c>
      <c r="S15" s="9" t="s">
        <v>91</v>
      </c>
      <c r="T15" s="9" t="s">
        <v>436</v>
      </c>
      <c r="U15" s="9" t="s">
        <v>94</v>
      </c>
      <c r="V15" s="9" t="s">
        <v>443</v>
      </c>
      <c r="W15" s="9" t="s">
        <v>442</v>
      </c>
    </row>
    <row r="16" spans="1:23">
      <c r="A16" s="9" t="s">
        <v>609</v>
      </c>
      <c r="B16" s="9">
        <f ca="1">+IF(A16=WORLDCUP!$BI$112,1,0)</f>
        <v>0</v>
      </c>
      <c r="C16" s="9" t="str">
        <f ca="1">+WORLDCUP!BD62</f>
        <v>Ecuador</v>
      </c>
      <c r="D16" s="9" t="str">
        <f ca="1">+WORLDCUP!BD64</f>
        <v>Egipto</v>
      </c>
      <c r="E16" s="9" t="str">
        <f ca="1">+WORLDCUP!BD66</f>
        <v>Senegal</v>
      </c>
      <c r="F16" s="9" t="str">
        <f ca="1">+WORLDCUP!BD60</f>
        <v>Marruecos</v>
      </c>
      <c r="G16" s="9" t="str">
        <f ca="1">+WORLDCUP!BD65</f>
        <v>Arabia Saudita</v>
      </c>
      <c r="H16" s="9" t="str">
        <f ca="1">+WORLDCUP!BD63</f>
        <v>Suecia</v>
      </c>
      <c r="I16" s="9" t="str">
        <f ca="1">+WORLDCUP!BD69</f>
        <v>Ghana</v>
      </c>
      <c r="J16" s="9" t="str">
        <f ca="1">+WORLDCUP!BD68</f>
        <v>RD Congo</v>
      </c>
      <c r="N16" s="9" t="s">
        <v>609</v>
      </c>
      <c r="O16" s="9">
        <v>15</v>
      </c>
      <c r="P16" s="9" t="s">
        <v>93</v>
      </c>
      <c r="Q16" s="9" t="s">
        <v>435</v>
      </c>
      <c r="R16" s="9" t="s">
        <v>440</v>
      </c>
      <c r="S16" s="9" t="s">
        <v>91</v>
      </c>
      <c r="T16" s="9" t="s">
        <v>436</v>
      </c>
      <c r="U16" s="9" t="s">
        <v>94</v>
      </c>
      <c r="V16" s="9" t="s">
        <v>443</v>
      </c>
      <c r="W16" s="9" t="s">
        <v>442</v>
      </c>
    </row>
    <row r="17" spans="1:23">
      <c r="A17" s="9" t="s">
        <v>608</v>
      </c>
      <c r="B17" s="9">
        <f ca="1">+IF(A17=WORLDCUP!$BI$112,1,0)</f>
        <v>0</v>
      </c>
      <c r="C17" s="9" t="str">
        <f ca="1">+WORLDCUP!BD62</f>
        <v>Ecuador</v>
      </c>
      <c r="D17" s="9" t="str">
        <f ca="1">+WORLDCUP!BD64</f>
        <v>Egipto</v>
      </c>
      <c r="E17" s="9" t="str">
        <f ca="1">+WORLDCUP!BD67</f>
        <v>Argelia</v>
      </c>
      <c r="F17" s="9" t="str">
        <f ca="1">+WORLDCUP!BD60</f>
        <v>Marruecos</v>
      </c>
      <c r="G17" s="9" t="str">
        <f ca="1">+WORLDCUP!BD65</f>
        <v>Arabia Saudita</v>
      </c>
      <c r="H17" s="9" t="str">
        <f ca="1">+WORLDCUP!BD63</f>
        <v>Suecia</v>
      </c>
      <c r="I17" s="9" t="str">
        <f ca="1">+WORLDCUP!BD69</f>
        <v>Ghana</v>
      </c>
      <c r="J17" s="9" t="str">
        <f ca="1">+WORLDCUP!BD66</f>
        <v>Senegal</v>
      </c>
      <c r="N17" s="9" t="s">
        <v>608</v>
      </c>
      <c r="O17" s="9">
        <v>16</v>
      </c>
      <c r="P17" s="9" t="s">
        <v>93</v>
      </c>
      <c r="Q17" s="9" t="s">
        <v>435</v>
      </c>
      <c r="R17" s="9" t="s">
        <v>441</v>
      </c>
      <c r="S17" s="9" t="s">
        <v>91</v>
      </c>
      <c r="T17" s="9" t="s">
        <v>436</v>
      </c>
      <c r="U17" s="9" t="s">
        <v>94</v>
      </c>
      <c r="V17" s="9" t="s">
        <v>443</v>
      </c>
      <c r="W17" s="9" t="s">
        <v>440</v>
      </c>
    </row>
    <row r="18" spans="1:23">
      <c r="A18" s="9" t="s">
        <v>607</v>
      </c>
      <c r="B18" s="9">
        <f ca="1">+IF(A18=WORLDCUP!$BI$112,1,0)</f>
        <v>0</v>
      </c>
      <c r="C18" s="9" t="str">
        <f ca="1">+WORLDCUP!BD62</f>
        <v>Ecuador</v>
      </c>
      <c r="D18" s="9" t="str">
        <f ca="1">+WORLDCUP!BD64</f>
        <v>Egipto</v>
      </c>
      <c r="E18" s="9" t="str">
        <f ca="1">+WORLDCUP!BD67</f>
        <v>Argelia</v>
      </c>
      <c r="F18" s="9" t="str">
        <f ca="1">+WORLDCUP!BD60</f>
        <v>Marruecos</v>
      </c>
      <c r="G18" s="9" t="str">
        <f ca="1">+WORLDCUP!BD65</f>
        <v>Arabia Saudita</v>
      </c>
      <c r="H18" s="9" t="str">
        <f ca="1">+WORLDCUP!BD63</f>
        <v>Suecia</v>
      </c>
      <c r="I18" s="9" t="str">
        <f ca="1">+WORLDCUP!BD66</f>
        <v>Senegal</v>
      </c>
      <c r="J18" s="9" t="str">
        <f ca="1">+WORLDCUP!BD68</f>
        <v>RD Congo</v>
      </c>
      <c r="N18" s="9" t="s">
        <v>607</v>
      </c>
      <c r="O18" s="9">
        <v>17</v>
      </c>
      <c r="P18" s="9" t="s">
        <v>93</v>
      </c>
      <c r="Q18" s="9" t="s">
        <v>435</v>
      </c>
      <c r="R18" s="9" t="s">
        <v>441</v>
      </c>
      <c r="S18" s="9" t="s">
        <v>91</v>
      </c>
      <c r="T18" s="9" t="s">
        <v>436</v>
      </c>
      <c r="U18" s="9" t="s">
        <v>94</v>
      </c>
      <c r="V18" s="9" t="s">
        <v>440</v>
      </c>
      <c r="W18" s="9" t="s">
        <v>442</v>
      </c>
    </row>
    <row r="19" spans="1:23">
      <c r="A19" s="9" t="s">
        <v>1182</v>
      </c>
      <c r="B19" s="9">
        <f ca="1">+IF(A19=WORLDCUP!$BI$112,1,0)</f>
        <v>0</v>
      </c>
      <c r="C19" s="9" t="str">
        <f ca="1">+WORLDCUP!BD65</f>
        <v>Arabia Saudita</v>
      </c>
      <c r="D19" s="9" t="str">
        <f ca="1">+WORLDCUP!BD64</f>
        <v>Egipto</v>
      </c>
      <c r="E19" s="9" t="str">
        <f ca="1">+WORLDCUP!BD66</f>
        <v>Senegal</v>
      </c>
      <c r="F19" s="9" t="str">
        <f ca="1">+WORLDCUP!BD60</f>
        <v>Marruecos</v>
      </c>
      <c r="G19" s="9" t="str">
        <f ca="1">+WORLDCUP!BD67</f>
        <v>Argelia</v>
      </c>
      <c r="H19" s="9" t="str">
        <f ca="1">+WORLDCUP!BD61</f>
        <v>Paraguay</v>
      </c>
      <c r="I19" s="9" t="str">
        <f ca="1">+WORLDCUP!BD69</f>
        <v>Ghana</v>
      </c>
      <c r="J19" s="9" t="str">
        <f ca="1">+WORLDCUP!BD68</f>
        <v>RD Congo</v>
      </c>
      <c r="N19" s="9" t="s">
        <v>1182</v>
      </c>
      <c r="O19" s="9">
        <v>18</v>
      </c>
      <c r="P19" s="9" t="s">
        <v>436</v>
      </c>
      <c r="Q19" s="9" t="s">
        <v>435</v>
      </c>
      <c r="R19" s="9" t="s">
        <v>440</v>
      </c>
      <c r="S19" s="9" t="s">
        <v>91</v>
      </c>
      <c r="T19" s="9" t="s">
        <v>441</v>
      </c>
      <c r="U19" s="9" t="s">
        <v>92</v>
      </c>
      <c r="V19" s="9" t="s">
        <v>443</v>
      </c>
      <c r="W19" s="9" t="s">
        <v>442</v>
      </c>
    </row>
    <row r="20" spans="1:23">
      <c r="A20" s="9" t="s">
        <v>1181</v>
      </c>
      <c r="B20" s="9">
        <f ca="1">+IF(A20=WORLDCUP!$BI$112,1,0)</f>
        <v>0</v>
      </c>
      <c r="C20" s="9" t="str">
        <f ca="1">+WORLDCUP!BD60</f>
        <v>Marruecos</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9" t="s">
        <v>1181</v>
      </c>
      <c r="O20" s="9">
        <v>19</v>
      </c>
      <c r="P20" s="9" t="s">
        <v>91</v>
      </c>
      <c r="Q20" s="9" t="s">
        <v>441</v>
      </c>
      <c r="R20" s="9" t="s">
        <v>440</v>
      </c>
      <c r="S20" s="9" t="s">
        <v>92</v>
      </c>
      <c r="T20" s="9" t="s">
        <v>436</v>
      </c>
      <c r="U20" s="9" t="s">
        <v>94</v>
      </c>
      <c r="V20" s="9" t="s">
        <v>443</v>
      </c>
      <c r="W20" s="9" t="s">
        <v>442</v>
      </c>
    </row>
    <row r="21" spans="1:23">
      <c r="A21" s="9" t="s">
        <v>1180</v>
      </c>
      <c r="B21" s="9">
        <f ca="1">+IF(A21=WORLDCUP!$BI$112,1,0)</f>
        <v>0</v>
      </c>
      <c r="C21" s="9" t="str">
        <f ca="1">+WORLDCUP!BD60</f>
        <v>Marruecos</v>
      </c>
      <c r="D21" s="9" t="str">
        <f ca="1">+WORLDCUP!BD64</f>
        <v>Egipto</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9" t="s">
        <v>1180</v>
      </c>
      <c r="O21" s="9">
        <v>20</v>
      </c>
      <c r="P21" s="9" t="s">
        <v>91</v>
      </c>
      <c r="Q21" s="9" t="s">
        <v>435</v>
      </c>
      <c r="R21" s="9" t="s">
        <v>440</v>
      </c>
      <c r="S21" s="9" t="s">
        <v>92</v>
      </c>
      <c r="T21" s="9" t="s">
        <v>441</v>
      </c>
      <c r="U21" s="9" t="s">
        <v>94</v>
      </c>
      <c r="V21" s="9" t="s">
        <v>443</v>
      </c>
      <c r="W21" s="9" t="s">
        <v>442</v>
      </c>
    </row>
    <row r="22" spans="1:23">
      <c r="A22" s="9" t="s">
        <v>1179</v>
      </c>
      <c r="B22" s="9">
        <f ca="1">+IF(A22=WORLDCUP!$BI$112,1,0)</f>
        <v>0</v>
      </c>
      <c r="C22" s="9" t="str">
        <f ca="1">+WORLDCUP!BD60</f>
        <v>Marruecos</v>
      </c>
      <c r="D22" s="9" t="str">
        <f ca="1">+WORLDCUP!BD64</f>
        <v>Egipto</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9" t="s">
        <v>1179</v>
      </c>
      <c r="O22" s="9">
        <v>21</v>
      </c>
      <c r="P22" s="9" t="s">
        <v>91</v>
      </c>
      <c r="Q22" s="9" t="s">
        <v>435</v>
      </c>
      <c r="R22" s="9" t="s">
        <v>441</v>
      </c>
      <c r="S22" s="9" t="s">
        <v>92</v>
      </c>
      <c r="T22" s="9" t="s">
        <v>436</v>
      </c>
      <c r="U22" s="9" t="s">
        <v>94</v>
      </c>
      <c r="V22" s="9" t="s">
        <v>443</v>
      </c>
      <c r="W22" s="9" t="s">
        <v>442</v>
      </c>
    </row>
    <row r="23" spans="1:23">
      <c r="A23" s="9" t="s">
        <v>1178</v>
      </c>
      <c r="B23" s="9">
        <f ca="1">+IF(A23=WORLDCUP!$BI$112,1,0)</f>
        <v>0</v>
      </c>
      <c r="C23" s="9" t="str">
        <f ca="1">+WORLDCUP!BD60</f>
        <v>Marruecos</v>
      </c>
      <c r="D23" s="9" t="str">
        <f ca="1">+WORLDCUP!BD64</f>
        <v>Egipto</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9" t="s">
        <v>1178</v>
      </c>
      <c r="O23" s="9">
        <v>22</v>
      </c>
      <c r="P23" s="9" t="s">
        <v>91</v>
      </c>
      <c r="Q23" s="9" t="s">
        <v>435</v>
      </c>
      <c r="R23" s="9" t="s">
        <v>440</v>
      </c>
      <c r="S23" s="9" t="s">
        <v>92</v>
      </c>
      <c r="T23" s="9" t="s">
        <v>436</v>
      </c>
      <c r="U23" s="9" t="s">
        <v>94</v>
      </c>
      <c r="V23" s="9" t="s">
        <v>443</v>
      </c>
      <c r="W23" s="9" t="s">
        <v>442</v>
      </c>
    </row>
    <row r="24" spans="1:23">
      <c r="A24" s="9" t="s">
        <v>1177</v>
      </c>
      <c r="B24" s="9">
        <f ca="1">+IF(A24=WORLDCUP!$BI$112,1,0)</f>
        <v>0</v>
      </c>
      <c r="C24" s="9" t="str">
        <f ca="1">+WORLDCUP!BD60</f>
        <v>Marruecos</v>
      </c>
      <c r="D24" s="9" t="str">
        <f ca="1">+WORLDCUP!BD64</f>
        <v>Egipto</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9" t="s">
        <v>1177</v>
      </c>
      <c r="O24" s="9">
        <v>23</v>
      </c>
      <c r="P24" s="9" t="s">
        <v>91</v>
      </c>
      <c r="Q24" s="9" t="s">
        <v>435</v>
      </c>
      <c r="R24" s="9" t="s">
        <v>441</v>
      </c>
      <c r="S24" s="9" t="s">
        <v>92</v>
      </c>
      <c r="T24" s="9" t="s">
        <v>436</v>
      </c>
      <c r="U24" s="9" t="s">
        <v>94</v>
      </c>
      <c r="V24" s="9" t="s">
        <v>443</v>
      </c>
      <c r="W24" s="9" t="s">
        <v>440</v>
      </c>
    </row>
    <row r="25" spans="1:23">
      <c r="A25" s="9" t="s">
        <v>1176</v>
      </c>
      <c r="B25" s="9">
        <f ca="1">+IF(A25=WORLDCUP!$BI$112,1,0)</f>
        <v>0</v>
      </c>
      <c r="C25" s="9" t="str">
        <f ca="1">+WORLDCUP!BD60</f>
        <v>Marruecos</v>
      </c>
      <c r="D25" s="9" t="str">
        <f ca="1">+WORLDCUP!BD64</f>
        <v>Egipto</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9" t="s">
        <v>1176</v>
      </c>
      <c r="O25" s="9">
        <v>24</v>
      </c>
      <c r="P25" s="9" t="s">
        <v>91</v>
      </c>
      <c r="Q25" s="9" t="s">
        <v>435</v>
      </c>
      <c r="R25" s="9" t="s">
        <v>441</v>
      </c>
      <c r="S25" s="9" t="s">
        <v>92</v>
      </c>
      <c r="T25" s="9" t="s">
        <v>436</v>
      </c>
      <c r="U25" s="9" t="s">
        <v>94</v>
      </c>
      <c r="V25" s="9" t="s">
        <v>440</v>
      </c>
      <c r="W25" s="9" t="s">
        <v>442</v>
      </c>
    </row>
    <row r="26" spans="1:23">
      <c r="A26" s="9" t="s">
        <v>1175</v>
      </c>
      <c r="B26" s="9">
        <f ca="1">+IF(A26=WORLDCUP!$BI$112,1,0)</f>
        <v>0</v>
      </c>
      <c r="C26" s="9" t="str">
        <f ca="1">+WORLDCUP!BD62</f>
        <v>Ecuador</v>
      </c>
      <c r="D26" s="9" t="str">
        <f ca="1">+WORLDCUP!BD67</f>
        <v>Argelia</v>
      </c>
      <c r="E26" s="9" t="str">
        <f ca="1">+WORLDCUP!BD66</f>
        <v>Senegal</v>
      </c>
      <c r="F26" s="9" t="str">
        <f ca="1">+WORLDCUP!BD60</f>
        <v>Marruecos</v>
      </c>
      <c r="G26" s="9" t="str">
        <f ca="1">+WORLDCUP!BD65</f>
        <v>Arabia Saudita</v>
      </c>
      <c r="H26" s="9" t="str">
        <f ca="1">+WORLDCUP!BD61</f>
        <v>Paraguay</v>
      </c>
      <c r="I26" s="9" t="str">
        <f ca="1">+WORLDCUP!BD69</f>
        <v>Ghana</v>
      </c>
      <c r="J26" s="9" t="str">
        <f ca="1">+WORLDCUP!BD68</f>
        <v>RD Congo</v>
      </c>
      <c r="N26" s="9" t="s">
        <v>1175</v>
      </c>
      <c r="O26" s="9">
        <v>25</v>
      </c>
      <c r="P26" s="9" t="s">
        <v>93</v>
      </c>
      <c r="Q26" s="9" t="s">
        <v>441</v>
      </c>
      <c r="R26" s="9" t="s">
        <v>440</v>
      </c>
      <c r="S26" s="9" t="s">
        <v>91</v>
      </c>
      <c r="T26" s="9" t="s">
        <v>436</v>
      </c>
      <c r="U26" s="9" t="s">
        <v>92</v>
      </c>
      <c r="V26" s="9" t="s">
        <v>443</v>
      </c>
      <c r="W26" s="9" t="s">
        <v>442</v>
      </c>
    </row>
    <row r="27" spans="1:23">
      <c r="A27" s="9" t="s">
        <v>1174</v>
      </c>
      <c r="B27" s="9">
        <f ca="1">+IF(A27=WORLDCUP!$BI$112,1,0)</f>
        <v>0</v>
      </c>
      <c r="C27" s="9" t="str">
        <f ca="1">+WORLDCUP!BD62</f>
        <v>Ecuador</v>
      </c>
      <c r="D27" s="9" t="str">
        <f ca="1">+WORLDCUP!BD64</f>
        <v>Egipto</v>
      </c>
      <c r="E27" s="9" t="str">
        <f ca="1">+WORLDCUP!BD66</f>
        <v>Senegal</v>
      </c>
      <c r="F27" s="9" t="str">
        <f ca="1">+WORLDCUP!BD60</f>
        <v>Marruecos</v>
      </c>
      <c r="G27" s="9" t="str">
        <f ca="1">+WORLDCUP!BD67</f>
        <v>Argelia</v>
      </c>
      <c r="H27" s="9" t="str">
        <f ca="1">+WORLDCUP!BD61</f>
        <v>Paraguay</v>
      </c>
      <c r="I27" s="9" t="str">
        <f ca="1">+WORLDCUP!BD69</f>
        <v>Ghana</v>
      </c>
      <c r="J27" s="9" t="str">
        <f ca="1">+WORLDCUP!BD68</f>
        <v>RD Congo</v>
      </c>
      <c r="N27" s="9" t="s">
        <v>1174</v>
      </c>
      <c r="O27" s="9">
        <v>26</v>
      </c>
      <c r="P27" s="9" t="s">
        <v>93</v>
      </c>
      <c r="Q27" s="9" t="s">
        <v>435</v>
      </c>
      <c r="R27" s="9" t="s">
        <v>440</v>
      </c>
      <c r="S27" s="9" t="s">
        <v>91</v>
      </c>
      <c r="T27" s="9" t="s">
        <v>441</v>
      </c>
      <c r="U27" s="9" t="s">
        <v>92</v>
      </c>
      <c r="V27" s="9" t="s">
        <v>443</v>
      </c>
      <c r="W27" s="9" t="s">
        <v>442</v>
      </c>
    </row>
    <row r="28" spans="1:23">
      <c r="A28" s="9" t="s">
        <v>1173</v>
      </c>
      <c r="B28" s="9">
        <f ca="1">+IF(A28=WORLDCUP!$BI$112,1,0)</f>
        <v>0</v>
      </c>
      <c r="C28" s="9" t="str">
        <f ca="1">+WORLDCUP!BD62</f>
        <v>Ecuador</v>
      </c>
      <c r="D28" s="9" t="str">
        <f ca="1">+WORLDCUP!BD64</f>
        <v>Egipto</v>
      </c>
      <c r="E28" s="9" t="str">
        <f ca="1">+WORLDCUP!BD67</f>
        <v>Argelia</v>
      </c>
      <c r="F28" s="9" t="str">
        <f ca="1">+WORLDCUP!BD60</f>
        <v>Marruecos</v>
      </c>
      <c r="G28" s="9" t="str">
        <f ca="1">+WORLDCUP!BD65</f>
        <v>Arabia Saudita</v>
      </c>
      <c r="H28" s="9" t="str">
        <f ca="1">+WORLDCUP!BD61</f>
        <v>Paraguay</v>
      </c>
      <c r="I28" s="9" t="str">
        <f ca="1">+WORLDCUP!BD69</f>
        <v>Ghana</v>
      </c>
      <c r="J28" s="9" t="str">
        <f ca="1">+WORLDCUP!BD68</f>
        <v>RD Congo</v>
      </c>
      <c r="N28" s="9" t="s">
        <v>1173</v>
      </c>
      <c r="O28" s="9">
        <v>27</v>
      </c>
      <c r="P28" s="9" t="s">
        <v>93</v>
      </c>
      <c r="Q28" s="9" t="s">
        <v>435</v>
      </c>
      <c r="R28" s="9" t="s">
        <v>441</v>
      </c>
      <c r="S28" s="9" t="s">
        <v>91</v>
      </c>
      <c r="T28" s="9" t="s">
        <v>436</v>
      </c>
      <c r="U28" s="9" t="s">
        <v>92</v>
      </c>
      <c r="V28" s="9" t="s">
        <v>443</v>
      </c>
      <c r="W28" s="9" t="s">
        <v>442</v>
      </c>
    </row>
    <row r="29" spans="1:23">
      <c r="A29" s="9" t="s">
        <v>1172</v>
      </c>
      <c r="B29" s="9">
        <f ca="1">+IF(A29=WORLDCUP!$BI$112,1,0)</f>
        <v>0</v>
      </c>
      <c r="C29" s="9" t="str">
        <f ca="1">+WORLDCUP!BD62</f>
        <v>Ecuador</v>
      </c>
      <c r="D29" s="9" t="str">
        <f ca="1">+WORLDCUP!BD64</f>
        <v>Egipto</v>
      </c>
      <c r="E29" s="9" t="str">
        <f ca="1">+WORLDCUP!BD66</f>
        <v>Senegal</v>
      </c>
      <c r="F29" s="9" t="str">
        <f ca="1">+WORLDCUP!BD60</f>
        <v>Marruecos</v>
      </c>
      <c r="G29" s="9" t="str">
        <f ca="1">+WORLDCUP!BD65</f>
        <v>Arabia Saudita</v>
      </c>
      <c r="H29" s="9" t="str">
        <f ca="1">+WORLDCUP!BD61</f>
        <v>Paraguay</v>
      </c>
      <c r="I29" s="9" t="str">
        <f ca="1">+WORLDCUP!BD69</f>
        <v>Ghana</v>
      </c>
      <c r="J29" s="9" t="str">
        <f ca="1">+WORLDCUP!BD68</f>
        <v>RD Congo</v>
      </c>
      <c r="N29" s="9" t="s">
        <v>1172</v>
      </c>
      <c r="O29" s="9">
        <v>28</v>
      </c>
      <c r="P29" s="9" t="s">
        <v>93</v>
      </c>
      <c r="Q29" s="9" t="s">
        <v>435</v>
      </c>
      <c r="R29" s="9" t="s">
        <v>440</v>
      </c>
      <c r="S29" s="9" t="s">
        <v>91</v>
      </c>
      <c r="T29" s="9" t="s">
        <v>436</v>
      </c>
      <c r="U29" s="9" t="s">
        <v>92</v>
      </c>
      <c r="V29" s="9" t="s">
        <v>443</v>
      </c>
      <c r="W29" s="9" t="s">
        <v>442</v>
      </c>
    </row>
    <row r="30" spans="1:23">
      <c r="A30" s="9" t="s">
        <v>1171</v>
      </c>
      <c r="B30" s="9">
        <f ca="1">+IF(A30=WORLDCUP!$BI$112,1,0)</f>
        <v>0</v>
      </c>
      <c r="C30" s="9" t="str">
        <f ca="1">+WORLDCUP!BD62</f>
        <v>Ecuador</v>
      </c>
      <c r="D30" s="9" t="str">
        <f ca="1">+WORLDCUP!BD64</f>
        <v>Egipto</v>
      </c>
      <c r="E30" s="9" t="str">
        <f ca="1">+WORLDCUP!BD67</f>
        <v>Argelia</v>
      </c>
      <c r="F30" s="9" t="str">
        <f ca="1">+WORLDCUP!BD60</f>
        <v>Marruecos</v>
      </c>
      <c r="G30" s="9" t="str">
        <f ca="1">+WORLDCUP!BD65</f>
        <v>Arabia Saudita</v>
      </c>
      <c r="H30" s="9" t="str">
        <f ca="1">+WORLDCUP!BD61</f>
        <v>Paraguay</v>
      </c>
      <c r="I30" s="9" t="str">
        <f ca="1">+WORLDCUP!BD69</f>
        <v>Ghana</v>
      </c>
      <c r="J30" s="9" t="str">
        <f ca="1">+WORLDCUP!BD66</f>
        <v>Senegal</v>
      </c>
      <c r="N30" s="9" t="s">
        <v>1171</v>
      </c>
      <c r="O30" s="9">
        <v>29</v>
      </c>
      <c r="P30" s="9" t="s">
        <v>93</v>
      </c>
      <c r="Q30" s="9" t="s">
        <v>435</v>
      </c>
      <c r="R30" s="9" t="s">
        <v>441</v>
      </c>
      <c r="S30" s="9" t="s">
        <v>91</v>
      </c>
      <c r="T30" s="9" t="s">
        <v>436</v>
      </c>
      <c r="U30" s="9" t="s">
        <v>92</v>
      </c>
      <c r="V30" s="9" t="s">
        <v>443</v>
      </c>
      <c r="W30" s="9" t="s">
        <v>440</v>
      </c>
    </row>
    <row r="31" spans="1:23">
      <c r="A31" s="9" t="s">
        <v>1170</v>
      </c>
      <c r="B31" s="9">
        <f ca="1">+IF(A31=WORLDCUP!$BI$112,1,0)</f>
        <v>0</v>
      </c>
      <c r="C31" s="9" t="str">
        <f ca="1">+WORLDCUP!BD62</f>
        <v>Ecuador</v>
      </c>
      <c r="D31" s="9" t="str">
        <f ca="1">+WORLDCUP!BD64</f>
        <v>Egipto</v>
      </c>
      <c r="E31" s="9" t="str">
        <f ca="1">+WORLDCUP!BD67</f>
        <v>Argelia</v>
      </c>
      <c r="F31" s="9" t="str">
        <f ca="1">+WORLDCUP!BD60</f>
        <v>Marruecos</v>
      </c>
      <c r="G31" s="9" t="str">
        <f ca="1">+WORLDCUP!BD65</f>
        <v>Arabia Saudita</v>
      </c>
      <c r="H31" s="9" t="str">
        <f ca="1">+WORLDCUP!BD61</f>
        <v>Paraguay</v>
      </c>
      <c r="I31" s="9" t="str">
        <f ca="1">+WORLDCUP!BD66</f>
        <v>Senegal</v>
      </c>
      <c r="J31" s="9" t="str">
        <f ca="1">+WORLDCUP!BD68</f>
        <v>RD Congo</v>
      </c>
      <c r="N31" s="9" t="s">
        <v>1170</v>
      </c>
      <c r="O31" s="9">
        <v>30</v>
      </c>
      <c r="P31" s="9" t="s">
        <v>93</v>
      </c>
      <c r="Q31" s="9" t="s">
        <v>435</v>
      </c>
      <c r="R31" s="9" t="s">
        <v>441</v>
      </c>
      <c r="S31" s="9" t="s">
        <v>91</v>
      </c>
      <c r="T31" s="9" t="s">
        <v>436</v>
      </c>
      <c r="U31" s="9" t="s">
        <v>92</v>
      </c>
      <c r="V31" s="9" t="s">
        <v>440</v>
      </c>
      <c r="W31" s="9" t="s">
        <v>442</v>
      </c>
    </row>
    <row r="32" spans="1:23">
      <c r="A32" s="9" t="s">
        <v>1169</v>
      </c>
      <c r="B32" s="9">
        <f ca="1">+IF(A32=WORLDCUP!$BI$112,1,0)</f>
        <v>0</v>
      </c>
      <c r="C32" s="9" t="str">
        <f ca="1">+WORLDCUP!BD60</f>
        <v>Marruecos</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9" t="s">
        <v>1169</v>
      </c>
      <c r="O32" s="9">
        <v>31</v>
      </c>
      <c r="P32" s="9" t="s">
        <v>91</v>
      </c>
      <c r="Q32" s="9" t="s">
        <v>441</v>
      </c>
      <c r="R32" s="9" t="s">
        <v>93</v>
      </c>
      <c r="S32" s="9" t="s">
        <v>92</v>
      </c>
      <c r="T32" s="9" t="s">
        <v>440</v>
      </c>
      <c r="U32" s="9" t="s">
        <v>94</v>
      </c>
      <c r="V32" s="9" t="s">
        <v>443</v>
      </c>
      <c r="W32" s="9" t="s">
        <v>442</v>
      </c>
    </row>
    <row r="33" spans="1:23">
      <c r="A33" s="9" t="s">
        <v>1168</v>
      </c>
      <c r="B33" s="9">
        <f ca="1">+IF(A33=WORLDCUP!$BI$112,1,0)</f>
        <v>0</v>
      </c>
      <c r="C33" s="9" t="str">
        <f ca="1">+WORLDCUP!BD60</f>
        <v>Marruecos</v>
      </c>
      <c r="D33" s="9" t="str">
        <f ca="1">+WORLDCUP!BD67</f>
        <v>Argelia</v>
      </c>
      <c r="E33" s="9" t="str">
        <f ca="1">+WORLDCUP!BD62</f>
        <v>Ecuador</v>
      </c>
      <c r="F33" s="9" t="str">
        <f ca="1">+WORLDCUP!BD61</f>
        <v>Paraguay</v>
      </c>
      <c r="G33" s="9" t="str">
        <f ca="1">+WORLDCUP!BD65</f>
        <v>Arabia Saudita</v>
      </c>
      <c r="H33" s="9" t="str">
        <f ca="1">+WORLDCUP!BD63</f>
        <v>Suecia</v>
      </c>
      <c r="I33" s="9" t="str">
        <f ca="1">+WORLDCUP!BD69</f>
        <v>Ghana</v>
      </c>
      <c r="J33" s="9" t="str">
        <f ca="1">+WORLDCUP!BD68</f>
        <v>RD Congo</v>
      </c>
      <c r="N33" s="9" t="s">
        <v>1168</v>
      </c>
      <c r="O33" s="9">
        <v>32</v>
      </c>
      <c r="P33" s="9" t="s">
        <v>91</v>
      </c>
      <c r="Q33" s="9" t="s">
        <v>441</v>
      </c>
      <c r="R33" s="9" t="s">
        <v>93</v>
      </c>
      <c r="S33" s="9" t="s">
        <v>92</v>
      </c>
      <c r="T33" s="9" t="s">
        <v>436</v>
      </c>
      <c r="U33" s="9" t="s">
        <v>94</v>
      </c>
      <c r="V33" s="9" t="s">
        <v>443</v>
      </c>
      <c r="W33" s="9" t="s">
        <v>442</v>
      </c>
    </row>
    <row r="34" spans="1:23">
      <c r="A34" s="9" t="s">
        <v>1167</v>
      </c>
      <c r="B34" s="9">
        <f ca="1">+IF(A34=WORLDCUP!$BI$112,1,0)</f>
        <v>0</v>
      </c>
      <c r="C34" s="9" t="str">
        <f ca="1">+WORLDCUP!BD60</f>
        <v>Marruecos</v>
      </c>
      <c r="D34" s="9" t="str">
        <f ca="1">+WORLDCUP!BD62</f>
        <v>Ecuador</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9" t="s">
        <v>1167</v>
      </c>
      <c r="O34" s="9">
        <v>33</v>
      </c>
      <c r="P34" s="9" t="s">
        <v>91</v>
      </c>
      <c r="Q34" s="9" t="s">
        <v>93</v>
      </c>
      <c r="R34" s="9" t="s">
        <v>440</v>
      </c>
      <c r="S34" s="9" t="s">
        <v>92</v>
      </c>
      <c r="T34" s="9" t="s">
        <v>436</v>
      </c>
      <c r="U34" s="9" t="s">
        <v>94</v>
      </c>
      <c r="V34" s="9" t="s">
        <v>443</v>
      </c>
      <c r="W34" s="9" t="s">
        <v>442</v>
      </c>
    </row>
    <row r="35" spans="1:23">
      <c r="A35" s="9" t="s">
        <v>1166</v>
      </c>
      <c r="B35" s="9">
        <f ca="1">+IF(A35=WORLDCUP!$BI$112,1,0)</f>
        <v>0</v>
      </c>
      <c r="C35" s="9" t="str">
        <f ca="1">+WORLDCUP!BD60</f>
        <v>Marruecos</v>
      </c>
      <c r="D35" s="9" t="str">
        <f ca="1">+WORLDCUP!BD67</f>
        <v>Argelia</v>
      </c>
      <c r="E35" s="9" t="str">
        <f ca="1">+WORLDCUP!BD62</f>
        <v>Ecuador</v>
      </c>
      <c r="F35" s="9" t="str">
        <f ca="1">+WORLDCUP!BD61</f>
        <v>Paraguay</v>
      </c>
      <c r="G35" s="9" t="str">
        <f ca="1">+WORLDCUP!BD65</f>
        <v>Arabia Saudita</v>
      </c>
      <c r="H35" s="9" t="str">
        <f ca="1">+WORLDCUP!BD63</f>
        <v>Suecia</v>
      </c>
      <c r="I35" s="9" t="str">
        <f ca="1">+WORLDCUP!BD69</f>
        <v>Ghana</v>
      </c>
      <c r="J35" s="9" t="str">
        <f ca="1">+WORLDCUP!BD66</f>
        <v>Senegal</v>
      </c>
      <c r="N35" s="9" t="s">
        <v>1166</v>
      </c>
      <c r="O35" s="9">
        <v>34</v>
      </c>
      <c r="P35" s="9" t="s">
        <v>91</v>
      </c>
      <c r="Q35" s="9" t="s">
        <v>441</v>
      </c>
      <c r="R35" s="9" t="s">
        <v>93</v>
      </c>
      <c r="S35" s="9" t="s">
        <v>92</v>
      </c>
      <c r="T35" s="9" t="s">
        <v>436</v>
      </c>
      <c r="U35" s="9" t="s">
        <v>94</v>
      </c>
      <c r="V35" s="9" t="s">
        <v>443</v>
      </c>
      <c r="W35" s="9" t="s">
        <v>440</v>
      </c>
    </row>
    <row r="36" spans="1:23">
      <c r="A36" s="9" t="s">
        <v>1165</v>
      </c>
      <c r="B36" s="9">
        <f ca="1">+IF(A36=WORLDCUP!$BI$112,1,0)</f>
        <v>0</v>
      </c>
      <c r="C36" s="9" t="str">
        <f ca="1">+WORLDCUP!BD60</f>
        <v>Marruecos</v>
      </c>
      <c r="D36" s="9" t="str">
        <f ca="1">+WORLDCUP!BD67</f>
        <v>Argelia</v>
      </c>
      <c r="E36" s="9" t="str">
        <f ca="1">+WORLDCUP!BD62</f>
        <v>Ecuador</v>
      </c>
      <c r="F36" s="9" t="str">
        <f ca="1">+WORLDCUP!BD61</f>
        <v>Paraguay</v>
      </c>
      <c r="G36" s="9" t="str">
        <f ca="1">+WORLDCUP!BD65</f>
        <v>Arabia Saudita</v>
      </c>
      <c r="H36" s="9" t="str">
        <f ca="1">+WORLDCUP!BD63</f>
        <v>Suecia</v>
      </c>
      <c r="I36" s="9" t="str">
        <f ca="1">+WORLDCUP!BD66</f>
        <v>Senegal</v>
      </c>
      <c r="J36" s="9" t="str">
        <f ca="1">+WORLDCUP!BD68</f>
        <v>RD Congo</v>
      </c>
      <c r="N36" s="9" t="s">
        <v>1165</v>
      </c>
      <c r="O36" s="9">
        <v>35</v>
      </c>
      <c r="P36" s="9" t="s">
        <v>91</v>
      </c>
      <c r="Q36" s="9" t="s">
        <v>441</v>
      </c>
      <c r="R36" s="9" t="s">
        <v>93</v>
      </c>
      <c r="S36" s="9" t="s">
        <v>92</v>
      </c>
      <c r="T36" s="9" t="s">
        <v>436</v>
      </c>
      <c r="U36" s="9" t="s">
        <v>94</v>
      </c>
      <c r="V36" s="9" t="s">
        <v>440</v>
      </c>
      <c r="W36" s="9" t="s">
        <v>442</v>
      </c>
    </row>
    <row r="37" spans="1:23">
      <c r="A37" s="9" t="s">
        <v>1164</v>
      </c>
      <c r="B37" s="9">
        <f ca="1">+IF(A37=WORLDCUP!$BI$112,1,0)</f>
        <v>0</v>
      </c>
      <c r="C37" s="9" t="str">
        <f ca="1">+WORLDCUP!BD60</f>
        <v>Marruecos</v>
      </c>
      <c r="D37" s="9" t="str">
        <f ca="1">+WORLDCUP!BD64</f>
        <v>Egipto</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9" t="s">
        <v>1164</v>
      </c>
      <c r="O37" s="9">
        <v>36</v>
      </c>
      <c r="P37" s="9" t="s">
        <v>91</v>
      </c>
      <c r="Q37" s="9" t="s">
        <v>435</v>
      </c>
      <c r="R37" s="9" t="s">
        <v>93</v>
      </c>
      <c r="S37" s="9" t="s">
        <v>92</v>
      </c>
      <c r="T37" s="9" t="s">
        <v>441</v>
      </c>
      <c r="U37" s="9" t="s">
        <v>94</v>
      </c>
      <c r="V37" s="9" t="s">
        <v>443</v>
      </c>
      <c r="W37" s="9" t="s">
        <v>442</v>
      </c>
    </row>
    <row r="38" spans="1:23">
      <c r="A38" s="9" t="s">
        <v>1163</v>
      </c>
      <c r="B38" s="9">
        <f ca="1">+IF(A38=WORLDCUP!$BI$112,1,0)</f>
        <v>0</v>
      </c>
      <c r="C38" s="9" t="str">
        <f ca="1">+WORLDCUP!BD60</f>
        <v>Marruecos</v>
      </c>
      <c r="D38" s="9" t="str">
        <f ca="1">+WORLDCUP!BD64</f>
        <v>Egipto</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9" t="s">
        <v>1163</v>
      </c>
      <c r="O38" s="9">
        <v>37</v>
      </c>
      <c r="P38" s="9" t="s">
        <v>91</v>
      </c>
      <c r="Q38" s="9" t="s">
        <v>435</v>
      </c>
      <c r="R38" s="9" t="s">
        <v>93</v>
      </c>
      <c r="S38" s="9" t="s">
        <v>92</v>
      </c>
      <c r="T38" s="9" t="s">
        <v>440</v>
      </c>
      <c r="U38" s="9" t="s">
        <v>94</v>
      </c>
      <c r="V38" s="9" t="s">
        <v>443</v>
      </c>
      <c r="W38" s="9" t="s">
        <v>442</v>
      </c>
    </row>
    <row r="39" spans="1:23">
      <c r="A39" s="9" t="s">
        <v>1162</v>
      </c>
      <c r="B39" s="9">
        <f ca="1">+IF(A39=WORLDCUP!$BI$112,1,0)</f>
        <v>0</v>
      </c>
      <c r="C39" s="9" t="str">
        <f ca="1">+WORLDCUP!BD60</f>
        <v>Marruecos</v>
      </c>
      <c r="D39" s="9" t="str">
        <f ca="1">+WORLDCUP!BD64</f>
        <v>Egipto</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9" t="s">
        <v>1162</v>
      </c>
      <c r="O39" s="9">
        <v>38</v>
      </c>
      <c r="P39" s="9" t="s">
        <v>91</v>
      </c>
      <c r="Q39" s="9" t="s">
        <v>435</v>
      </c>
      <c r="R39" s="9" t="s">
        <v>93</v>
      </c>
      <c r="S39" s="9" t="s">
        <v>92</v>
      </c>
      <c r="T39" s="9" t="s">
        <v>441</v>
      </c>
      <c r="U39" s="9" t="s">
        <v>94</v>
      </c>
      <c r="V39" s="9" t="s">
        <v>443</v>
      </c>
      <c r="W39" s="9" t="s">
        <v>440</v>
      </c>
    </row>
    <row r="40" spans="1:23">
      <c r="A40" s="9" t="s">
        <v>1161</v>
      </c>
      <c r="B40" s="9">
        <f ca="1">+IF(A40=WORLDCUP!$BI$112,1,0)</f>
        <v>0</v>
      </c>
      <c r="C40" s="9" t="str">
        <f ca="1">+WORLDCUP!BD60</f>
        <v>Marruecos</v>
      </c>
      <c r="D40" s="9" t="str">
        <f ca="1">+WORLDCUP!BD64</f>
        <v>Egipto</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9" t="s">
        <v>1161</v>
      </c>
      <c r="O40" s="9">
        <v>39</v>
      </c>
      <c r="P40" s="9" t="s">
        <v>91</v>
      </c>
      <c r="Q40" s="9" t="s">
        <v>435</v>
      </c>
      <c r="R40" s="9" t="s">
        <v>93</v>
      </c>
      <c r="S40" s="9" t="s">
        <v>92</v>
      </c>
      <c r="T40" s="9" t="s">
        <v>441</v>
      </c>
      <c r="U40" s="9" t="s">
        <v>94</v>
      </c>
      <c r="V40" s="9" t="s">
        <v>440</v>
      </c>
      <c r="W40" s="9" t="s">
        <v>442</v>
      </c>
    </row>
    <row r="41" spans="1:23">
      <c r="A41" s="9" t="s">
        <v>474</v>
      </c>
      <c r="B41" s="9">
        <f ca="1">+IF(A41=WORLDCUP!$BI$112,1,0)</f>
        <v>0</v>
      </c>
      <c r="C41" s="9" t="str">
        <f ca="1">+WORLDCUP!BD60</f>
        <v>Marruecos</v>
      </c>
      <c r="D41" s="9" t="str">
        <f ca="1">+WORLDCUP!BD64</f>
        <v>Egipto</v>
      </c>
      <c r="E41" s="9" t="str">
        <f ca="1">+WORLDCUP!BD62</f>
        <v>Ecuador</v>
      </c>
      <c r="F41" s="9" t="str">
        <f ca="1">+WORLDCUP!BD61</f>
        <v>Paraguay</v>
      </c>
      <c r="G41" s="9" t="str">
        <f ca="1">+WORLDCUP!BD65</f>
        <v>Arabia Saudita</v>
      </c>
      <c r="H41" s="9" t="str">
        <f ca="1">+WORLDCUP!BD63</f>
        <v>Suecia</v>
      </c>
      <c r="I41" s="9" t="str">
        <f ca="1">+WORLDCUP!BD69</f>
        <v>Ghana</v>
      </c>
      <c r="J41" s="9" t="str">
        <f ca="1">+WORLDCUP!BD68</f>
        <v>RD Congo</v>
      </c>
      <c r="N41" s="9" t="s">
        <v>474</v>
      </c>
      <c r="O41" s="9">
        <v>40</v>
      </c>
      <c r="P41" s="9" t="s">
        <v>91</v>
      </c>
      <c r="Q41" s="9" t="s">
        <v>435</v>
      </c>
      <c r="R41" s="9" t="s">
        <v>93</v>
      </c>
      <c r="S41" s="9" t="s">
        <v>92</v>
      </c>
      <c r="T41" s="9" t="s">
        <v>436</v>
      </c>
      <c r="U41" s="9" t="s">
        <v>94</v>
      </c>
      <c r="V41" s="9" t="s">
        <v>443</v>
      </c>
      <c r="W41" s="9" t="s">
        <v>442</v>
      </c>
    </row>
    <row r="42" spans="1:23">
      <c r="A42" s="9" t="s">
        <v>473</v>
      </c>
      <c r="B42" s="9">
        <f ca="1">+IF(A42=WORLDCUP!$BI$112,1,0)</f>
        <v>0</v>
      </c>
      <c r="C42" s="9" t="str">
        <f ca="1">+WORLDCUP!BD60</f>
        <v>Marruecos</v>
      </c>
      <c r="D42" s="9" t="str">
        <f ca="1">+WORLDCUP!BD64</f>
        <v>Egipto</v>
      </c>
      <c r="E42" s="9" t="str">
        <f ca="1">+WORLDCUP!BD67</f>
        <v>Argelia</v>
      </c>
      <c r="F42" s="9" t="str">
        <f ca="1">+WORLDCUP!BD61</f>
        <v>Paraguay</v>
      </c>
      <c r="G42" s="9" t="str">
        <f ca="1">+WORLDCUP!BD65</f>
        <v>Arabia Saudita</v>
      </c>
      <c r="H42" s="9" t="str">
        <f ca="1">+WORLDCUP!BD63</f>
        <v>Suecia</v>
      </c>
      <c r="I42" s="9" t="str">
        <f ca="1">+WORLDCUP!BD69</f>
        <v>Ghana</v>
      </c>
      <c r="J42" s="9" t="str">
        <f ca="1">+WORLDCUP!BD62</f>
        <v>Ecuador</v>
      </c>
      <c r="N42" s="9" t="s">
        <v>473</v>
      </c>
      <c r="O42" s="9">
        <v>41</v>
      </c>
      <c r="P42" s="9" t="s">
        <v>91</v>
      </c>
      <c r="Q42" s="9" t="s">
        <v>435</v>
      </c>
      <c r="R42" s="9" t="s">
        <v>441</v>
      </c>
      <c r="S42" s="9" t="s">
        <v>92</v>
      </c>
      <c r="T42" s="9" t="s">
        <v>436</v>
      </c>
      <c r="U42" s="9" t="s">
        <v>94</v>
      </c>
      <c r="V42" s="9" t="s">
        <v>443</v>
      </c>
      <c r="W42" s="9" t="s">
        <v>93</v>
      </c>
    </row>
    <row r="43" spans="1:23">
      <c r="A43" s="9" t="s">
        <v>472</v>
      </c>
      <c r="B43" s="9">
        <f ca="1">+IF(A43=WORLDCUP!$BI$112,1,0)</f>
        <v>0</v>
      </c>
      <c r="C43" s="9" t="str">
        <f ca="1">+WORLDCUP!BD60</f>
        <v>Marruecos</v>
      </c>
      <c r="D43" s="9" t="str">
        <f ca="1">+WORLDCUP!BD64</f>
        <v>Egipto</v>
      </c>
      <c r="E43" s="9" t="str">
        <f ca="1">+WORLDCUP!BD67</f>
        <v>Argelia</v>
      </c>
      <c r="F43" s="9" t="str">
        <f ca="1">+WORLDCUP!BD61</f>
        <v>Paraguay</v>
      </c>
      <c r="G43" s="9" t="str">
        <f ca="1">+WORLDCUP!BD65</f>
        <v>Arabia Saudita</v>
      </c>
      <c r="H43" s="9" t="str">
        <f ca="1">+WORLDCUP!BD63</f>
        <v>Suecia</v>
      </c>
      <c r="I43" s="9" t="str">
        <f ca="1">+WORLDCUP!BD62</f>
        <v>Ecuador</v>
      </c>
      <c r="J43" s="9" t="str">
        <f ca="1">+WORLDCUP!BD68</f>
        <v>RD Congo</v>
      </c>
      <c r="N43" s="9" t="s">
        <v>472</v>
      </c>
      <c r="O43" s="9">
        <v>42</v>
      </c>
      <c r="P43" s="9" t="s">
        <v>91</v>
      </c>
      <c r="Q43" s="9" t="s">
        <v>435</v>
      </c>
      <c r="R43" s="9" t="s">
        <v>441</v>
      </c>
      <c r="S43" s="9" t="s">
        <v>92</v>
      </c>
      <c r="T43" s="9" t="s">
        <v>436</v>
      </c>
      <c r="U43" s="9" t="s">
        <v>94</v>
      </c>
      <c r="V43" s="9" t="s">
        <v>93</v>
      </c>
      <c r="W43" s="9" t="s">
        <v>442</v>
      </c>
    </row>
    <row r="44" spans="1:23">
      <c r="A44" s="9" t="s">
        <v>471</v>
      </c>
      <c r="B44" s="9">
        <f ca="1">+IF(A44=WORLDCUP!$BI$112,1,0)</f>
        <v>0</v>
      </c>
      <c r="C44" s="9" t="str">
        <f ca="1">+WORLDCUP!BD60</f>
        <v>Marruecos</v>
      </c>
      <c r="D44" s="9" t="str">
        <f ca="1">+WORLDCUP!BD64</f>
        <v>Egipto</v>
      </c>
      <c r="E44" s="9" t="str">
        <f ca="1">+WORLDCUP!BD62</f>
        <v>Ecuador</v>
      </c>
      <c r="F44" s="9" t="str">
        <f ca="1">+WORLDCUP!BD61</f>
        <v>Paraguay</v>
      </c>
      <c r="G44" s="9" t="str">
        <f ca="1">+WORLDCUP!BD65</f>
        <v>Arabia Saudita</v>
      </c>
      <c r="H44" s="9" t="str">
        <f ca="1">+WORLDCUP!BD63</f>
        <v>Suecia</v>
      </c>
      <c r="I44" s="9" t="str">
        <f ca="1">+WORLDCUP!BD69</f>
        <v>Ghana</v>
      </c>
      <c r="J44" s="9" t="str">
        <f ca="1">+WORLDCUP!BD66</f>
        <v>Senegal</v>
      </c>
      <c r="N44" s="9" t="s">
        <v>471</v>
      </c>
      <c r="O44" s="9">
        <v>43</v>
      </c>
      <c r="P44" s="9" t="s">
        <v>91</v>
      </c>
      <c r="Q44" s="9" t="s">
        <v>435</v>
      </c>
      <c r="R44" s="9" t="s">
        <v>93</v>
      </c>
      <c r="S44" s="9" t="s">
        <v>92</v>
      </c>
      <c r="T44" s="9" t="s">
        <v>436</v>
      </c>
      <c r="U44" s="9" t="s">
        <v>94</v>
      </c>
      <c r="V44" s="9" t="s">
        <v>443</v>
      </c>
      <c r="W44" s="9" t="s">
        <v>440</v>
      </c>
    </row>
    <row r="45" spans="1:23">
      <c r="A45" s="9" t="s">
        <v>470</v>
      </c>
      <c r="B45" s="9">
        <f ca="1">+IF(A45=WORLDCUP!$BI$112,1,0)</f>
        <v>0</v>
      </c>
      <c r="C45" s="9" t="str">
        <f ca="1">+WORLDCUP!BD60</f>
        <v>Marruecos</v>
      </c>
      <c r="D45" s="9" t="str">
        <f ca="1">+WORLDCUP!BD64</f>
        <v>Egipto</v>
      </c>
      <c r="E45" s="9" t="str">
        <f ca="1">+WORLDCUP!BD62</f>
        <v>Ecuador</v>
      </c>
      <c r="F45" s="9" t="str">
        <f ca="1">+WORLDCUP!BD61</f>
        <v>Paraguay</v>
      </c>
      <c r="G45" s="9" t="str">
        <f ca="1">+WORLDCUP!BD65</f>
        <v>Arabia Saudita</v>
      </c>
      <c r="H45" s="9" t="str">
        <f ca="1">+WORLDCUP!BD63</f>
        <v>Suecia</v>
      </c>
      <c r="I45" s="9" t="str">
        <f ca="1">+WORLDCUP!BD66</f>
        <v>Senegal</v>
      </c>
      <c r="J45" s="9" t="str">
        <f ca="1">+WORLDCUP!BD68</f>
        <v>RD Congo</v>
      </c>
      <c r="N45" s="9" t="s">
        <v>470</v>
      </c>
      <c r="O45" s="9">
        <v>44</v>
      </c>
      <c r="P45" s="9" t="s">
        <v>91</v>
      </c>
      <c r="Q45" s="9" t="s">
        <v>435</v>
      </c>
      <c r="R45" s="9" t="s">
        <v>93</v>
      </c>
      <c r="S45" s="9" t="s">
        <v>92</v>
      </c>
      <c r="T45" s="9" t="s">
        <v>436</v>
      </c>
      <c r="U45" s="9" t="s">
        <v>94</v>
      </c>
      <c r="V45" s="9" t="s">
        <v>440</v>
      </c>
      <c r="W45" s="9" t="s">
        <v>442</v>
      </c>
    </row>
    <row r="46" spans="1:23">
      <c r="A46" s="9" t="s">
        <v>469</v>
      </c>
      <c r="B46" s="9">
        <f ca="1">+IF(A46=WORLDCUP!$BI$112,1,0)</f>
        <v>0</v>
      </c>
      <c r="C46" s="9" t="str">
        <f ca="1">+WORLDCUP!BD60</f>
        <v>Marruecos</v>
      </c>
      <c r="D46" s="9" t="str">
        <f ca="1">+WORLDCUP!BD64</f>
        <v>Egipto</v>
      </c>
      <c r="E46" s="9" t="str">
        <f ca="1">+WORLDCUP!BD67</f>
        <v>Argelia</v>
      </c>
      <c r="F46" s="9" t="str">
        <f ca="1">+WORLDCUP!BD61</f>
        <v>Paraguay</v>
      </c>
      <c r="G46" s="9" t="str">
        <f ca="1">+WORLDCUP!BD65</f>
        <v>Arabia Saudita</v>
      </c>
      <c r="H46" s="9" t="str">
        <f ca="1">+WORLDCUP!BD63</f>
        <v>Suecia</v>
      </c>
      <c r="I46" s="9" t="str">
        <f ca="1">+WORLDCUP!BD62</f>
        <v>Ecuador</v>
      </c>
      <c r="J46" s="9" t="str">
        <f ca="1">+WORLDCUP!BD66</f>
        <v>Senegal</v>
      </c>
      <c r="N46" s="9" t="s">
        <v>469</v>
      </c>
      <c r="O46" s="9">
        <v>45</v>
      </c>
      <c r="P46" s="9" t="s">
        <v>91</v>
      </c>
      <c r="Q46" s="9" t="s">
        <v>435</v>
      </c>
      <c r="R46" s="9" t="s">
        <v>441</v>
      </c>
      <c r="S46" s="9" t="s">
        <v>92</v>
      </c>
      <c r="T46" s="9" t="s">
        <v>436</v>
      </c>
      <c r="U46" s="9" t="s">
        <v>94</v>
      </c>
      <c r="V46" s="9" t="s">
        <v>93</v>
      </c>
      <c r="W46" s="9" t="s">
        <v>440</v>
      </c>
    </row>
    <row r="47" spans="1:23">
      <c r="A47" s="9" t="s">
        <v>606</v>
      </c>
      <c r="B47" s="9">
        <f ca="1">+IF(A47=WORLDCUP!$BI$112,1,0)</f>
        <v>0</v>
      </c>
      <c r="C47" s="9" t="str">
        <f ca="1">+WORLDCUP!BD65</f>
        <v>Arabia Saudita</v>
      </c>
      <c r="D47" s="9" t="str">
        <f ca="1">+WORLDCUP!BD67</f>
        <v>Argelia</v>
      </c>
      <c r="E47" s="9" t="str">
        <f ca="1">+WORLDCUP!BD59</f>
        <v>Canadá</v>
      </c>
      <c r="F47" s="9" t="str">
        <f ca="1">+WORLDCUP!BD63</f>
        <v>Suecia</v>
      </c>
      <c r="G47" s="9" t="str">
        <f ca="1">+WORLDCUP!BD66</f>
        <v>Senegal</v>
      </c>
      <c r="H47" s="9" t="str">
        <f ca="1">+WORLDCUP!BD64</f>
        <v>Egipto</v>
      </c>
      <c r="I47" s="9" t="str">
        <f ca="1">+WORLDCUP!BD69</f>
        <v>Ghana</v>
      </c>
      <c r="J47" s="9" t="str">
        <f ca="1">+WORLDCUP!BD68</f>
        <v>RD Congo</v>
      </c>
      <c r="N47" s="9" t="s">
        <v>606</v>
      </c>
      <c r="O47" s="9">
        <v>46</v>
      </c>
      <c r="P47" s="9" t="s">
        <v>436</v>
      </c>
      <c r="Q47" s="9" t="s">
        <v>441</v>
      </c>
      <c r="R47" s="9" t="s">
        <v>90</v>
      </c>
      <c r="S47" s="9" t="s">
        <v>94</v>
      </c>
      <c r="T47" s="9" t="s">
        <v>440</v>
      </c>
      <c r="U47" s="9" t="s">
        <v>435</v>
      </c>
      <c r="V47" s="9" t="s">
        <v>443</v>
      </c>
      <c r="W47" s="9" t="s">
        <v>442</v>
      </c>
    </row>
    <row r="48" spans="1:23">
      <c r="A48" s="9" t="s">
        <v>1160</v>
      </c>
      <c r="B48" s="9">
        <f ca="1">+IF(A48=WORLDCUP!$BI$112,1,0)</f>
        <v>0</v>
      </c>
      <c r="C48" s="9" t="str">
        <f ca="1">+WORLDCUP!BD62</f>
        <v>Ecuador</v>
      </c>
      <c r="D48" s="9" t="str">
        <f ca="1">+WORLDCUP!BD67</f>
        <v>Argelia</v>
      </c>
      <c r="E48" s="9" t="str">
        <f ca="1">+WORLDCUP!BD66</f>
        <v>Senegal</v>
      </c>
      <c r="F48" s="9" t="str">
        <f ca="1">+WORLDCUP!BD59</f>
        <v>Canadá</v>
      </c>
      <c r="G48" s="9" t="str">
        <f ca="1">+WORLDCUP!BD65</f>
        <v>Arabia Saudita</v>
      </c>
      <c r="H48" s="9" t="str">
        <f ca="1">+WORLDCUP!BD64</f>
        <v>Egipto</v>
      </c>
      <c r="I48" s="9" t="str">
        <f ca="1">+WORLDCUP!BD69</f>
        <v>Ghana</v>
      </c>
      <c r="J48" s="9" t="str">
        <f ca="1">+WORLDCUP!BD68</f>
        <v>RD Congo</v>
      </c>
      <c r="N48" s="9" t="s">
        <v>1160</v>
      </c>
      <c r="O48" s="9">
        <v>47</v>
      </c>
      <c r="P48" s="9" t="s">
        <v>93</v>
      </c>
      <c r="Q48" s="9" t="s">
        <v>441</v>
      </c>
      <c r="R48" s="9" t="s">
        <v>440</v>
      </c>
      <c r="S48" s="9" t="s">
        <v>90</v>
      </c>
      <c r="T48" s="9" t="s">
        <v>436</v>
      </c>
      <c r="U48" s="9" t="s">
        <v>435</v>
      </c>
      <c r="V48" s="9" t="s">
        <v>443</v>
      </c>
      <c r="W48" s="9" t="s">
        <v>442</v>
      </c>
    </row>
    <row r="49" spans="1:23">
      <c r="A49" s="9" t="s">
        <v>1159</v>
      </c>
      <c r="B49" s="9">
        <f ca="1">+IF(A49=WORLDCUP!$BI$112,1,0)</f>
        <v>0</v>
      </c>
      <c r="C49" s="9" t="str">
        <f ca="1">+WORLDCUP!BD62</f>
        <v>Ecuador</v>
      </c>
      <c r="D49" s="9" t="str">
        <f ca="1">+WORLDCUP!BD67</f>
        <v>Argelia</v>
      </c>
      <c r="E49" s="9" t="str">
        <f ca="1">+WORLDCUP!BD59</f>
        <v>Canadá</v>
      </c>
      <c r="F49" s="9" t="str">
        <f ca="1">+WORLDCUP!BD63</f>
        <v>Suecia</v>
      </c>
      <c r="G49" s="9" t="str">
        <f ca="1">+WORLDCUP!BD66</f>
        <v>Senegal</v>
      </c>
      <c r="H49" s="9" t="str">
        <f ca="1">+WORLDCUP!BD65</f>
        <v>Arabia Saudita</v>
      </c>
      <c r="I49" s="9" t="str">
        <f ca="1">+WORLDCUP!BD69</f>
        <v>Ghana</v>
      </c>
      <c r="J49" s="9" t="str">
        <f ca="1">+WORLDCUP!BD68</f>
        <v>RD Congo</v>
      </c>
      <c r="N49" s="9" t="s">
        <v>1159</v>
      </c>
      <c r="O49" s="9">
        <v>48</v>
      </c>
      <c r="P49" s="9" t="s">
        <v>93</v>
      </c>
      <c r="Q49" s="9" t="s">
        <v>441</v>
      </c>
      <c r="R49" s="9" t="s">
        <v>90</v>
      </c>
      <c r="S49" s="9" t="s">
        <v>94</v>
      </c>
      <c r="T49" s="9" t="s">
        <v>440</v>
      </c>
      <c r="U49" s="9" t="s">
        <v>436</v>
      </c>
      <c r="V49" s="9" t="s">
        <v>443</v>
      </c>
      <c r="W49" s="9" t="s">
        <v>442</v>
      </c>
    </row>
    <row r="50" spans="1:23">
      <c r="A50" s="9" t="s">
        <v>1158</v>
      </c>
      <c r="B50" s="9">
        <f ca="1">+IF(A50=WORLDCUP!$BI$112,1,0)</f>
        <v>0</v>
      </c>
      <c r="C50" s="9" t="str">
        <f ca="1">+WORLDCUP!BD62</f>
        <v>Ecuador</v>
      </c>
      <c r="D50" s="9" t="str">
        <f ca="1">+WORLDCUP!BD67</f>
        <v>Argelia</v>
      </c>
      <c r="E50" s="9" t="str">
        <f ca="1">+WORLDCUP!BD59</f>
        <v>Canadá</v>
      </c>
      <c r="F50" s="9" t="str">
        <f ca="1">+WORLDCUP!BD63</f>
        <v>Suecia</v>
      </c>
      <c r="G50" s="9" t="str">
        <f ca="1">+WORLDCUP!BD66</f>
        <v>Senegal</v>
      </c>
      <c r="H50" s="9" t="str">
        <f ca="1">+WORLDCUP!BD64</f>
        <v>Egipto</v>
      </c>
      <c r="I50" s="9" t="str">
        <f ca="1">+WORLDCUP!BD69</f>
        <v>Ghana</v>
      </c>
      <c r="J50" s="9" t="str">
        <f ca="1">+WORLDCUP!BD68</f>
        <v>RD Congo</v>
      </c>
      <c r="N50" s="9" t="s">
        <v>1158</v>
      </c>
      <c r="O50" s="9">
        <v>49</v>
      </c>
      <c r="P50" s="9" t="s">
        <v>93</v>
      </c>
      <c r="Q50" s="9" t="s">
        <v>441</v>
      </c>
      <c r="R50" s="9" t="s">
        <v>90</v>
      </c>
      <c r="S50" s="9" t="s">
        <v>94</v>
      </c>
      <c r="T50" s="9" t="s">
        <v>440</v>
      </c>
      <c r="U50" s="9" t="s">
        <v>435</v>
      </c>
      <c r="V50" s="9" t="s">
        <v>443</v>
      </c>
      <c r="W50" s="9" t="s">
        <v>442</v>
      </c>
    </row>
    <row r="51" spans="1:23">
      <c r="A51" s="9" t="s">
        <v>1157</v>
      </c>
      <c r="B51" s="9">
        <f ca="1">+IF(A51=WORLDCUP!$BI$112,1,0)</f>
        <v>0</v>
      </c>
      <c r="C51" s="9" t="str">
        <f ca="1">+WORLDCUP!BD62</f>
        <v>Ecuador</v>
      </c>
      <c r="D51" s="9" t="str">
        <f ca="1">+WORLDCUP!BD67</f>
        <v>Argelia</v>
      </c>
      <c r="E51" s="9" t="str">
        <f ca="1">+WORLDCUP!BD59</f>
        <v>Canadá</v>
      </c>
      <c r="F51" s="9" t="str">
        <f ca="1">+WORLDCUP!BD63</f>
        <v>Suecia</v>
      </c>
      <c r="G51" s="9" t="str">
        <f ca="1">+WORLDCUP!BD65</f>
        <v>Arabia Saudita</v>
      </c>
      <c r="H51" s="9" t="str">
        <f ca="1">+WORLDCUP!BD64</f>
        <v>Egipto</v>
      </c>
      <c r="I51" s="9" t="str">
        <f ca="1">+WORLDCUP!BD69</f>
        <v>Ghana</v>
      </c>
      <c r="J51" s="9" t="str">
        <f ca="1">+WORLDCUP!BD68</f>
        <v>RD Congo</v>
      </c>
      <c r="N51" s="9" t="s">
        <v>1157</v>
      </c>
      <c r="O51" s="9">
        <v>50</v>
      </c>
      <c r="P51" s="9" t="s">
        <v>93</v>
      </c>
      <c r="Q51" s="9" t="s">
        <v>441</v>
      </c>
      <c r="R51" s="9" t="s">
        <v>90</v>
      </c>
      <c r="S51" s="9" t="s">
        <v>94</v>
      </c>
      <c r="T51" s="9" t="s">
        <v>436</v>
      </c>
      <c r="U51" s="9" t="s">
        <v>435</v>
      </c>
      <c r="V51" s="9" t="s">
        <v>443</v>
      </c>
      <c r="W51" s="9" t="s">
        <v>442</v>
      </c>
    </row>
    <row r="52" spans="1:23">
      <c r="A52" s="9" t="s">
        <v>605</v>
      </c>
      <c r="B52" s="9">
        <f ca="1">+IF(A52=WORLDCUP!$BI$112,1,0)</f>
        <v>0</v>
      </c>
      <c r="C52" s="9" t="str">
        <f ca="1">+WORLDCUP!BD62</f>
        <v>Ecuador</v>
      </c>
      <c r="D52" s="9" t="str">
        <f ca="1">+WORLDCUP!BD64</f>
        <v>Egipto</v>
      </c>
      <c r="E52" s="9" t="str">
        <f ca="1">+WORLDCUP!BD59</f>
        <v>Canadá</v>
      </c>
      <c r="F52" s="9" t="str">
        <f ca="1">+WORLDCUP!BD63</f>
        <v>Suecia</v>
      </c>
      <c r="G52" s="9" t="str">
        <f ca="1">+WORLDCUP!BD66</f>
        <v>Senegal</v>
      </c>
      <c r="H52" s="9" t="str">
        <f ca="1">+WORLDCUP!BD65</f>
        <v>Arabia Saudita</v>
      </c>
      <c r="I52" s="9" t="str">
        <f ca="1">+WORLDCUP!BD69</f>
        <v>Ghana</v>
      </c>
      <c r="J52" s="9" t="str">
        <f ca="1">+WORLDCUP!BD68</f>
        <v>RD Congo</v>
      </c>
      <c r="N52" s="9" t="s">
        <v>605</v>
      </c>
      <c r="O52" s="9">
        <v>51</v>
      </c>
      <c r="P52" s="9" t="s">
        <v>93</v>
      </c>
      <c r="Q52" s="9" t="s">
        <v>435</v>
      </c>
      <c r="R52" s="9" t="s">
        <v>90</v>
      </c>
      <c r="S52" s="9" t="s">
        <v>94</v>
      </c>
      <c r="T52" s="9" t="s">
        <v>440</v>
      </c>
      <c r="U52" s="9" t="s">
        <v>436</v>
      </c>
      <c r="V52" s="9" t="s">
        <v>443</v>
      </c>
      <c r="W52" s="9" t="s">
        <v>442</v>
      </c>
    </row>
    <row r="53" spans="1:23">
      <c r="A53" s="9" t="s">
        <v>604</v>
      </c>
      <c r="B53" s="9">
        <f ca="1">+IF(A53=WORLDCUP!$BI$112,1,0)</f>
        <v>0</v>
      </c>
      <c r="C53" s="9" t="str">
        <f ca="1">+WORLDCUP!BD62</f>
        <v>Ecuador</v>
      </c>
      <c r="D53" s="9" t="str">
        <f ca="1">+WORLDCUP!BD67</f>
        <v>Argelia</v>
      </c>
      <c r="E53" s="9" t="str">
        <f ca="1">+WORLDCUP!BD59</f>
        <v>Canadá</v>
      </c>
      <c r="F53" s="9" t="str">
        <f ca="1">+WORLDCUP!BD63</f>
        <v>Suecia</v>
      </c>
      <c r="G53" s="9" t="str">
        <f ca="1">+WORLDCUP!BD65</f>
        <v>Arabia Saudita</v>
      </c>
      <c r="H53" s="9" t="str">
        <f ca="1">+WORLDCUP!BD64</f>
        <v>Egipto</v>
      </c>
      <c r="I53" s="9" t="str">
        <f ca="1">+WORLDCUP!BD69</f>
        <v>Ghana</v>
      </c>
      <c r="J53" s="9" t="str">
        <f ca="1">+WORLDCUP!BD66</f>
        <v>Senegal</v>
      </c>
      <c r="N53" s="9" t="s">
        <v>604</v>
      </c>
      <c r="O53" s="9">
        <v>52</v>
      </c>
      <c r="P53" s="9" t="s">
        <v>93</v>
      </c>
      <c r="Q53" s="9" t="s">
        <v>441</v>
      </c>
      <c r="R53" s="9" t="s">
        <v>90</v>
      </c>
      <c r="S53" s="9" t="s">
        <v>94</v>
      </c>
      <c r="T53" s="9" t="s">
        <v>436</v>
      </c>
      <c r="U53" s="9" t="s">
        <v>435</v>
      </c>
      <c r="V53" s="9" t="s">
        <v>443</v>
      </c>
      <c r="W53" s="9" t="s">
        <v>440</v>
      </c>
    </row>
    <row r="54" spans="1:23">
      <c r="A54" s="9" t="s">
        <v>603</v>
      </c>
      <c r="B54" s="9">
        <f ca="1">+IF(A54=WORLDCUP!$BI$112,1,0)</f>
        <v>0</v>
      </c>
      <c r="C54" s="9" t="str">
        <f ca="1">+WORLDCUP!BD62</f>
        <v>Ecuador</v>
      </c>
      <c r="D54" s="9" t="str">
        <f ca="1">+WORLDCUP!BD67</f>
        <v>Argelia</v>
      </c>
      <c r="E54" s="9" t="str">
        <f ca="1">+WORLDCUP!BD59</f>
        <v>Canadá</v>
      </c>
      <c r="F54" s="9" t="str">
        <f ca="1">+WORLDCUP!BD63</f>
        <v>Suecia</v>
      </c>
      <c r="G54" s="9" t="str">
        <f ca="1">+WORLDCUP!BD65</f>
        <v>Arabia Saudita</v>
      </c>
      <c r="H54" s="9" t="str">
        <f ca="1">+WORLDCUP!BD64</f>
        <v>Egipto</v>
      </c>
      <c r="I54" s="9" t="str">
        <f ca="1">+WORLDCUP!BD66</f>
        <v>Senegal</v>
      </c>
      <c r="J54" s="9" t="str">
        <f ca="1">+WORLDCUP!BD68</f>
        <v>RD Congo</v>
      </c>
      <c r="N54" s="9" t="s">
        <v>603</v>
      </c>
      <c r="O54" s="9">
        <v>53</v>
      </c>
      <c r="P54" s="9" t="s">
        <v>93</v>
      </c>
      <c r="Q54" s="9" t="s">
        <v>441</v>
      </c>
      <c r="R54" s="9" t="s">
        <v>90</v>
      </c>
      <c r="S54" s="9" t="s">
        <v>94</v>
      </c>
      <c r="T54" s="9" t="s">
        <v>436</v>
      </c>
      <c r="U54" s="9" t="s">
        <v>435</v>
      </c>
      <c r="V54" s="9" t="s">
        <v>440</v>
      </c>
      <c r="W54" s="9" t="s">
        <v>442</v>
      </c>
    </row>
    <row r="55" spans="1:23">
      <c r="A55" s="9" t="s">
        <v>1156</v>
      </c>
      <c r="B55" s="9">
        <f ca="1">+IF(A55=WORLDCUP!$BI$112,1,0)</f>
        <v>0</v>
      </c>
      <c r="C55" s="9" t="str">
        <f ca="1">+WORLDCUP!BD65</f>
        <v>Arabia Saudita</v>
      </c>
      <c r="D55" s="9" t="str">
        <f ca="1">+WORLDCUP!BD67</f>
        <v>Argelia</v>
      </c>
      <c r="E55" s="9" t="str">
        <f ca="1">+WORLDCUP!BD59</f>
        <v>Canadá</v>
      </c>
      <c r="F55" s="9" t="str">
        <f ca="1">+WORLDCUP!BD61</f>
        <v>Paraguay</v>
      </c>
      <c r="G55" s="9" t="str">
        <f ca="1">+WORLDCUP!BD66</f>
        <v>Senegal</v>
      </c>
      <c r="H55" s="9" t="str">
        <f ca="1">+WORLDCUP!BD64</f>
        <v>Egipto</v>
      </c>
      <c r="I55" s="9" t="str">
        <f ca="1">+WORLDCUP!BD69</f>
        <v>Ghana</v>
      </c>
      <c r="J55" s="9" t="str">
        <f ca="1">+WORLDCUP!BD68</f>
        <v>RD Congo</v>
      </c>
      <c r="N55" s="9" t="s">
        <v>1156</v>
      </c>
      <c r="O55" s="9">
        <v>54</v>
      </c>
      <c r="P55" s="9" t="s">
        <v>436</v>
      </c>
      <c r="Q55" s="9" t="s">
        <v>441</v>
      </c>
      <c r="R55" s="9" t="s">
        <v>90</v>
      </c>
      <c r="S55" s="9" t="s">
        <v>92</v>
      </c>
      <c r="T55" s="9" t="s">
        <v>440</v>
      </c>
      <c r="U55" s="9" t="s">
        <v>435</v>
      </c>
      <c r="V55" s="9" t="s">
        <v>443</v>
      </c>
      <c r="W55" s="9" t="s">
        <v>442</v>
      </c>
    </row>
    <row r="56" spans="1:23">
      <c r="A56" s="9" t="s">
        <v>1155</v>
      </c>
      <c r="B56" s="9">
        <f ca="1">+IF(A56=WORLDCUP!$BI$112,1,0)</f>
        <v>0</v>
      </c>
      <c r="C56" s="9" t="str">
        <f ca="1">+WORLDCUP!BD65</f>
        <v>Arabia Saudita</v>
      </c>
      <c r="D56" s="9" t="str">
        <f ca="1">+WORLDCUP!BD67</f>
        <v>Argelia</v>
      </c>
      <c r="E56" s="9" t="str">
        <f ca="1">+WORLDCUP!BD59</f>
        <v>Canadá</v>
      </c>
      <c r="F56" s="9" t="str">
        <f ca="1">+WORLDCUP!BD61</f>
        <v>Paraguay</v>
      </c>
      <c r="G56" s="9" t="str">
        <f ca="1">+WORLDCUP!BD66</f>
        <v>Senegal</v>
      </c>
      <c r="H56" s="9" t="str">
        <f ca="1">+WORLDCUP!BD63</f>
        <v>Suecia</v>
      </c>
      <c r="I56" s="9" t="str">
        <f ca="1">+WORLDCUP!BD69</f>
        <v>Ghana</v>
      </c>
      <c r="J56" s="9" t="str">
        <f ca="1">+WORLDCUP!BD68</f>
        <v>RD Congo</v>
      </c>
      <c r="N56" s="9" t="s">
        <v>1155</v>
      </c>
      <c r="O56" s="9">
        <v>55</v>
      </c>
      <c r="P56" s="9" t="s">
        <v>436</v>
      </c>
      <c r="Q56" s="9" t="s">
        <v>441</v>
      </c>
      <c r="R56" s="9" t="s">
        <v>90</v>
      </c>
      <c r="S56" s="9" t="s">
        <v>92</v>
      </c>
      <c r="T56" s="9" t="s">
        <v>440</v>
      </c>
      <c r="U56" s="9" t="s">
        <v>94</v>
      </c>
      <c r="V56" s="9" t="s">
        <v>443</v>
      </c>
      <c r="W56" s="9" t="s">
        <v>442</v>
      </c>
    </row>
    <row r="57" spans="1:23">
      <c r="A57" s="9" t="s">
        <v>1154</v>
      </c>
      <c r="B57" s="9">
        <f ca="1">+IF(A57=WORLDCUP!$BI$112,1,0)</f>
        <v>0</v>
      </c>
      <c r="C57" s="9" t="str">
        <f ca="1">+WORLDCUP!BD66</f>
        <v>Senegal</v>
      </c>
      <c r="D57" s="9" t="str">
        <f ca="1">+WORLDCUP!BD64</f>
        <v>Egipto</v>
      </c>
      <c r="E57" s="9" t="str">
        <f ca="1">+WORLDCUP!BD59</f>
        <v>Canadá</v>
      </c>
      <c r="F57" s="9" t="str">
        <f ca="1">+WORLDCUP!BD61</f>
        <v>Paraguay</v>
      </c>
      <c r="G57" s="9" t="str">
        <f ca="1">+WORLDCUP!BD67</f>
        <v>Argelia</v>
      </c>
      <c r="H57" s="9" t="str">
        <f ca="1">+WORLDCUP!BD63</f>
        <v>Suecia</v>
      </c>
      <c r="I57" s="9" t="str">
        <f ca="1">+WORLDCUP!BD69</f>
        <v>Ghana</v>
      </c>
      <c r="J57" s="9" t="str">
        <f ca="1">+WORLDCUP!BD68</f>
        <v>RD Congo</v>
      </c>
      <c r="N57" s="9" t="s">
        <v>1154</v>
      </c>
      <c r="O57" s="9">
        <v>56</v>
      </c>
      <c r="P57" s="9" t="s">
        <v>440</v>
      </c>
      <c r="Q57" s="9" t="s">
        <v>435</v>
      </c>
      <c r="R57" s="9" t="s">
        <v>90</v>
      </c>
      <c r="S57" s="9" t="s">
        <v>92</v>
      </c>
      <c r="T57" s="9" t="s">
        <v>441</v>
      </c>
      <c r="U57" s="9" t="s">
        <v>94</v>
      </c>
      <c r="V57" s="9" t="s">
        <v>443</v>
      </c>
      <c r="W57" s="9" t="s">
        <v>442</v>
      </c>
    </row>
    <row r="58" spans="1:23">
      <c r="A58" s="9" t="s">
        <v>1153</v>
      </c>
      <c r="B58" s="9">
        <f ca="1">+IF(A58=WORLDCUP!$BI$112,1,0)</f>
        <v>0</v>
      </c>
      <c r="C58" s="9" t="str">
        <f ca="1">+WORLDCUP!BD65</f>
        <v>Arabia Saudita</v>
      </c>
      <c r="D58" s="9" t="str">
        <f ca="1">+WORLDCUP!BD64</f>
        <v>Egipto</v>
      </c>
      <c r="E58" s="9" t="str">
        <f ca="1">+WORLDCUP!BD59</f>
        <v>Canadá</v>
      </c>
      <c r="F58" s="9" t="str">
        <f ca="1">+WORLDCUP!BD61</f>
        <v>Paraguay</v>
      </c>
      <c r="G58" s="9" t="str">
        <f ca="1">+WORLDCUP!BD67</f>
        <v>Argelia</v>
      </c>
      <c r="H58" s="9" t="str">
        <f ca="1">+WORLDCUP!BD63</f>
        <v>Suecia</v>
      </c>
      <c r="I58" s="9" t="str">
        <f ca="1">+WORLDCUP!BD69</f>
        <v>Ghana</v>
      </c>
      <c r="J58" s="9" t="str">
        <f ca="1">+WORLDCUP!BD68</f>
        <v>RD Congo</v>
      </c>
      <c r="N58" s="9" t="s">
        <v>1153</v>
      </c>
      <c r="O58" s="9">
        <v>57</v>
      </c>
      <c r="P58" s="9" t="s">
        <v>436</v>
      </c>
      <c r="Q58" s="9" t="s">
        <v>435</v>
      </c>
      <c r="R58" s="9" t="s">
        <v>90</v>
      </c>
      <c r="S58" s="9" t="s">
        <v>92</v>
      </c>
      <c r="T58" s="9" t="s">
        <v>441</v>
      </c>
      <c r="U58" s="9" t="s">
        <v>94</v>
      </c>
      <c r="V58" s="9" t="s">
        <v>443</v>
      </c>
      <c r="W58" s="9" t="s">
        <v>442</v>
      </c>
    </row>
    <row r="59" spans="1:23">
      <c r="A59" s="9" t="s">
        <v>1152</v>
      </c>
      <c r="B59" s="9">
        <f ca="1">+IF(A59=WORLDCUP!$BI$112,1,0)</f>
        <v>0</v>
      </c>
      <c r="C59" s="9" t="str">
        <f ca="1">+WORLDCUP!BD65</f>
        <v>Arabia Saudita</v>
      </c>
      <c r="D59" s="9" t="str">
        <f ca="1">+WORLDCUP!BD64</f>
        <v>Egipto</v>
      </c>
      <c r="E59" s="9" t="str">
        <f ca="1">+WORLDCUP!BD59</f>
        <v>Canadá</v>
      </c>
      <c r="F59" s="9" t="str">
        <f ca="1">+WORLDCUP!BD61</f>
        <v>Paraguay</v>
      </c>
      <c r="G59" s="9" t="str">
        <f ca="1">+WORLDCUP!BD66</f>
        <v>Senegal</v>
      </c>
      <c r="H59" s="9" t="str">
        <f ca="1">+WORLDCUP!BD63</f>
        <v>Suecia</v>
      </c>
      <c r="I59" s="9" t="str">
        <f ca="1">+WORLDCUP!BD69</f>
        <v>Ghana</v>
      </c>
      <c r="J59" s="9" t="str">
        <f ca="1">+WORLDCUP!BD68</f>
        <v>RD Congo</v>
      </c>
      <c r="N59" s="9" t="s">
        <v>1152</v>
      </c>
      <c r="O59" s="9">
        <v>58</v>
      </c>
      <c r="P59" s="9" t="s">
        <v>436</v>
      </c>
      <c r="Q59" s="9" t="s">
        <v>435</v>
      </c>
      <c r="R59" s="9" t="s">
        <v>90</v>
      </c>
      <c r="S59" s="9" t="s">
        <v>92</v>
      </c>
      <c r="T59" s="9" t="s">
        <v>440</v>
      </c>
      <c r="U59" s="9" t="s">
        <v>94</v>
      </c>
      <c r="V59" s="9" t="s">
        <v>443</v>
      </c>
      <c r="W59" s="9" t="s">
        <v>442</v>
      </c>
    </row>
    <row r="60" spans="1:23">
      <c r="A60" s="9" t="s">
        <v>1151</v>
      </c>
      <c r="B60" s="9">
        <f ca="1">+IF(A60=WORLDCUP!$BI$112,1,0)</f>
        <v>0</v>
      </c>
      <c r="C60" s="9" t="str">
        <f ca="1">+WORLDCUP!BD65</f>
        <v>Arabia Saudita</v>
      </c>
      <c r="D60" s="9" t="str">
        <f ca="1">+WORLDCUP!BD64</f>
        <v>Egipto</v>
      </c>
      <c r="E60" s="9" t="str">
        <f ca="1">+WORLDCUP!BD59</f>
        <v>Canadá</v>
      </c>
      <c r="F60" s="9" t="str">
        <f ca="1">+WORLDCUP!BD61</f>
        <v>Paraguay</v>
      </c>
      <c r="G60" s="9" t="str">
        <f ca="1">+WORLDCUP!BD67</f>
        <v>Argelia</v>
      </c>
      <c r="H60" s="9" t="str">
        <f ca="1">+WORLDCUP!BD63</f>
        <v>Suecia</v>
      </c>
      <c r="I60" s="9" t="str">
        <f ca="1">+WORLDCUP!BD69</f>
        <v>Ghana</v>
      </c>
      <c r="J60" s="9" t="str">
        <f ca="1">+WORLDCUP!BD66</f>
        <v>Senegal</v>
      </c>
      <c r="N60" s="9" t="s">
        <v>1151</v>
      </c>
      <c r="O60" s="9">
        <v>59</v>
      </c>
      <c r="P60" s="9" t="s">
        <v>436</v>
      </c>
      <c r="Q60" s="9" t="s">
        <v>435</v>
      </c>
      <c r="R60" s="9" t="s">
        <v>90</v>
      </c>
      <c r="S60" s="9" t="s">
        <v>92</v>
      </c>
      <c r="T60" s="9" t="s">
        <v>441</v>
      </c>
      <c r="U60" s="9" t="s">
        <v>94</v>
      </c>
      <c r="V60" s="9" t="s">
        <v>443</v>
      </c>
      <c r="W60" s="9" t="s">
        <v>440</v>
      </c>
    </row>
    <row r="61" spans="1:23">
      <c r="A61" s="9" t="s">
        <v>1150</v>
      </c>
      <c r="B61" s="9">
        <f ca="1">+IF(A61=WORLDCUP!$BI$112,1,0)</f>
        <v>0</v>
      </c>
      <c r="C61" s="9" t="str">
        <f ca="1">+WORLDCUP!BD65</f>
        <v>Arabia Saudita</v>
      </c>
      <c r="D61" s="9" t="str">
        <f ca="1">+WORLDCUP!BD64</f>
        <v>Egipto</v>
      </c>
      <c r="E61" s="9" t="str">
        <f ca="1">+WORLDCUP!BD59</f>
        <v>Canadá</v>
      </c>
      <c r="F61" s="9" t="str">
        <f ca="1">+WORLDCUP!BD61</f>
        <v>Paraguay</v>
      </c>
      <c r="G61" s="9" t="str">
        <f ca="1">+WORLDCUP!BD67</f>
        <v>Argelia</v>
      </c>
      <c r="H61" s="9" t="str">
        <f ca="1">+WORLDCUP!BD63</f>
        <v>Suecia</v>
      </c>
      <c r="I61" s="9" t="str">
        <f ca="1">+WORLDCUP!BD66</f>
        <v>Senegal</v>
      </c>
      <c r="J61" s="9" t="str">
        <f ca="1">+WORLDCUP!BD68</f>
        <v>RD Congo</v>
      </c>
      <c r="N61" s="9" t="s">
        <v>1150</v>
      </c>
      <c r="O61" s="9">
        <v>60</v>
      </c>
      <c r="P61" s="9" t="s">
        <v>436</v>
      </c>
      <c r="Q61" s="9" t="s">
        <v>435</v>
      </c>
      <c r="R61" s="9" t="s">
        <v>90</v>
      </c>
      <c r="S61" s="9" t="s">
        <v>92</v>
      </c>
      <c r="T61" s="9" t="s">
        <v>441</v>
      </c>
      <c r="U61" s="9" t="s">
        <v>94</v>
      </c>
      <c r="V61" s="9" t="s">
        <v>440</v>
      </c>
      <c r="W61" s="9" t="s">
        <v>442</v>
      </c>
    </row>
    <row r="62" spans="1:23">
      <c r="A62" s="9" t="s">
        <v>1149</v>
      </c>
      <c r="B62" s="9">
        <f ca="1">+IF(A62=WORLDCUP!$BI$112,1,0)</f>
        <v>0</v>
      </c>
      <c r="C62" s="9" t="str">
        <f ca="1">+WORLDCUP!BD62</f>
        <v>Ecuador</v>
      </c>
      <c r="D62" s="9" t="str">
        <f ca="1">+WORLDCUP!BD67</f>
        <v>Argelia</v>
      </c>
      <c r="E62" s="9" t="str">
        <f ca="1">+WORLDCUP!BD59</f>
        <v>Canadá</v>
      </c>
      <c r="F62" s="9" t="str">
        <f ca="1">+WORLDCUP!BD61</f>
        <v>Paraguay</v>
      </c>
      <c r="G62" s="9" t="str">
        <f ca="1">+WORLDCUP!BD66</f>
        <v>Senegal</v>
      </c>
      <c r="H62" s="9" t="str">
        <f ca="1">+WORLDCUP!BD65</f>
        <v>Arabia Saudita</v>
      </c>
      <c r="I62" s="9" t="str">
        <f ca="1">+WORLDCUP!BD69</f>
        <v>Ghana</v>
      </c>
      <c r="J62" s="9" t="str">
        <f ca="1">+WORLDCUP!BD68</f>
        <v>RD Congo</v>
      </c>
      <c r="N62" s="9" t="s">
        <v>1149</v>
      </c>
      <c r="O62" s="9">
        <v>61</v>
      </c>
      <c r="P62" s="9" t="s">
        <v>93</v>
      </c>
      <c r="Q62" s="9" t="s">
        <v>441</v>
      </c>
      <c r="R62" s="9" t="s">
        <v>90</v>
      </c>
      <c r="S62" s="9" t="s">
        <v>92</v>
      </c>
      <c r="T62" s="9" t="s">
        <v>440</v>
      </c>
      <c r="U62" s="9" t="s">
        <v>436</v>
      </c>
      <c r="V62" s="9" t="s">
        <v>443</v>
      </c>
      <c r="W62" s="9" t="s">
        <v>442</v>
      </c>
    </row>
    <row r="63" spans="1:23">
      <c r="A63" s="9" t="s">
        <v>1148</v>
      </c>
      <c r="B63" s="9">
        <f ca="1">+IF(A63=WORLDCUP!$BI$112,1,0)</f>
        <v>0</v>
      </c>
      <c r="C63" s="9" t="str">
        <f ca="1">+WORLDCUP!BD62</f>
        <v>Ecuador</v>
      </c>
      <c r="D63" s="9" t="str">
        <f ca="1">+WORLDCUP!BD67</f>
        <v>Argelia</v>
      </c>
      <c r="E63" s="9" t="str">
        <f ca="1">+WORLDCUP!BD59</f>
        <v>Canadá</v>
      </c>
      <c r="F63" s="9" t="str">
        <f ca="1">+WORLDCUP!BD61</f>
        <v>Paraguay</v>
      </c>
      <c r="G63" s="9" t="str">
        <f ca="1">+WORLDCUP!BD66</f>
        <v>Senegal</v>
      </c>
      <c r="H63" s="9" t="str">
        <f ca="1">+WORLDCUP!BD64</f>
        <v>Egipto</v>
      </c>
      <c r="I63" s="9" t="str">
        <f ca="1">+WORLDCUP!BD69</f>
        <v>Ghana</v>
      </c>
      <c r="J63" s="9" t="str">
        <f ca="1">+WORLDCUP!BD68</f>
        <v>RD Congo</v>
      </c>
      <c r="N63" s="9" t="s">
        <v>1148</v>
      </c>
      <c r="O63" s="9">
        <v>62</v>
      </c>
      <c r="P63" s="9" t="s">
        <v>93</v>
      </c>
      <c r="Q63" s="9" t="s">
        <v>441</v>
      </c>
      <c r="R63" s="9" t="s">
        <v>90</v>
      </c>
      <c r="S63" s="9" t="s">
        <v>92</v>
      </c>
      <c r="T63" s="9" t="s">
        <v>440</v>
      </c>
      <c r="U63" s="9" t="s">
        <v>435</v>
      </c>
      <c r="V63" s="9" t="s">
        <v>443</v>
      </c>
      <c r="W63" s="9" t="s">
        <v>442</v>
      </c>
    </row>
    <row r="64" spans="1:23">
      <c r="A64" s="9" t="s">
        <v>1147</v>
      </c>
      <c r="B64" s="9">
        <f ca="1">+IF(A64=WORLDCUP!$BI$112,1,0)</f>
        <v>0</v>
      </c>
      <c r="C64" s="9" t="str">
        <f ca="1">+WORLDCUP!BD62</f>
        <v>Ecuador</v>
      </c>
      <c r="D64" s="9" t="str">
        <f ca="1">+WORLDCUP!BD67</f>
        <v>Argelia</v>
      </c>
      <c r="E64" s="9" t="str">
        <f ca="1">+WORLDCUP!BD59</f>
        <v>Canadá</v>
      </c>
      <c r="F64" s="9" t="str">
        <f ca="1">+WORLDCUP!BD61</f>
        <v>Paraguay</v>
      </c>
      <c r="G64" s="9" t="str">
        <f ca="1">+WORLDCUP!BD65</f>
        <v>Arabia Saudita</v>
      </c>
      <c r="H64" s="9" t="str">
        <f ca="1">+WORLDCUP!BD64</f>
        <v>Egipto</v>
      </c>
      <c r="I64" s="9" t="str">
        <f ca="1">+WORLDCUP!BD69</f>
        <v>Ghana</v>
      </c>
      <c r="J64" s="9" t="str">
        <f ca="1">+WORLDCUP!BD68</f>
        <v>RD Congo</v>
      </c>
      <c r="N64" s="9" t="s">
        <v>1147</v>
      </c>
      <c r="O64" s="9">
        <v>63</v>
      </c>
      <c r="P64" s="9" t="s">
        <v>93</v>
      </c>
      <c r="Q64" s="9" t="s">
        <v>441</v>
      </c>
      <c r="R64" s="9" t="s">
        <v>90</v>
      </c>
      <c r="S64" s="9" t="s">
        <v>92</v>
      </c>
      <c r="T64" s="9" t="s">
        <v>436</v>
      </c>
      <c r="U64" s="9" t="s">
        <v>435</v>
      </c>
      <c r="V64" s="9" t="s">
        <v>443</v>
      </c>
      <c r="W64" s="9" t="s">
        <v>442</v>
      </c>
    </row>
    <row r="65" spans="1:23">
      <c r="A65" s="9" t="s">
        <v>1146</v>
      </c>
      <c r="B65" s="9">
        <f ca="1">+IF(A65=WORLDCUP!$BI$112,1,0)</f>
        <v>0</v>
      </c>
      <c r="C65" s="9" t="str">
        <f ca="1">+WORLDCUP!BD62</f>
        <v>Ecuador</v>
      </c>
      <c r="D65" s="9" t="str">
        <f ca="1">+WORLDCUP!BD64</f>
        <v>Egipto</v>
      </c>
      <c r="E65" s="9" t="str">
        <f ca="1">+WORLDCUP!BD59</f>
        <v>Canadá</v>
      </c>
      <c r="F65" s="9" t="str">
        <f ca="1">+WORLDCUP!BD61</f>
        <v>Paraguay</v>
      </c>
      <c r="G65" s="9" t="str">
        <f ca="1">+WORLDCUP!BD66</f>
        <v>Senegal</v>
      </c>
      <c r="H65" s="9" t="str">
        <f ca="1">+WORLDCUP!BD65</f>
        <v>Arabia Saudita</v>
      </c>
      <c r="I65" s="9" t="str">
        <f ca="1">+WORLDCUP!BD69</f>
        <v>Ghana</v>
      </c>
      <c r="J65" s="9" t="str">
        <f ca="1">+WORLDCUP!BD68</f>
        <v>RD Congo</v>
      </c>
      <c r="N65" s="9" t="s">
        <v>1146</v>
      </c>
      <c r="O65" s="9">
        <v>64</v>
      </c>
      <c r="P65" s="9" t="s">
        <v>93</v>
      </c>
      <c r="Q65" s="9" t="s">
        <v>435</v>
      </c>
      <c r="R65" s="9" t="s">
        <v>90</v>
      </c>
      <c r="S65" s="9" t="s">
        <v>92</v>
      </c>
      <c r="T65" s="9" t="s">
        <v>440</v>
      </c>
      <c r="U65" s="9" t="s">
        <v>436</v>
      </c>
      <c r="V65" s="9" t="s">
        <v>443</v>
      </c>
      <c r="W65" s="9" t="s">
        <v>442</v>
      </c>
    </row>
    <row r="66" spans="1:23">
      <c r="A66" s="9" t="s">
        <v>1145</v>
      </c>
      <c r="B66" s="9">
        <f ca="1">+IF(A66=WORLDCUP!$BI$112,1,0)</f>
        <v>0</v>
      </c>
      <c r="C66" s="9" t="str">
        <f ca="1">+WORLDCUP!BD62</f>
        <v>Ecuador</v>
      </c>
      <c r="D66" s="9" t="str">
        <f ca="1">+WORLDCUP!BD67</f>
        <v>Argelia</v>
      </c>
      <c r="E66" s="9" t="str">
        <f ca="1">+WORLDCUP!BD59</f>
        <v>Canadá</v>
      </c>
      <c r="F66" s="9" t="str">
        <f ca="1">+WORLDCUP!BD61</f>
        <v>Paraguay</v>
      </c>
      <c r="G66" s="9" t="str">
        <f ca="1">+WORLDCUP!BD65</f>
        <v>Arabia Saudita</v>
      </c>
      <c r="H66" s="9" t="str">
        <f ca="1">+WORLDCUP!BD64</f>
        <v>Egipto</v>
      </c>
      <c r="I66" s="9" t="str">
        <f ca="1">+WORLDCUP!BD69</f>
        <v>Ghana</v>
      </c>
      <c r="J66" s="9" t="str">
        <f ca="1">+WORLDCUP!BD66</f>
        <v>Senegal</v>
      </c>
      <c r="N66" s="9" t="s">
        <v>1145</v>
      </c>
      <c r="O66" s="9">
        <v>65</v>
      </c>
      <c r="P66" s="9" t="s">
        <v>93</v>
      </c>
      <c r="Q66" s="9" t="s">
        <v>441</v>
      </c>
      <c r="R66" s="9" t="s">
        <v>90</v>
      </c>
      <c r="S66" s="9" t="s">
        <v>92</v>
      </c>
      <c r="T66" s="9" t="s">
        <v>436</v>
      </c>
      <c r="U66" s="9" t="s">
        <v>435</v>
      </c>
      <c r="V66" s="9" t="s">
        <v>443</v>
      </c>
      <c r="W66" s="9" t="s">
        <v>440</v>
      </c>
    </row>
    <row r="67" spans="1:23">
      <c r="A67" s="9" t="s">
        <v>1144</v>
      </c>
      <c r="B67" s="9">
        <f ca="1">+IF(A67=WORLDCUP!$BI$112,1,0)</f>
        <v>0</v>
      </c>
      <c r="C67" s="9" t="str">
        <f ca="1">+WORLDCUP!BD62</f>
        <v>Ecuador</v>
      </c>
      <c r="D67" s="9" t="str">
        <f ca="1">+WORLDCUP!BD67</f>
        <v>Argelia</v>
      </c>
      <c r="E67" s="9" t="str">
        <f ca="1">+WORLDCUP!BD59</f>
        <v>Canadá</v>
      </c>
      <c r="F67" s="9" t="str">
        <f ca="1">+WORLDCUP!BD61</f>
        <v>Paraguay</v>
      </c>
      <c r="G67" s="9" t="str">
        <f ca="1">+WORLDCUP!BD65</f>
        <v>Arabia Saudita</v>
      </c>
      <c r="H67" s="9" t="str">
        <f ca="1">+WORLDCUP!BD64</f>
        <v>Egipto</v>
      </c>
      <c r="I67" s="9" t="str">
        <f ca="1">+WORLDCUP!BD66</f>
        <v>Senegal</v>
      </c>
      <c r="J67" s="9" t="str">
        <f ca="1">+WORLDCUP!BD68</f>
        <v>RD Congo</v>
      </c>
      <c r="N67" s="9" t="s">
        <v>1144</v>
      </c>
      <c r="O67" s="9">
        <v>66</v>
      </c>
      <c r="P67" s="9" t="s">
        <v>93</v>
      </c>
      <c r="Q67" s="9" t="s">
        <v>441</v>
      </c>
      <c r="R67" s="9" t="s">
        <v>90</v>
      </c>
      <c r="S67" s="9" t="s">
        <v>92</v>
      </c>
      <c r="T67" s="9" t="s">
        <v>436</v>
      </c>
      <c r="U67" s="9" t="s">
        <v>435</v>
      </c>
      <c r="V67" s="9" t="s">
        <v>440</v>
      </c>
      <c r="W67" s="9" t="s">
        <v>442</v>
      </c>
    </row>
    <row r="68" spans="1:23">
      <c r="A68" s="9" t="s">
        <v>1143</v>
      </c>
      <c r="B68" s="9">
        <f ca="1">+IF(A68=WORLDCUP!$BI$112,1,0)</f>
        <v>0</v>
      </c>
      <c r="C68" s="9" t="str">
        <f ca="1">+WORLDCUP!BD62</f>
        <v>Ecuador</v>
      </c>
      <c r="D68" s="9" t="str">
        <f ca="1">+WORLDCUP!BD67</f>
        <v>Argelia</v>
      </c>
      <c r="E68" s="9" t="str">
        <f ca="1">+WORLDCUP!BD59</f>
        <v>Canadá</v>
      </c>
      <c r="F68" s="9" t="str">
        <f ca="1">+WORLDCUP!BD61</f>
        <v>Paraguay</v>
      </c>
      <c r="G68" s="9" t="str">
        <f ca="1">+WORLDCUP!BD66</f>
        <v>Senegal</v>
      </c>
      <c r="H68" s="9" t="str">
        <f ca="1">+WORLDCUP!BD63</f>
        <v>Suecia</v>
      </c>
      <c r="I68" s="9" t="str">
        <f ca="1">+WORLDCUP!BD69</f>
        <v>Ghana</v>
      </c>
      <c r="J68" s="9" t="str">
        <f ca="1">+WORLDCUP!BD68</f>
        <v>RD Congo</v>
      </c>
      <c r="N68" s="9" t="s">
        <v>1143</v>
      </c>
      <c r="O68" s="9">
        <v>67</v>
      </c>
      <c r="P68" s="9" t="s">
        <v>93</v>
      </c>
      <c r="Q68" s="9" t="s">
        <v>441</v>
      </c>
      <c r="R68" s="9" t="s">
        <v>90</v>
      </c>
      <c r="S68" s="9" t="s">
        <v>92</v>
      </c>
      <c r="T68" s="9" t="s">
        <v>440</v>
      </c>
      <c r="U68" s="9" t="s">
        <v>94</v>
      </c>
      <c r="V68" s="9" t="s">
        <v>443</v>
      </c>
      <c r="W68" s="9" t="s">
        <v>442</v>
      </c>
    </row>
    <row r="69" spans="1:23">
      <c r="A69" s="9" t="s">
        <v>1142</v>
      </c>
      <c r="B69" s="9">
        <f ca="1">+IF(A69=WORLDCUP!$BI$112,1,0)</f>
        <v>0</v>
      </c>
      <c r="C69" s="9" t="str">
        <f ca="1">+WORLDCUP!BD62</f>
        <v>Ecuador</v>
      </c>
      <c r="D69" s="9" t="str">
        <f ca="1">+WORLDCUP!BD67</f>
        <v>Argelia</v>
      </c>
      <c r="E69" s="9" t="str">
        <f ca="1">+WORLDCUP!BD59</f>
        <v>Canadá</v>
      </c>
      <c r="F69" s="9" t="str">
        <f ca="1">+WORLDCUP!BD61</f>
        <v>Paraguay</v>
      </c>
      <c r="G69" s="9" t="str">
        <f ca="1">+WORLDCUP!BD65</f>
        <v>Arabia Saudita</v>
      </c>
      <c r="H69" s="9" t="str">
        <f ca="1">+WORLDCUP!BD63</f>
        <v>Suecia</v>
      </c>
      <c r="I69" s="9" t="str">
        <f ca="1">+WORLDCUP!BD69</f>
        <v>Ghana</v>
      </c>
      <c r="J69" s="9" t="str">
        <f ca="1">+WORLDCUP!BD68</f>
        <v>RD Congo</v>
      </c>
      <c r="N69" s="9" t="s">
        <v>1142</v>
      </c>
      <c r="O69" s="9">
        <v>68</v>
      </c>
      <c r="P69" s="9" t="s">
        <v>93</v>
      </c>
      <c r="Q69" s="9" t="s">
        <v>441</v>
      </c>
      <c r="R69" s="9" t="s">
        <v>90</v>
      </c>
      <c r="S69" s="9" t="s">
        <v>92</v>
      </c>
      <c r="T69" s="9" t="s">
        <v>436</v>
      </c>
      <c r="U69" s="9" t="s">
        <v>94</v>
      </c>
      <c r="V69" s="9" t="s">
        <v>443</v>
      </c>
      <c r="W69" s="9" t="s">
        <v>442</v>
      </c>
    </row>
    <row r="70" spans="1:23">
      <c r="A70" s="9" t="s">
        <v>1141</v>
      </c>
      <c r="B70" s="9">
        <f ca="1">+IF(A70=WORLDCUP!$BI$112,1,0)</f>
        <v>0</v>
      </c>
      <c r="C70" s="9" t="str">
        <f ca="1">+WORLDCUP!BD62</f>
        <v>Ecuador</v>
      </c>
      <c r="D70" s="9" t="str">
        <f ca="1">+WORLDCUP!BD66</f>
        <v>Senegal</v>
      </c>
      <c r="E70" s="9" t="str">
        <f ca="1">+WORLDCUP!BD59</f>
        <v>Canadá</v>
      </c>
      <c r="F70" s="9" t="str">
        <f ca="1">+WORLDCUP!BD61</f>
        <v>Paraguay</v>
      </c>
      <c r="G70" s="9" t="str">
        <f ca="1">+WORLDCUP!BD65</f>
        <v>Arabia Saudita</v>
      </c>
      <c r="H70" s="9" t="str">
        <f ca="1">+WORLDCUP!BD63</f>
        <v>Suecia</v>
      </c>
      <c r="I70" s="9" t="str">
        <f ca="1">+WORLDCUP!BD69</f>
        <v>Ghana</v>
      </c>
      <c r="J70" s="9" t="str">
        <f ca="1">+WORLDCUP!BD68</f>
        <v>RD Congo</v>
      </c>
      <c r="N70" s="9" t="s">
        <v>1141</v>
      </c>
      <c r="O70" s="9">
        <v>69</v>
      </c>
      <c r="P70" s="9" t="s">
        <v>93</v>
      </c>
      <c r="Q70" s="9" t="s">
        <v>440</v>
      </c>
      <c r="R70" s="9" t="s">
        <v>90</v>
      </c>
      <c r="S70" s="9" t="s">
        <v>92</v>
      </c>
      <c r="T70" s="9" t="s">
        <v>436</v>
      </c>
      <c r="U70" s="9" t="s">
        <v>94</v>
      </c>
      <c r="V70" s="9" t="s">
        <v>443</v>
      </c>
      <c r="W70" s="9" t="s">
        <v>442</v>
      </c>
    </row>
    <row r="71" spans="1:23">
      <c r="A71" s="9" t="s">
        <v>1140</v>
      </c>
      <c r="B71" s="9">
        <f ca="1">+IF(A71=WORLDCUP!$BI$112,1,0)</f>
        <v>0</v>
      </c>
      <c r="C71" s="9" t="str">
        <f ca="1">+WORLDCUP!BD62</f>
        <v>Ecuador</v>
      </c>
      <c r="D71" s="9" t="str">
        <f ca="1">+WORLDCUP!BD67</f>
        <v>Argelia</v>
      </c>
      <c r="E71" s="9" t="str">
        <f ca="1">+WORLDCUP!BD59</f>
        <v>Canadá</v>
      </c>
      <c r="F71" s="9" t="str">
        <f ca="1">+WORLDCUP!BD61</f>
        <v>Paraguay</v>
      </c>
      <c r="G71" s="9" t="str">
        <f ca="1">+WORLDCUP!BD65</f>
        <v>Arabia Saudita</v>
      </c>
      <c r="H71" s="9" t="str">
        <f ca="1">+WORLDCUP!BD63</f>
        <v>Suecia</v>
      </c>
      <c r="I71" s="9" t="str">
        <f ca="1">+WORLDCUP!BD69</f>
        <v>Ghana</v>
      </c>
      <c r="J71" s="9" t="str">
        <f ca="1">+WORLDCUP!BD66</f>
        <v>Senegal</v>
      </c>
      <c r="N71" s="9" t="s">
        <v>1140</v>
      </c>
      <c r="O71" s="9">
        <v>70</v>
      </c>
      <c r="P71" s="9" t="s">
        <v>93</v>
      </c>
      <c r="Q71" s="9" t="s">
        <v>441</v>
      </c>
      <c r="R71" s="9" t="s">
        <v>90</v>
      </c>
      <c r="S71" s="9" t="s">
        <v>92</v>
      </c>
      <c r="T71" s="9" t="s">
        <v>436</v>
      </c>
      <c r="U71" s="9" t="s">
        <v>94</v>
      </c>
      <c r="V71" s="9" t="s">
        <v>443</v>
      </c>
      <c r="W71" s="9" t="s">
        <v>440</v>
      </c>
    </row>
    <row r="72" spans="1:23">
      <c r="A72" s="9" t="s">
        <v>1139</v>
      </c>
      <c r="B72" s="9">
        <f ca="1">+IF(A72=WORLDCUP!$BI$112,1,0)</f>
        <v>0</v>
      </c>
      <c r="C72" s="9" t="str">
        <f ca="1">+WORLDCUP!BD62</f>
        <v>Ecuador</v>
      </c>
      <c r="D72" s="9" t="str">
        <f ca="1">+WORLDCUP!BD67</f>
        <v>Argelia</v>
      </c>
      <c r="E72" s="9" t="str">
        <f ca="1">+WORLDCUP!BD59</f>
        <v>Canadá</v>
      </c>
      <c r="F72" s="9" t="str">
        <f ca="1">+WORLDCUP!BD61</f>
        <v>Paraguay</v>
      </c>
      <c r="G72" s="9" t="str">
        <f ca="1">+WORLDCUP!BD65</f>
        <v>Arabia Saudita</v>
      </c>
      <c r="H72" s="9" t="str">
        <f ca="1">+WORLDCUP!BD63</f>
        <v>Suecia</v>
      </c>
      <c r="I72" s="9" t="str">
        <f ca="1">+WORLDCUP!BD66</f>
        <v>Senegal</v>
      </c>
      <c r="J72" s="9" t="str">
        <f ca="1">+WORLDCUP!BD68</f>
        <v>RD Congo</v>
      </c>
      <c r="N72" s="9" t="s">
        <v>1139</v>
      </c>
      <c r="O72" s="9">
        <v>71</v>
      </c>
      <c r="P72" s="9" t="s">
        <v>93</v>
      </c>
      <c r="Q72" s="9" t="s">
        <v>441</v>
      </c>
      <c r="R72" s="9" t="s">
        <v>90</v>
      </c>
      <c r="S72" s="9" t="s">
        <v>92</v>
      </c>
      <c r="T72" s="9" t="s">
        <v>436</v>
      </c>
      <c r="U72" s="9" t="s">
        <v>94</v>
      </c>
      <c r="V72" s="9" t="s">
        <v>440</v>
      </c>
      <c r="W72" s="9" t="s">
        <v>442</v>
      </c>
    </row>
    <row r="73" spans="1:23">
      <c r="A73" s="9" t="s">
        <v>1138</v>
      </c>
      <c r="B73" s="9">
        <f ca="1">+IF(A73=WORLDCUP!$BI$112,1,0)</f>
        <v>0</v>
      </c>
      <c r="C73" s="9" t="str">
        <f ca="1">+WORLDCUP!BD62</f>
        <v>Ecuador</v>
      </c>
      <c r="D73" s="9" t="str">
        <f ca="1">+WORLDCUP!BD64</f>
        <v>Egipto</v>
      </c>
      <c r="E73" s="9" t="str">
        <f ca="1">+WORLDCUP!BD59</f>
        <v>Canadá</v>
      </c>
      <c r="F73" s="9" t="str">
        <f ca="1">+WORLDCUP!BD61</f>
        <v>Paraguay</v>
      </c>
      <c r="G73" s="9" t="str">
        <f ca="1">+WORLDCUP!BD67</f>
        <v>Argelia</v>
      </c>
      <c r="H73" s="9" t="str">
        <f ca="1">+WORLDCUP!BD63</f>
        <v>Suecia</v>
      </c>
      <c r="I73" s="9" t="str">
        <f ca="1">+WORLDCUP!BD69</f>
        <v>Ghana</v>
      </c>
      <c r="J73" s="9" t="str">
        <f ca="1">+WORLDCUP!BD68</f>
        <v>RD Congo</v>
      </c>
      <c r="N73" s="9" t="s">
        <v>1138</v>
      </c>
      <c r="O73" s="9">
        <v>72</v>
      </c>
      <c r="P73" s="9" t="s">
        <v>93</v>
      </c>
      <c r="Q73" s="9" t="s">
        <v>435</v>
      </c>
      <c r="R73" s="9" t="s">
        <v>90</v>
      </c>
      <c r="S73" s="9" t="s">
        <v>92</v>
      </c>
      <c r="T73" s="9" t="s">
        <v>441</v>
      </c>
      <c r="U73" s="9" t="s">
        <v>94</v>
      </c>
      <c r="V73" s="9" t="s">
        <v>443</v>
      </c>
      <c r="W73" s="9" t="s">
        <v>442</v>
      </c>
    </row>
    <row r="74" spans="1:23">
      <c r="A74" s="9" t="s">
        <v>1137</v>
      </c>
      <c r="B74" s="9">
        <f ca="1">+IF(A74=WORLDCUP!$BI$112,1,0)</f>
        <v>0</v>
      </c>
      <c r="C74" s="9" t="str">
        <f ca="1">+WORLDCUP!BD62</f>
        <v>Ecuador</v>
      </c>
      <c r="D74" s="9" t="str">
        <f ca="1">+WORLDCUP!BD64</f>
        <v>Egipto</v>
      </c>
      <c r="E74" s="9" t="str">
        <f ca="1">+WORLDCUP!BD59</f>
        <v>Canadá</v>
      </c>
      <c r="F74" s="9" t="str">
        <f ca="1">+WORLDCUP!BD61</f>
        <v>Paraguay</v>
      </c>
      <c r="G74" s="9" t="str">
        <f ca="1">+WORLDCUP!BD66</f>
        <v>Senegal</v>
      </c>
      <c r="H74" s="9" t="str">
        <f ca="1">+WORLDCUP!BD63</f>
        <v>Suecia</v>
      </c>
      <c r="I74" s="9" t="str">
        <f ca="1">+WORLDCUP!BD69</f>
        <v>Ghana</v>
      </c>
      <c r="J74" s="9" t="str">
        <f ca="1">+WORLDCUP!BD68</f>
        <v>RD Congo</v>
      </c>
      <c r="N74" s="9" t="s">
        <v>1137</v>
      </c>
      <c r="O74" s="9">
        <v>73</v>
      </c>
      <c r="P74" s="9" t="s">
        <v>93</v>
      </c>
      <c r="Q74" s="9" t="s">
        <v>435</v>
      </c>
      <c r="R74" s="9" t="s">
        <v>90</v>
      </c>
      <c r="S74" s="9" t="s">
        <v>92</v>
      </c>
      <c r="T74" s="9" t="s">
        <v>440</v>
      </c>
      <c r="U74" s="9" t="s">
        <v>94</v>
      </c>
      <c r="V74" s="9" t="s">
        <v>443</v>
      </c>
      <c r="W74" s="9" t="s">
        <v>442</v>
      </c>
    </row>
    <row r="75" spans="1:23">
      <c r="A75" s="9" t="s">
        <v>1136</v>
      </c>
      <c r="B75" s="9">
        <f ca="1">+IF(A75=WORLDCUP!$BI$112,1,0)</f>
        <v>0</v>
      </c>
      <c r="C75" s="9" t="str">
        <f ca="1">+WORLDCUP!BD62</f>
        <v>Ecuador</v>
      </c>
      <c r="D75" s="9" t="str">
        <f ca="1">+WORLDCUP!BD64</f>
        <v>Egipto</v>
      </c>
      <c r="E75" s="9" t="str">
        <f ca="1">+WORLDCUP!BD59</f>
        <v>Canadá</v>
      </c>
      <c r="F75" s="9" t="str">
        <f ca="1">+WORLDCUP!BD61</f>
        <v>Paraguay</v>
      </c>
      <c r="G75" s="9" t="str">
        <f ca="1">+WORLDCUP!BD67</f>
        <v>Argelia</v>
      </c>
      <c r="H75" s="9" t="str">
        <f ca="1">+WORLDCUP!BD63</f>
        <v>Suecia</v>
      </c>
      <c r="I75" s="9" t="str">
        <f ca="1">+WORLDCUP!BD69</f>
        <v>Ghana</v>
      </c>
      <c r="J75" s="9" t="str">
        <f ca="1">+WORLDCUP!BD66</f>
        <v>Senegal</v>
      </c>
      <c r="N75" s="9" t="s">
        <v>1136</v>
      </c>
      <c r="O75" s="9">
        <v>74</v>
      </c>
      <c r="P75" s="9" t="s">
        <v>93</v>
      </c>
      <c r="Q75" s="9" t="s">
        <v>435</v>
      </c>
      <c r="R75" s="9" t="s">
        <v>90</v>
      </c>
      <c r="S75" s="9" t="s">
        <v>92</v>
      </c>
      <c r="T75" s="9" t="s">
        <v>441</v>
      </c>
      <c r="U75" s="9" t="s">
        <v>94</v>
      </c>
      <c r="V75" s="9" t="s">
        <v>443</v>
      </c>
      <c r="W75" s="9" t="s">
        <v>440</v>
      </c>
    </row>
    <row r="76" spans="1:23">
      <c r="A76" s="9" t="s">
        <v>1135</v>
      </c>
      <c r="B76" s="9">
        <f ca="1">+IF(A76=WORLDCUP!$BI$112,1,0)</f>
        <v>0</v>
      </c>
      <c r="C76" s="9" t="str">
        <f ca="1">+WORLDCUP!BD62</f>
        <v>Ecuador</v>
      </c>
      <c r="D76" s="9" t="str">
        <f ca="1">+WORLDCUP!BD64</f>
        <v>Egipto</v>
      </c>
      <c r="E76" s="9" t="str">
        <f ca="1">+WORLDCUP!BD59</f>
        <v>Canadá</v>
      </c>
      <c r="F76" s="9" t="str">
        <f ca="1">+WORLDCUP!BD61</f>
        <v>Paraguay</v>
      </c>
      <c r="G76" s="9" t="str">
        <f ca="1">+WORLDCUP!BD67</f>
        <v>Argelia</v>
      </c>
      <c r="H76" s="9" t="str">
        <f ca="1">+WORLDCUP!BD63</f>
        <v>Suecia</v>
      </c>
      <c r="I76" s="9" t="str">
        <f ca="1">+WORLDCUP!BD66</f>
        <v>Senegal</v>
      </c>
      <c r="J76" s="9" t="str">
        <f ca="1">+WORLDCUP!BD68</f>
        <v>RD Congo</v>
      </c>
      <c r="N76" s="9" t="s">
        <v>1135</v>
      </c>
      <c r="O76" s="9">
        <v>75</v>
      </c>
      <c r="P76" s="9" t="s">
        <v>93</v>
      </c>
      <c r="Q76" s="9" t="s">
        <v>435</v>
      </c>
      <c r="R76" s="9" t="s">
        <v>90</v>
      </c>
      <c r="S76" s="9" t="s">
        <v>92</v>
      </c>
      <c r="T76" s="9" t="s">
        <v>441</v>
      </c>
      <c r="U76" s="9" t="s">
        <v>94</v>
      </c>
      <c r="V76" s="9" t="s">
        <v>440</v>
      </c>
      <c r="W76" s="9" t="s">
        <v>442</v>
      </c>
    </row>
    <row r="77" spans="1:23">
      <c r="A77" s="9" t="s">
        <v>602</v>
      </c>
      <c r="B77" s="9">
        <f ca="1">+IF(A77=WORLDCUP!$BI$112,1,0)</f>
        <v>0</v>
      </c>
      <c r="C77" s="9" t="str">
        <f ca="1">+WORLDCUP!BD62</f>
        <v>Ecuador</v>
      </c>
      <c r="D77" s="9" t="str">
        <f ca="1">+WORLDCUP!BD64</f>
        <v>Egipto</v>
      </c>
      <c r="E77" s="9" t="str">
        <f ca="1">+WORLDCUP!BD59</f>
        <v>Canadá</v>
      </c>
      <c r="F77" s="9" t="str">
        <f ca="1">+WORLDCUP!BD61</f>
        <v>Paraguay</v>
      </c>
      <c r="G77" s="9" t="str">
        <f ca="1">+WORLDCUP!BD65</f>
        <v>Arabia Saudita</v>
      </c>
      <c r="H77" s="9" t="str">
        <f ca="1">+WORLDCUP!BD63</f>
        <v>Suecia</v>
      </c>
      <c r="I77" s="9" t="str">
        <f ca="1">+WORLDCUP!BD69</f>
        <v>Ghana</v>
      </c>
      <c r="J77" s="9" t="str">
        <f ca="1">+WORLDCUP!BD68</f>
        <v>RD Congo</v>
      </c>
      <c r="N77" s="9" t="s">
        <v>602</v>
      </c>
      <c r="O77" s="9">
        <v>76</v>
      </c>
      <c r="P77" s="9" t="s">
        <v>93</v>
      </c>
      <c r="Q77" s="9" t="s">
        <v>435</v>
      </c>
      <c r="R77" s="9" t="s">
        <v>90</v>
      </c>
      <c r="S77" s="9" t="s">
        <v>92</v>
      </c>
      <c r="T77" s="9" t="s">
        <v>436</v>
      </c>
      <c r="U77" s="9" t="s">
        <v>94</v>
      </c>
      <c r="V77" s="9" t="s">
        <v>443</v>
      </c>
      <c r="W77" s="9" t="s">
        <v>442</v>
      </c>
    </row>
    <row r="78" spans="1:23">
      <c r="A78" s="9" t="s">
        <v>601</v>
      </c>
      <c r="B78" s="9">
        <f ca="1">+IF(A78=WORLDCUP!$BI$112,1,0)</f>
        <v>0</v>
      </c>
      <c r="C78" s="9" t="str">
        <f ca="1">+WORLDCUP!BD65</f>
        <v>Arabia Saudita</v>
      </c>
      <c r="D78" s="9" t="str">
        <f ca="1">+WORLDCUP!BD64</f>
        <v>Egipto</v>
      </c>
      <c r="E78" s="9" t="str">
        <f ca="1">+WORLDCUP!BD59</f>
        <v>Canadá</v>
      </c>
      <c r="F78" s="9" t="str">
        <f ca="1">+WORLDCUP!BD61</f>
        <v>Paraguay</v>
      </c>
      <c r="G78" s="9" t="str">
        <f ca="1">+WORLDCUP!BD67</f>
        <v>Argelia</v>
      </c>
      <c r="H78" s="9" t="str">
        <f ca="1">+WORLDCUP!BD63</f>
        <v>Suecia</v>
      </c>
      <c r="I78" s="9" t="str">
        <f ca="1">+WORLDCUP!BD69</f>
        <v>Ghana</v>
      </c>
      <c r="J78" s="9" t="str">
        <f ca="1">+WORLDCUP!BD62</f>
        <v>Ecuador</v>
      </c>
      <c r="N78" s="9" t="s">
        <v>601</v>
      </c>
      <c r="O78" s="9">
        <v>77</v>
      </c>
      <c r="P78" s="9" t="s">
        <v>436</v>
      </c>
      <c r="Q78" s="9" t="s">
        <v>435</v>
      </c>
      <c r="R78" s="9" t="s">
        <v>90</v>
      </c>
      <c r="S78" s="9" t="s">
        <v>92</v>
      </c>
      <c r="T78" s="9" t="s">
        <v>441</v>
      </c>
      <c r="U78" s="9" t="s">
        <v>94</v>
      </c>
      <c r="V78" s="9" t="s">
        <v>443</v>
      </c>
      <c r="W78" s="9" t="s">
        <v>93</v>
      </c>
    </row>
    <row r="79" spans="1:23">
      <c r="A79" s="9" t="s">
        <v>600</v>
      </c>
      <c r="B79" s="9">
        <f ca="1">+IF(A79=WORLDCUP!$BI$112,1,0)</f>
        <v>0</v>
      </c>
      <c r="C79" s="9" t="str">
        <f ca="1">+WORLDCUP!BD65</f>
        <v>Arabia Saudita</v>
      </c>
      <c r="D79" s="9" t="str">
        <f ca="1">+WORLDCUP!BD64</f>
        <v>Egipto</v>
      </c>
      <c r="E79" s="9" t="str">
        <f ca="1">+WORLDCUP!BD59</f>
        <v>Canadá</v>
      </c>
      <c r="F79" s="9" t="str">
        <f ca="1">+WORLDCUP!BD61</f>
        <v>Paraguay</v>
      </c>
      <c r="G79" s="9" t="str">
        <f ca="1">+WORLDCUP!BD67</f>
        <v>Argelia</v>
      </c>
      <c r="H79" s="9" t="str">
        <f ca="1">+WORLDCUP!BD63</f>
        <v>Suecia</v>
      </c>
      <c r="I79" s="9" t="str">
        <f ca="1">+WORLDCUP!BD62</f>
        <v>Ecuador</v>
      </c>
      <c r="J79" s="9" t="str">
        <f ca="1">+WORLDCUP!BD68</f>
        <v>RD Congo</v>
      </c>
      <c r="N79" s="9" t="s">
        <v>600</v>
      </c>
      <c r="O79" s="9">
        <v>78</v>
      </c>
      <c r="P79" s="9" t="s">
        <v>436</v>
      </c>
      <c r="Q79" s="9" t="s">
        <v>435</v>
      </c>
      <c r="R79" s="9" t="s">
        <v>90</v>
      </c>
      <c r="S79" s="9" t="s">
        <v>92</v>
      </c>
      <c r="T79" s="9" t="s">
        <v>441</v>
      </c>
      <c r="U79" s="9" t="s">
        <v>94</v>
      </c>
      <c r="V79" s="9" t="s">
        <v>93</v>
      </c>
      <c r="W79" s="9" t="s">
        <v>442</v>
      </c>
    </row>
    <row r="80" spans="1:23">
      <c r="A80" s="9" t="s">
        <v>599</v>
      </c>
      <c r="B80" s="9">
        <f ca="1">+IF(A80=WORLDCUP!$BI$112,1,0)</f>
        <v>0</v>
      </c>
      <c r="C80" s="9" t="str">
        <f ca="1">+WORLDCUP!BD62</f>
        <v>Ecuador</v>
      </c>
      <c r="D80" s="9" t="str">
        <f ca="1">+WORLDCUP!BD64</f>
        <v>Egipto</v>
      </c>
      <c r="E80" s="9" t="str">
        <f ca="1">+WORLDCUP!BD59</f>
        <v>Canadá</v>
      </c>
      <c r="F80" s="9" t="str">
        <f ca="1">+WORLDCUP!BD61</f>
        <v>Paraguay</v>
      </c>
      <c r="G80" s="9" t="str">
        <f ca="1">+WORLDCUP!BD65</f>
        <v>Arabia Saudita</v>
      </c>
      <c r="H80" s="9" t="str">
        <f ca="1">+WORLDCUP!BD63</f>
        <v>Suecia</v>
      </c>
      <c r="I80" s="9" t="str">
        <f ca="1">+WORLDCUP!BD69</f>
        <v>Ghana</v>
      </c>
      <c r="J80" s="9" t="str">
        <f ca="1">+WORLDCUP!BD66</f>
        <v>Senegal</v>
      </c>
      <c r="N80" s="9" t="s">
        <v>599</v>
      </c>
      <c r="O80" s="9">
        <v>79</v>
      </c>
      <c r="P80" s="9" t="s">
        <v>93</v>
      </c>
      <c r="Q80" s="9" t="s">
        <v>435</v>
      </c>
      <c r="R80" s="9" t="s">
        <v>90</v>
      </c>
      <c r="S80" s="9" t="s">
        <v>92</v>
      </c>
      <c r="T80" s="9" t="s">
        <v>436</v>
      </c>
      <c r="U80" s="9" t="s">
        <v>94</v>
      </c>
      <c r="V80" s="9" t="s">
        <v>443</v>
      </c>
      <c r="W80" s="9" t="s">
        <v>440</v>
      </c>
    </row>
    <row r="81" spans="1:23">
      <c r="A81" s="9" t="s">
        <v>598</v>
      </c>
      <c r="B81" s="9">
        <f ca="1">+IF(A81=WORLDCUP!$BI$112,1,0)</f>
        <v>0</v>
      </c>
      <c r="C81" s="9" t="str">
        <f ca="1">+WORLDCUP!BD62</f>
        <v>Ecuador</v>
      </c>
      <c r="D81" s="9" t="str">
        <f ca="1">+WORLDCUP!BD64</f>
        <v>Egipto</v>
      </c>
      <c r="E81" s="9" t="str">
        <f ca="1">+WORLDCUP!BD59</f>
        <v>Canadá</v>
      </c>
      <c r="F81" s="9" t="str">
        <f ca="1">+WORLDCUP!BD61</f>
        <v>Paraguay</v>
      </c>
      <c r="G81" s="9" t="str">
        <f ca="1">+WORLDCUP!BD65</f>
        <v>Arabia Saudita</v>
      </c>
      <c r="H81" s="9" t="str">
        <f ca="1">+WORLDCUP!BD63</f>
        <v>Suecia</v>
      </c>
      <c r="I81" s="9" t="str">
        <f ca="1">+WORLDCUP!BD66</f>
        <v>Senegal</v>
      </c>
      <c r="J81" s="9" t="str">
        <f ca="1">+WORLDCUP!BD68</f>
        <v>RD Congo</v>
      </c>
      <c r="N81" s="9" t="s">
        <v>598</v>
      </c>
      <c r="O81" s="9">
        <v>80</v>
      </c>
      <c r="P81" s="9" t="s">
        <v>93</v>
      </c>
      <c r="Q81" s="9" t="s">
        <v>435</v>
      </c>
      <c r="R81" s="9" t="s">
        <v>90</v>
      </c>
      <c r="S81" s="9" t="s">
        <v>92</v>
      </c>
      <c r="T81" s="9" t="s">
        <v>436</v>
      </c>
      <c r="U81" s="9" t="s">
        <v>94</v>
      </c>
      <c r="V81" s="9" t="s">
        <v>440</v>
      </c>
      <c r="W81" s="9" t="s">
        <v>442</v>
      </c>
    </row>
    <row r="82" spans="1:23">
      <c r="A82" s="9" t="s">
        <v>597</v>
      </c>
      <c r="B82" s="9">
        <f ca="1">+IF(A82=WORLDCUP!$BI$112,1,0)</f>
        <v>0</v>
      </c>
      <c r="C82" s="9" t="str">
        <f ca="1">+WORLDCUP!BD65</f>
        <v>Arabia Saudita</v>
      </c>
      <c r="D82" s="9" t="str">
        <f ca="1">+WORLDCUP!BD64</f>
        <v>Egipto</v>
      </c>
      <c r="E82" s="9" t="str">
        <f ca="1">+WORLDCUP!BD59</f>
        <v>Canadá</v>
      </c>
      <c r="F82" s="9" t="str">
        <f ca="1">+WORLDCUP!BD61</f>
        <v>Paraguay</v>
      </c>
      <c r="G82" s="9" t="str">
        <f ca="1">+WORLDCUP!BD67</f>
        <v>Argelia</v>
      </c>
      <c r="H82" s="9" t="str">
        <f ca="1">+WORLDCUP!BD63</f>
        <v>Suecia</v>
      </c>
      <c r="I82" s="9" t="str">
        <f ca="1">+WORLDCUP!BD62</f>
        <v>Ecuador</v>
      </c>
      <c r="J82" s="9" t="str">
        <f ca="1">+WORLDCUP!BD66</f>
        <v>Senegal</v>
      </c>
      <c r="N82" s="9" t="s">
        <v>597</v>
      </c>
      <c r="O82" s="9">
        <v>81</v>
      </c>
      <c r="P82" s="9" t="s">
        <v>436</v>
      </c>
      <c r="Q82" s="9" t="s">
        <v>435</v>
      </c>
      <c r="R82" s="9" t="s">
        <v>90</v>
      </c>
      <c r="S82" s="9" t="s">
        <v>92</v>
      </c>
      <c r="T82" s="9" t="s">
        <v>441</v>
      </c>
      <c r="U82" s="9" t="s">
        <v>94</v>
      </c>
      <c r="V82" s="9" t="s">
        <v>93</v>
      </c>
      <c r="W82" s="9" t="s">
        <v>440</v>
      </c>
    </row>
    <row r="83" spans="1:23">
      <c r="A83" s="9" t="s">
        <v>1134</v>
      </c>
      <c r="B83" s="9">
        <f ca="1">+IF(A83=WORLDCUP!$BI$112,1,0)</f>
        <v>0</v>
      </c>
      <c r="C83" s="9" t="str">
        <f ca="1">+WORLDCUP!BD65</f>
        <v>Arabia Saudita</v>
      </c>
      <c r="D83" s="9" t="str">
        <f ca="1">+WORLDCUP!BD67</f>
        <v>Argelia</v>
      </c>
      <c r="E83" s="9" t="str">
        <f ca="1">+WORLDCUP!BD59</f>
        <v>Canadá</v>
      </c>
      <c r="F83" s="9" t="str">
        <f ca="1">+WORLDCUP!BD60</f>
        <v>Marruecos</v>
      </c>
      <c r="G83" s="9" t="str">
        <f ca="1">+WORLDCUP!BD66</f>
        <v>Senegal</v>
      </c>
      <c r="H83" s="9" t="str">
        <f ca="1">+WORLDCUP!BD64</f>
        <v>Egipto</v>
      </c>
      <c r="I83" s="9" t="str">
        <f ca="1">+WORLDCUP!BD69</f>
        <v>Ghana</v>
      </c>
      <c r="J83" s="9" t="str">
        <f ca="1">+WORLDCUP!BD68</f>
        <v>RD Congo</v>
      </c>
      <c r="N83" s="9" t="s">
        <v>1134</v>
      </c>
      <c r="O83" s="9">
        <v>82</v>
      </c>
      <c r="P83" s="9" t="s">
        <v>436</v>
      </c>
      <c r="Q83" s="9" t="s">
        <v>441</v>
      </c>
      <c r="R83" s="9" t="s">
        <v>90</v>
      </c>
      <c r="S83" s="9" t="s">
        <v>91</v>
      </c>
      <c r="T83" s="9" t="s">
        <v>440</v>
      </c>
      <c r="U83" s="9" t="s">
        <v>435</v>
      </c>
      <c r="V83" s="9" t="s">
        <v>443</v>
      </c>
      <c r="W83" s="9" t="s">
        <v>442</v>
      </c>
    </row>
    <row r="84" spans="1:23">
      <c r="A84" s="9" t="s">
        <v>1133</v>
      </c>
      <c r="B84" s="9">
        <f ca="1">+IF(A84=WORLDCUP!$BI$112,1,0)</f>
        <v>0</v>
      </c>
      <c r="C84" s="9" t="str">
        <f ca="1">+WORLDCUP!BD65</f>
        <v>Arabia Saudita</v>
      </c>
      <c r="D84" s="9" t="str">
        <f ca="1">+WORLDCUP!BD67</f>
        <v>Argelia</v>
      </c>
      <c r="E84" s="9" t="str">
        <f ca="1">+WORLDCUP!BD59</f>
        <v>Canadá</v>
      </c>
      <c r="F84" s="9" t="str">
        <f ca="1">+WORLDCUP!BD60</f>
        <v>Marruecos</v>
      </c>
      <c r="G84" s="9" t="str">
        <f ca="1">+WORLDCUP!BD66</f>
        <v>Senegal</v>
      </c>
      <c r="H84" s="9" t="str">
        <f ca="1">+WORLDCUP!BD63</f>
        <v>Suecia</v>
      </c>
      <c r="I84" s="9" t="str">
        <f ca="1">+WORLDCUP!BD69</f>
        <v>Ghana</v>
      </c>
      <c r="J84" s="9" t="str">
        <f ca="1">+WORLDCUP!BD68</f>
        <v>RD Congo</v>
      </c>
      <c r="N84" s="9" t="s">
        <v>1133</v>
      </c>
      <c r="O84" s="9">
        <v>83</v>
      </c>
      <c r="P84" s="9" t="s">
        <v>436</v>
      </c>
      <c r="Q84" s="9" t="s">
        <v>441</v>
      </c>
      <c r="R84" s="9" t="s">
        <v>90</v>
      </c>
      <c r="S84" s="9" t="s">
        <v>91</v>
      </c>
      <c r="T84" s="9" t="s">
        <v>440</v>
      </c>
      <c r="U84" s="9" t="s">
        <v>94</v>
      </c>
      <c r="V84" s="9" t="s">
        <v>443</v>
      </c>
      <c r="W84" s="9" t="s">
        <v>442</v>
      </c>
    </row>
    <row r="85" spans="1:23">
      <c r="A85" s="9" t="s">
        <v>1132</v>
      </c>
      <c r="B85" s="9">
        <f ca="1">+IF(A85=WORLDCUP!$BI$112,1,0)</f>
        <v>0</v>
      </c>
      <c r="C85" s="9" t="str">
        <f ca="1">+WORLDCUP!BD66</f>
        <v>Senegal</v>
      </c>
      <c r="D85" s="9" t="str">
        <f ca="1">+WORLDCUP!BD64</f>
        <v>Egipto</v>
      </c>
      <c r="E85" s="9" t="str">
        <f ca="1">+WORLDCUP!BD59</f>
        <v>Canadá</v>
      </c>
      <c r="F85" s="9" t="str">
        <f ca="1">+WORLDCUP!BD60</f>
        <v>Marruecos</v>
      </c>
      <c r="G85" s="9" t="str">
        <f ca="1">+WORLDCUP!BD67</f>
        <v>Argelia</v>
      </c>
      <c r="H85" s="9" t="str">
        <f ca="1">+WORLDCUP!BD63</f>
        <v>Suecia</v>
      </c>
      <c r="I85" s="9" t="str">
        <f ca="1">+WORLDCUP!BD69</f>
        <v>Ghana</v>
      </c>
      <c r="J85" s="9" t="str">
        <f ca="1">+WORLDCUP!BD68</f>
        <v>RD Congo</v>
      </c>
      <c r="N85" s="9" t="s">
        <v>1132</v>
      </c>
      <c r="O85" s="9">
        <v>84</v>
      </c>
      <c r="P85" s="9" t="s">
        <v>440</v>
      </c>
      <c r="Q85" s="9" t="s">
        <v>435</v>
      </c>
      <c r="R85" s="9" t="s">
        <v>90</v>
      </c>
      <c r="S85" s="9" t="s">
        <v>91</v>
      </c>
      <c r="T85" s="9" t="s">
        <v>441</v>
      </c>
      <c r="U85" s="9" t="s">
        <v>94</v>
      </c>
      <c r="V85" s="9" t="s">
        <v>443</v>
      </c>
      <c r="W85" s="9" t="s">
        <v>442</v>
      </c>
    </row>
    <row r="86" spans="1:23">
      <c r="A86" s="9" t="s">
        <v>1131</v>
      </c>
      <c r="B86" s="9">
        <f ca="1">+IF(A86=WORLDCUP!$BI$112,1,0)</f>
        <v>0</v>
      </c>
      <c r="C86" s="9" t="str">
        <f ca="1">+WORLDCUP!BD65</f>
        <v>Arabia Saudita</v>
      </c>
      <c r="D86" s="9" t="str">
        <f ca="1">+WORLDCUP!BD64</f>
        <v>Egipto</v>
      </c>
      <c r="E86" s="9" t="str">
        <f ca="1">+WORLDCUP!BD59</f>
        <v>Canadá</v>
      </c>
      <c r="F86" s="9" t="str">
        <f ca="1">+WORLDCUP!BD60</f>
        <v>Marruecos</v>
      </c>
      <c r="G86" s="9" t="str">
        <f ca="1">+WORLDCUP!BD67</f>
        <v>Argelia</v>
      </c>
      <c r="H86" s="9" t="str">
        <f ca="1">+WORLDCUP!BD63</f>
        <v>Suecia</v>
      </c>
      <c r="I86" s="9" t="str">
        <f ca="1">+WORLDCUP!BD69</f>
        <v>Ghana</v>
      </c>
      <c r="J86" s="9" t="str">
        <f ca="1">+WORLDCUP!BD68</f>
        <v>RD Congo</v>
      </c>
      <c r="N86" s="9" t="s">
        <v>1131</v>
      </c>
      <c r="O86" s="9">
        <v>85</v>
      </c>
      <c r="P86" s="9" t="s">
        <v>436</v>
      </c>
      <c r="Q86" s="9" t="s">
        <v>435</v>
      </c>
      <c r="R86" s="9" t="s">
        <v>90</v>
      </c>
      <c r="S86" s="9" t="s">
        <v>91</v>
      </c>
      <c r="T86" s="9" t="s">
        <v>441</v>
      </c>
      <c r="U86" s="9" t="s">
        <v>94</v>
      </c>
      <c r="V86" s="9" t="s">
        <v>443</v>
      </c>
      <c r="W86" s="9" t="s">
        <v>442</v>
      </c>
    </row>
    <row r="87" spans="1:23">
      <c r="A87" s="9" t="s">
        <v>1130</v>
      </c>
      <c r="B87" s="9">
        <f ca="1">+IF(A87=WORLDCUP!$BI$112,1,0)</f>
        <v>0</v>
      </c>
      <c r="C87" s="9" t="str">
        <f ca="1">+WORLDCUP!BD65</f>
        <v>Arabia Saudita</v>
      </c>
      <c r="D87" s="9" t="str">
        <f ca="1">+WORLDCUP!BD64</f>
        <v>Egipto</v>
      </c>
      <c r="E87" s="9" t="str">
        <f ca="1">+WORLDCUP!BD59</f>
        <v>Canadá</v>
      </c>
      <c r="F87" s="9" t="str">
        <f ca="1">+WORLDCUP!BD60</f>
        <v>Marruecos</v>
      </c>
      <c r="G87" s="9" t="str">
        <f ca="1">+WORLDCUP!BD66</f>
        <v>Senegal</v>
      </c>
      <c r="H87" s="9" t="str">
        <f ca="1">+WORLDCUP!BD63</f>
        <v>Suecia</v>
      </c>
      <c r="I87" s="9" t="str">
        <f ca="1">+WORLDCUP!BD69</f>
        <v>Ghana</v>
      </c>
      <c r="J87" s="9" t="str">
        <f ca="1">+WORLDCUP!BD68</f>
        <v>RD Congo</v>
      </c>
      <c r="N87" s="9" t="s">
        <v>1130</v>
      </c>
      <c r="O87" s="9">
        <v>86</v>
      </c>
      <c r="P87" s="9" t="s">
        <v>436</v>
      </c>
      <c r="Q87" s="9" t="s">
        <v>435</v>
      </c>
      <c r="R87" s="9" t="s">
        <v>90</v>
      </c>
      <c r="S87" s="9" t="s">
        <v>91</v>
      </c>
      <c r="T87" s="9" t="s">
        <v>440</v>
      </c>
      <c r="U87" s="9" t="s">
        <v>94</v>
      </c>
      <c r="V87" s="9" t="s">
        <v>443</v>
      </c>
      <c r="W87" s="9" t="s">
        <v>442</v>
      </c>
    </row>
    <row r="88" spans="1:23">
      <c r="A88" s="9" t="s">
        <v>1129</v>
      </c>
      <c r="B88" s="9">
        <f ca="1">+IF(A88=WORLDCUP!$BI$112,1,0)</f>
        <v>0</v>
      </c>
      <c r="C88" s="9" t="str">
        <f ca="1">+WORLDCUP!BD65</f>
        <v>Arabia Saudita</v>
      </c>
      <c r="D88" s="9" t="str">
        <f ca="1">+WORLDCUP!BD64</f>
        <v>Egipto</v>
      </c>
      <c r="E88" s="9" t="str">
        <f ca="1">+WORLDCUP!BD59</f>
        <v>Canadá</v>
      </c>
      <c r="F88" s="9" t="str">
        <f ca="1">+WORLDCUP!BD60</f>
        <v>Marruecos</v>
      </c>
      <c r="G88" s="9" t="str">
        <f ca="1">+WORLDCUP!BD67</f>
        <v>Argelia</v>
      </c>
      <c r="H88" s="9" t="str">
        <f ca="1">+WORLDCUP!BD63</f>
        <v>Suecia</v>
      </c>
      <c r="I88" s="9" t="str">
        <f ca="1">+WORLDCUP!BD69</f>
        <v>Ghana</v>
      </c>
      <c r="J88" s="9" t="str">
        <f ca="1">+WORLDCUP!BD66</f>
        <v>Senegal</v>
      </c>
      <c r="N88" s="9" t="s">
        <v>1129</v>
      </c>
      <c r="O88" s="9">
        <v>87</v>
      </c>
      <c r="P88" s="9" t="s">
        <v>436</v>
      </c>
      <c r="Q88" s="9" t="s">
        <v>435</v>
      </c>
      <c r="R88" s="9" t="s">
        <v>90</v>
      </c>
      <c r="S88" s="9" t="s">
        <v>91</v>
      </c>
      <c r="T88" s="9" t="s">
        <v>441</v>
      </c>
      <c r="U88" s="9" t="s">
        <v>94</v>
      </c>
      <c r="V88" s="9" t="s">
        <v>443</v>
      </c>
      <c r="W88" s="9" t="s">
        <v>440</v>
      </c>
    </row>
    <row r="89" spans="1:23">
      <c r="A89" s="9" t="s">
        <v>1128</v>
      </c>
      <c r="B89" s="9">
        <f ca="1">+IF(A89=WORLDCUP!$BI$112,1,0)</f>
        <v>0</v>
      </c>
      <c r="C89" s="9" t="str">
        <f ca="1">+WORLDCUP!BD65</f>
        <v>Arabia Saudita</v>
      </c>
      <c r="D89" s="9" t="str">
        <f ca="1">+WORLDCUP!BD64</f>
        <v>Egipto</v>
      </c>
      <c r="E89" s="9" t="str">
        <f ca="1">+WORLDCUP!BD59</f>
        <v>Canadá</v>
      </c>
      <c r="F89" s="9" t="str">
        <f ca="1">+WORLDCUP!BD60</f>
        <v>Marruecos</v>
      </c>
      <c r="G89" s="9" t="str">
        <f ca="1">+WORLDCUP!BD67</f>
        <v>Argelia</v>
      </c>
      <c r="H89" s="9" t="str">
        <f ca="1">+WORLDCUP!BD63</f>
        <v>Suecia</v>
      </c>
      <c r="I89" s="9" t="str">
        <f ca="1">+WORLDCUP!BD66</f>
        <v>Senegal</v>
      </c>
      <c r="J89" s="9" t="str">
        <f ca="1">+WORLDCUP!BD68</f>
        <v>RD Congo</v>
      </c>
      <c r="N89" s="9" t="s">
        <v>1128</v>
      </c>
      <c r="O89" s="9">
        <v>88</v>
      </c>
      <c r="P89" s="9" t="s">
        <v>436</v>
      </c>
      <c r="Q89" s="9" t="s">
        <v>435</v>
      </c>
      <c r="R89" s="9" t="s">
        <v>90</v>
      </c>
      <c r="S89" s="9" t="s">
        <v>91</v>
      </c>
      <c r="T89" s="9" t="s">
        <v>441</v>
      </c>
      <c r="U89" s="9" t="s">
        <v>94</v>
      </c>
      <c r="V89" s="9" t="s">
        <v>440</v>
      </c>
      <c r="W89" s="9" t="s">
        <v>442</v>
      </c>
    </row>
    <row r="90" spans="1:23">
      <c r="A90" s="9" t="s">
        <v>1127</v>
      </c>
      <c r="B90" s="9">
        <f ca="1">+IF(A90=WORLDCUP!$BI$112,1,0)</f>
        <v>0</v>
      </c>
      <c r="C90" s="9" t="str">
        <f ca="1">+WORLDCUP!BD62</f>
        <v>Ecuador</v>
      </c>
      <c r="D90" s="9" t="str">
        <f ca="1">+WORLDCUP!BD67</f>
        <v>Argelia</v>
      </c>
      <c r="E90" s="9" t="str">
        <f ca="1">+WORLDCUP!BD59</f>
        <v>Canadá</v>
      </c>
      <c r="F90" s="9" t="str">
        <f ca="1">+WORLDCUP!BD60</f>
        <v>Marruecos</v>
      </c>
      <c r="G90" s="9" t="str">
        <f ca="1">+WORLDCUP!BD66</f>
        <v>Senegal</v>
      </c>
      <c r="H90" s="9" t="str">
        <f ca="1">+WORLDCUP!BD65</f>
        <v>Arabia Saudita</v>
      </c>
      <c r="I90" s="9" t="str">
        <f ca="1">+WORLDCUP!BD69</f>
        <v>Ghana</v>
      </c>
      <c r="J90" s="9" t="str">
        <f ca="1">+WORLDCUP!BD68</f>
        <v>RD Congo</v>
      </c>
      <c r="N90" s="9" t="s">
        <v>1127</v>
      </c>
      <c r="O90" s="9">
        <v>89</v>
      </c>
      <c r="P90" s="9" t="s">
        <v>93</v>
      </c>
      <c r="Q90" s="9" t="s">
        <v>441</v>
      </c>
      <c r="R90" s="9" t="s">
        <v>90</v>
      </c>
      <c r="S90" s="9" t="s">
        <v>91</v>
      </c>
      <c r="T90" s="9" t="s">
        <v>440</v>
      </c>
      <c r="U90" s="9" t="s">
        <v>436</v>
      </c>
      <c r="V90" s="9" t="s">
        <v>443</v>
      </c>
      <c r="W90" s="9" t="s">
        <v>442</v>
      </c>
    </row>
    <row r="91" spans="1:23">
      <c r="A91" s="9" t="s">
        <v>1126</v>
      </c>
      <c r="B91" s="9">
        <f ca="1">+IF(A91=WORLDCUP!$BI$112,1,0)</f>
        <v>0</v>
      </c>
      <c r="C91" s="9" t="str">
        <f ca="1">+WORLDCUP!BD62</f>
        <v>Ecuador</v>
      </c>
      <c r="D91" s="9" t="str">
        <f ca="1">+WORLDCUP!BD67</f>
        <v>Argelia</v>
      </c>
      <c r="E91" s="9" t="str">
        <f ca="1">+WORLDCUP!BD59</f>
        <v>Canadá</v>
      </c>
      <c r="F91" s="9" t="str">
        <f ca="1">+WORLDCUP!BD60</f>
        <v>Marruecos</v>
      </c>
      <c r="G91" s="9" t="str">
        <f ca="1">+WORLDCUP!BD66</f>
        <v>Senegal</v>
      </c>
      <c r="H91" s="9" t="str">
        <f ca="1">+WORLDCUP!BD64</f>
        <v>Egipto</v>
      </c>
      <c r="I91" s="9" t="str">
        <f ca="1">+WORLDCUP!BD69</f>
        <v>Ghana</v>
      </c>
      <c r="J91" s="9" t="str">
        <f ca="1">+WORLDCUP!BD68</f>
        <v>RD Congo</v>
      </c>
      <c r="N91" s="9" t="s">
        <v>1126</v>
      </c>
      <c r="O91" s="9">
        <v>90</v>
      </c>
      <c r="P91" s="9" t="s">
        <v>93</v>
      </c>
      <c r="Q91" s="9" t="s">
        <v>441</v>
      </c>
      <c r="R91" s="9" t="s">
        <v>90</v>
      </c>
      <c r="S91" s="9" t="s">
        <v>91</v>
      </c>
      <c r="T91" s="9" t="s">
        <v>440</v>
      </c>
      <c r="U91" s="9" t="s">
        <v>435</v>
      </c>
      <c r="V91" s="9" t="s">
        <v>443</v>
      </c>
      <c r="W91" s="9" t="s">
        <v>442</v>
      </c>
    </row>
    <row r="92" spans="1:23">
      <c r="A92" s="9" t="s">
        <v>1125</v>
      </c>
      <c r="B92" s="9">
        <f ca="1">+IF(A92=WORLDCUP!$BI$112,1,0)</f>
        <v>0</v>
      </c>
      <c r="C92" s="9" t="str">
        <f ca="1">+WORLDCUP!BD62</f>
        <v>Ecuador</v>
      </c>
      <c r="D92" s="9" t="str">
        <f ca="1">+WORLDCUP!BD67</f>
        <v>Argelia</v>
      </c>
      <c r="E92" s="9" t="str">
        <f ca="1">+WORLDCUP!BD59</f>
        <v>Canadá</v>
      </c>
      <c r="F92" s="9" t="str">
        <f ca="1">+WORLDCUP!BD60</f>
        <v>Marruecos</v>
      </c>
      <c r="G92" s="9" t="str">
        <f ca="1">+WORLDCUP!BD65</f>
        <v>Arabia Saudita</v>
      </c>
      <c r="H92" s="9" t="str">
        <f ca="1">+WORLDCUP!BD64</f>
        <v>Egipto</v>
      </c>
      <c r="I92" s="9" t="str">
        <f ca="1">+WORLDCUP!BD69</f>
        <v>Ghana</v>
      </c>
      <c r="J92" s="9" t="str">
        <f ca="1">+WORLDCUP!BD68</f>
        <v>RD Congo</v>
      </c>
      <c r="N92" s="9" t="s">
        <v>1125</v>
      </c>
      <c r="O92" s="9">
        <v>91</v>
      </c>
      <c r="P92" s="9" t="s">
        <v>93</v>
      </c>
      <c r="Q92" s="9" t="s">
        <v>441</v>
      </c>
      <c r="R92" s="9" t="s">
        <v>90</v>
      </c>
      <c r="S92" s="9" t="s">
        <v>91</v>
      </c>
      <c r="T92" s="9" t="s">
        <v>436</v>
      </c>
      <c r="U92" s="9" t="s">
        <v>435</v>
      </c>
      <c r="V92" s="9" t="s">
        <v>443</v>
      </c>
      <c r="W92" s="9" t="s">
        <v>442</v>
      </c>
    </row>
    <row r="93" spans="1:23">
      <c r="A93" s="9" t="s">
        <v>1124</v>
      </c>
      <c r="B93" s="9">
        <f ca="1">+IF(A93=WORLDCUP!$BI$112,1,0)</f>
        <v>0</v>
      </c>
      <c r="C93" s="9" t="str">
        <f ca="1">+WORLDCUP!BD62</f>
        <v>Ecuador</v>
      </c>
      <c r="D93" s="9" t="str">
        <f ca="1">+WORLDCUP!BD64</f>
        <v>Egipto</v>
      </c>
      <c r="E93" s="9" t="str">
        <f ca="1">+WORLDCUP!BD59</f>
        <v>Canadá</v>
      </c>
      <c r="F93" s="9" t="str">
        <f ca="1">+WORLDCUP!BD60</f>
        <v>Marruecos</v>
      </c>
      <c r="G93" s="9" t="str">
        <f ca="1">+WORLDCUP!BD66</f>
        <v>Senegal</v>
      </c>
      <c r="H93" s="9" t="str">
        <f ca="1">+WORLDCUP!BD65</f>
        <v>Arabia Saudita</v>
      </c>
      <c r="I93" s="9" t="str">
        <f ca="1">+WORLDCUP!BD69</f>
        <v>Ghana</v>
      </c>
      <c r="J93" s="9" t="str">
        <f ca="1">+WORLDCUP!BD68</f>
        <v>RD Congo</v>
      </c>
      <c r="N93" s="9" t="s">
        <v>1124</v>
      </c>
      <c r="O93" s="9">
        <v>92</v>
      </c>
      <c r="P93" s="9" t="s">
        <v>93</v>
      </c>
      <c r="Q93" s="9" t="s">
        <v>435</v>
      </c>
      <c r="R93" s="9" t="s">
        <v>90</v>
      </c>
      <c r="S93" s="9" t="s">
        <v>91</v>
      </c>
      <c r="T93" s="9" t="s">
        <v>440</v>
      </c>
      <c r="U93" s="9" t="s">
        <v>436</v>
      </c>
      <c r="V93" s="9" t="s">
        <v>443</v>
      </c>
      <c r="W93" s="9" t="s">
        <v>442</v>
      </c>
    </row>
    <row r="94" spans="1:23">
      <c r="A94" s="9" t="s">
        <v>1123</v>
      </c>
      <c r="B94" s="9">
        <f ca="1">+IF(A94=WORLDCUP!$BI$112,1,0)</f>
        <v>0</v>
      </c>
      <c r="C94" s="9" t="str">
        <f ca="1">+WORLDCUP!BD62</f>
        <v>Ecuador</v>
      </c>
      <c r="D94" s="9" t="str">
        <f ca="1">+WORLDCUP!BD67</f>
        <v>Argelia</v>
      </c>
      <c r="E94" s="9" t="str">
        <f ca="1">+WORLDCUP!BD59</f>
        <v>Canadá</v>
      </c>
      <c r="F94" s="9" t="str">
        <f ca="1">+WORLDCUP!BD60</f>
        <v>Marruecos</v>
      </c>
      <c r="G94" s="9" t="str">
        <f ca="1">+WORLDCUP!BD65</f>
        <v>Arabia Saudita</v>
      </c>
      <c r="H94" s="9" t="str">
        <f ca="1">+WORLDCUP!BD64</f>
        <v>Egipto</v>
      </c>
      <c r="I94" s="9" t="str">
        <f ca="1">+WORLDCUP!BD69</f>
        <v>Ghana</v>
      </c>
      <c r="J94" s="9" t="str">
        <f ca="1">+WORLDCUP!BD66</f>
        <v>Senegal</v>
      </c>
      <c r="N94" s="9" t="s">
        <v>1123</v>
      </c>
      <c r="O94" s="9">
        <v>93</v>
      </c>
      <c r="P94" s="9" t="s">
        <v>93</v>
      </c>
      <c r="Q94" s="9" t="s">
        <v>441</v>
      </c>
      <c r="R94" s="9" t="s">
        <v>90</v>
      </c>
      <c r="S94" s="9" t="s">
        <v>91</v>
      </c>
      <c r="T94" s="9" t="s">
        <v>436</v>
      </c>
      <c r="U94" s="9" t="s">
        <v>435</v>
      </c>
      <c r="V94" s="9" t="s">
        <v>443</v>
      </c>
      <c r="W94" s="9" t="s">
        <v>440</v>
      </c>
    </row>
    <row r="95" spans="1:23">
      <c r="A95" s="9" t="s">
        <v>1122</v>
      </c>
      <c r="B95" s="9">
        <f ca="1">+IF(A95=WORLDCUP!$BI$112,1,0)</f>
        <v>0</v>
      </c>
      <c r="C95" s="9" t="str">
        <f ca="1">+WORLDCUP!BD62</f>
        <v>Ecuador</v>
      </c>
      <c r="D95" s="9" t="str">
        <f ca="1">+WORLDCUP!BD67</f>
        <v>Argelia</v>
      </c>
      <c r="E95" s="9" t="str">
        <f ca="1">+WORLDCUP!BD59</f>
        <v>Canadá</v>
      </c>
      <c r="F95" s="9" t="str">
        <f ca="1">+WORLDCUP!BD60</f>
        <v>Marruecos</v>
      </c>
      <c r="G95" s="9" t="str">
        <f ca="1">+WORLDCUP!BD65</f>
        <v>Arabia Saudita</v>
      </c>
      <c r="H95" s="9" t="str">
        <f ca="1">+WORLDCUP!BD64</f>
        <v>Egipto</v>
      </c>
      <c r="I95" s="9" t="str">
        <f ca="1">+WORLDCUP!BD66</f>
        <v>Senegal</v>
      </c>
      <c r="J95" s="9" t="str">
        <f ca="1">+WORLDCUP!BD68</f>
        <v>RD Congo</v>
      </c>
      <c r="N95" s="9" t="s">
        <v>1122</v>
      </c>
      <c r="O95" s="9">
        <v>94</v>
      </c>
      <c r="P95" s="9" t="s">
        <v>93</v>
      </c>
      <c r="Q95" s="9" t="s">
        <v>441</v>
      </c>
      <c r="R95" s="9" t="s">
        <v>90</v>
      </c>
      <c r="S95" s="9" t="s">
        <v>91</v>
      </c>
      <c r="T95" s="9" t="s">
        <v>436</v>
      </c>
      <c r="U95" s="9" t="s">
        <v>435</v>
      </c>
      <c r="V95" s="9" t="s">
        <v>440</v>
      </c>
      <c r="W95" s="9" t="s">
        <v>442</v>
      </c>
    </row>
    <row r="96" spans="1:23">
      <c r="A96" s="9" t="s">
        <v>1121</v>
      </c>
      <c r="B96" s="9">
        <f ca="1">+IF(A96=WORLDCUP!$BI$112,1,0)</f>
        <v>0</v>
      </c>
      <c r="C96" s="9" t="str">
        <f ca="1">+WORLDCUP!BD62</f>
        <v>Ecuador</v>
      </c>
      <c r="D96" s="9" t="str">
        <f ca="1">+WORLDCUP!BD67</f>
        <v>Argelia</v>
      </c>
      <c r="E96" s="9" t="str">
        <f ca="1">+WORLDCUP!BD59</f>
        <v>Canadá</v>
      </c>
      <c r="F96" s="9" t="str">
        <f ca="1">+WORLDCUP!BD60</f>
        <v>Marruecos</v>
      </c>
      <c r="G96" s="9" t="str">
        <f ca="1">+WORLDCUP!BD66</f>
        <v>Senegal</v>
      </c>
      <c r="H96" s="9" t="str">
        <f ca="1">+WORLDCUP!BD63</f>
        <v>Suecia</v>
      </c>
      <c r="I96" s="9" t="str">
        <f ca="1">+WORLDCUP!BD69</f>
        <v>Ghana</v>
      </c>
      <c r="J96" s="9" t="str">
        <f ca="1">+WORLDCUP!BD68</f>
        <v>RD Congo</v>
      </c>
      <c r="N96" s="9" t="s">
        <v>1121</v>
      </c>
      <c r="O96" s="9">
        <v>95</v>
      </c>
      <c r="P96" s="9" t="s">
        <v>93</v>
      </c>
      <c r="Q96" s="9" t="s">
        <v>441</v>
      </c>
      <c r="R96" s="9" t="s">
        <v>90</v>
      </c>
      <c r="S96" s="9" t="s">
        <v>91</v>
      </c>
      <c r="T96" s="9" t="s">
        <v>440</v>
      </c>
      <c r="U96" s="9" t="s">
        <v>94</v>
      </c>
      <c r="V96" s="9" t="s">
        <v>443</v>
      </c>
      <c r="W96" s="9" t="s">
        <v>442</v>
      </c>
    </row>
    <row r="97" spans="1:23">
      <c r="A97" s="9" t="s">
        <v>1120</v>
      </c>
      <c r="B97" s="9">
        <f ca="1">+IF(A97=WORLDCUP!$BI$112,1,0)</f>
        <v>0</v>
      </c>
      <c r="C97" s="9" t="str">
        <f ca="1">+WORLDCUP!BD62</f>
        <v>Ecuador</v>
      </c>
      <c r="D97" s="9" t="str">
        <f ca="1">+WORLDCUP!BD67</f>
        <v>Argelia</v>
      </c>
      <c r="E97" s="9" t="str">
        <f ca="1">+WORLDCUP!BD59</f>
        <v>Canadá</v>
      </c>
      <c r="F97" s="9" t="str">
        <f ca="1">+WORLDCUP!BD60</f>
        <v>Marruecos</v>
      </c>
      <c r="G97" s="9" t="str">
        <f ca="1">+WORLDCUP!BD65</f>
        <v>Arabia Saudita</v>
      </c>
      <c r="H97" s="9" t="str">
        <f ca="1">+WORLDCUP!BD63</f>
        <v>Suecia</v>
      </c>
      <c r="I97" s="9" t="str">
        <f ca="1">+WORLDCUP!BD69</f>
        <v>Ghana</v>
      </c>
      <c r="J97" s="9" t="str">
        <f ca="1">+WORLDCUP!BD68</f>
        <v>RD Congo</v>
      </c>
      <c r="N97" s="9" t="s">
        <v>1120</v>
      </c>
      <c r="O97" s="9">
        <v>96</v>
      </c>
      <c r="P97" s="9" t="s">
        <v>93</v>
      </c>
      <c r="Q97" s="9" t="s">
        <v>441</v>
      </c>
      <c r="R97" s="9" t="s">
        <v>90</v>
      </c>
      <c r="S97" s="9" t="s">
        <v>91</v>
      </c>
      <c r="T97" s="9" t="s">
        <v>436</v>
      </c>
      <c r="U97" s="9" t="s">
        <v>94</v>
      </c>
      <c r="V97" s="9" t="s">
        <v>443</v>
      </c>
      <c r="W97" s="9" t="s">
        <v>442</v>
      </c>
    </row>
    <row r="98" spans="1:23">
      <c r="A98" s="9" t="s">
        <v>1119</v>
      </c>
      <c r="B98" s="9">
        <f ca="1">+IF(A98=WORLDCUP!$BI$112,1,0)</f>
        <v>0</v>
      </c>
      <c r="C98" s="9" t="str">
        <f ca="1">+WORLDCUP!BD62</f>
        <v>Ecuador</v>
      </c>
      <c r="D98" s="9" t="str">
        <f ca="1">+WORLDCUP!BD66</f>
        <v>Senegal</v>
      </c>
      <c r="E98" s="9" t="str">
        <f ca="1">+WORLDCUP!BD59</f>
        <v>Canadá</v>
      </c>
      <c r="F98" s="9" t="str">
        <f ca="1">+WORLDCUP!BD60</f>
        <v>Marruecos</v>
      </c>
      <c r="G98" s="9" t="str">
        <f ca="1">+WORLDCUP!BD65</f>
        <v>Arabia Saudita</v>
      </c>
      <c r="H98" s="9" t="str">
        <f ca="1">+WORLDCUP!BD63</f>
        <v>Suecia</v>
      </c>
      <c r="I98" s="9" t="str">
        <f ca="1">+WORLDCUP!BD69</f>
        <v>Ghana</v>
      </c>
      <c r="J98" s="9" t="str">
        <f ca="1">+WORLDCUP!BD68</f>
        <v>RD Congo</v>
      </c>
      <c r="N98" s="9" t="s">
        <v>1119</v>
      </c>
      <c r="O98" s="9">
        <v>97</v>
      </c>
      <c r="P98" s="9" t="s">
        <v>93</v>
      </c>
      <c r="Q98" s="9" t="s">
        <v>440</v>
      </c>
      <c r="R98" s="9" t="s">
        <v>90</v>
      </c>
      <c r="S98" s="9" t="s">
        <v>91</v>
      </c>
      <c r="T98" s="9" t="s">
        <v>436</v>
      </c>
      <c r="U98" s="9" t="s">
        <v>94</v>
      </c>
      <c r="V98" s="9" t="s">
        <v>443</v>
      </c>
      <c r="W98" s="9" t="s">
        <v>442</v>
      </c>
    </row>
    <row r="99" spans="1:23">
      <c r="A99" s="9" t="s">
        <v>1118</v>
      </c>
      <c r="B99" s="9">
        <f ca="1">+IF(A99=WORLDCUP!$BI$112,1,0)</f>
        <v>0</v>
      </c>
      <c r="C99" s="9" t="str">
        <f ca="1">+WORLDCUP!BD62</f>
        <v>Ecuador</v>
      </c>
      <c r="D99" s="9" t="str">
        <f ca="1">+WORLDCUP!BD67</f>
        <v>Argelia</v>
      </c>
      <c r="E99" s="9" t="str">
        <f ca="1">+WORLDCUP!BD59</f>
        <v>Canadá</v>
      </c>
      <c r="F99" s="9" t="str">
        <f ca="1">+WORLDCUP!BD60</f>
        <v>Marruecos</v>
      </c>
      <c r="G99" s="9" t="str">
        <f ca="1">+WORLDCUP!BD65</f>
        <v>Arabia Saudita</v>
      </c>
      <c r="H99" s="9" t="str">
        <f ca="1">+WORLDCUP!BD63</f>
        <v>Suecia</v>
      </c>
      <c r="I99" s="9" t="str">
        <f ca="1">+WORLDCUP!BD69</f>
        <v>Ghana</v>
      </c>
      <c r="J99" s="9" t="str">
        <f ca="1">+WORLDCUP!BD66</f>
        <v>Senegal</v>
      </c>
      <c r="N99" s="9" t="s">
        <v>1118</v>
      </c>
      <c r="O99" s="9">
        <v>98</v>
      </c>
      <c r="P99" s="9" t="s">
        <v>93</v>
      </c>
      <c r="Q99" s="9" t="s">
        <v>441</v>
      </c>
      <c r="R99" s="9" t="s">
        <v>90</v>
      </c>
      <c r="S99" s="9" t="s">
        <v>91</v>
      </c>
      <c r="T99" s="9" t="s">
        <v>436</v>
      </c>
      <c r="U99" s="9" t="s">
        <v>94</v>
      </c>
      <c r="V99" s="9" t="s">
        <v>443</v>
      </c>
      <c r="W99" s="9" t="s">
        <v>440</v>
      </c>
    </row>
    <row r="100" spans="1:23">
      <c r="A100" s="9" t="s">
        <v>1117</v>
      </c>
      <c r="B100" s="9">
        <f ca="1">+IF(A100=WORLDCUP!$BI$112,1,0)</f>
        <v>0</v>
      </c>
      <c r="C100" s="9" t="str">
        <f ca="1">+WORLDCUP!BD62</f>
        <v>Ecuador</v>
      </c>
      <c r="D100" s="9" t="str">
        <f ca="1">+WORLDCUP!BD67</f>
        <v>Argelia</v>
      </c>
      <c r="E100" s="9" t="str">
        <f ca="1">+WORLDCUP!BD59</f>
        <v>Canadá</v>
      </c>
      <c r="F100" s="9" t="str">
        <f ca="1">+WORLDCUP!BD60</f>
        <v>Marruecos</v>
      </c>
      <c r="G100" s="9" t="str">
        <f ca="1">+WORLDCUP!BD65</f>
        <v>Arabia Saudita</v>
      </c>
      <c r="H100" s="9" t="str">
        <f ca="1">+WORLDCUP!BD63</f>
        <v>Suecia</v>
      </c>
      <c r="I100" s="9" t="str">
        <f ca="1">+WORLDCUP!BD66</f>
        <v>Senegal</v>
      </c>
      <c r="J100" s="9" t="str">
        <f ca="1">+WORLDCUP!BD68</f>
        <v>RD Congo</v>
      </c>
      <c r="N100" s="9" t="s">
        <v>1117</v>
      </c>
      <c r="O100" s="9">
        <v>99</v>
      </c>
      <c r="P100" s="9" t="s">
        <v>93</v>
      </c>
      <c r="Q100" s="9" t="s">
        <v>441</v>
      </c>
      <c r="R100" s="9" t="s">
        <v>90</v>
      </c>
      <c r="S100" s="9" t="s">
        <v>91</v>
      </c>
      <c r="T100" s="9" t="s">
        <v>436</v>
      </c>
      <c r="U100" s="9" t="s">
        <v>94</v>
      </c>
      <c r="V100" s="9" t="s">
        <v>440</v>
      </c>
      <c r="W100" s="9" t="s">
        <v>442</v>
      </c>
    </row>
    <row r="101" spans="1:23">
      <c r="A101" s="9" t="s">
        <v>1116</v>
      </c>
      <c r="B101" s="9">
        <f ca="1">+IF(A101=WORLDCUP!$BI$112,1,0)</f>
        <v>0</v>
      </c>
      <c r="C101" s="9" t="str">
        <f ca="1">+WORLDCUP!BD62</f>
        <v>Ecuador</v>
      </c>
      <c r="D101" s="9" t="str">
        <f ca="1">+WORLDCUP!BD64</f>
        <v>Egipto</v>
      </c>
      <c r="E101" s="9" t="str">
        <f ca="1">+WORLDCUP!BD59</f>
        <v>Canadá</v>
      </c>
      <c r="F101" s="9" t="str">
        <f ca="1">+WORLDCUP!BD60</f>
        <v>Marruecos</v>
      </c>
      <c r="G101" s="9" t="str">
        <f ca="1">+WORLDCUP!BD67</f>
        <v>Argelia</v>
      </c>
      <c r="H101" s="9" t="str">
        <f ca="1">+WORLDCUP!BD63</f>
        <v>Suecia</v>
      </c>
      <c r="I101" s="9" t="str">
        <f ca="1">+WORLDCUP!BD69</f>
        <v>Ghana</v>
      </c>
      <c r="J101" s="9" t="str">
        <f ca="1">+WORLDCUP!BD68</f>
        <v>RD Congo</v>
      </c>
      <c r="N101" s="9" t="s">
        <v>1116</v>
      </c>
      <c r="O101" s="9">
        <v>100</v>
      </c>
      <c r="P101" s="9" t="s">
        <v>93</v>
      </c>
      <c r="Q101" s="9" t="s">
        <v>435</v>
      </c>
      <c r="R101" s="9" t="s">
        <v>90</v>
      </c>
      <c r="S101" s="9" t="s">
        <v>91</v>
      </c>
      <c r="T101" s="9" t="s">
        <v>441</v>
      </c>
      <c r="U101" s="9" t="s">
        <v>94</v>
      </c>
      <c r="V101" s="9" t="s">
        <v>443</v>
      </c>
      <c r="W101" s="9" t="s">
        <v>442</v>
      </c>
    </row>
    <row r="102" spans="1:23">
      <c r="A102" s="9" t="s">
        <v>1115</v>
      </c>
      <c r="B102" s="9">
        <f ca="1">+IF(A102=WORLDCUP!$BI$112,1,0)</f>
        <v>0</v>
      </c>
      <c r="C102" s="9" t="str">
        <f ca="1">+WORLDCUP!BD62</f>
        <v>Ecuador</v>
      </c>
      <c r="D102" s="9" t="str">
        <f ca="1">+WORLDCUP!BD64</f>
        <v>Egipto</v>
      </c>
      <c r="E102" s="9" t="str">
        <f ca="1">+WORLDCUP!BD59</f>
        <v>Canadá</v>
      </c>
      <c r="F102" s="9" t="str">
        <f ca="1">+WORLDCUP!BD60</f>
        <v>Marruecos</v>
      </c>
      <c r="G102" s="9" t="str">
        <f ca="1">+WORLDCUP!BD66</f>
        <v>Senegal</v>
      </c>
      <c r="H102" s="9" t="str">
        <f ca="1">+WORLDCUP!BD63</f>
        <v>Suecia</v>
      </c>
      <c r="I102" s="9" t="str">
        <f ca="1">+WORLDCUP!BD69</f>
        <v>Ghana</v>
      </c>
      <c r="J102" s="9" t="str">
        <f ca="1">+WORLDCUP!BD68</f>
        <v>RD Congo</v>
      </c>
      <c r="N102" s="9" t="s">
        <v>1115</v>
      </c>
      <c r="O102" s="9">
        <v>101</v>
      </c>
      <c r="P102" s="9" t="s">
        <v>93</v>
      </c>
      <c r="Q102" s="9" t="s">
        <v>435</v>
      </c>
      <c r="R102" s="9" t="s">
        <v>90</v>
      </c>
      <c r="S102" s="9" t="s">
        <v>91</v>
      </c>
      <c r="T102" s="9" t="s">
        <v>440</v>
      </c>
      <c r="U102" s="9" t="s">
        <v>94</v>
      </c>
      <c r="V102" s="9" t="s">
        <v>443</v>
      </c>
      <c r="W102" s="9" t="s">
        <v>442</v>
      </c>
    </row>
    <row r="103" spans="1:23">
      <c r="A103" s="9" t="s">
        <v>1114</v>
      </c>
      <c r="B103" s="9">
        <f ca="1">+IF(A103=WORLDCUP!$BI$112,1,0)</f>
        <v>0</v>
      </c>
      <c r="C103" s="9" t="str">
        <f ca="1">+WORLDCUP!BD62</f>
        <v>Ecuador</v>
      </c>
      <c r="D103" s="9" t="str">
        <f ca="1">+WORLDCUP!BD64</f>
        <v>Egipto</v>
      </c>
      <c r="E103" s="9" t="str">
        <f ca="1">+WORLDCUP!BD59</f>
        <v>Canadá</v>
      </c>
      <c r="F103" s="9" t="str">
        <f ca="1">+WORLDCUP!BD60</f>
        <v>Marruecos</v>
      </c>
      <c r="G103" s="9" t="str">
        <f ca="1">+WORLDCUP!BD67</f>
        <v>Argelia</v>
      </c>
      <c r="H103" s="9" t="str">
        <f ca="1">+WORLDCUP!BD63</f>
        <v>Suecia</v>
      </c>
      <c r="I103" s="9" t="str">
        <f ca="1">+WORLDCUP!BD69</f>
        <v>Ghana</v>
      </c>
      <c r="J103" s="9" t="str">
        <f ca="1">+WORLDCUP!BD66</f>
        <v>Senegal</v>
      </c>
      <c r="N103" s="9" t="s">
        <v>1114</v>
      </c>
      <c r="O103" s="9">
        <v>102</v>
      </c>
      <c r="P103" s="9" t="s">
        <v>93</v>
      </c>
      <c r="Q103" s="9" t="s">
        <v>435</v>
      </c>
      <c r="R103" s="9" t="s">
        <v>90</v>
      </c>
      <c r="S103" s="9" t="s">
        <v>91</v>
      </c>
      <c r="T103" s="9" t="s">
        <v>441</v>
      </c>
      <c r="U103" s="9" t="s">
        <v>94</v>
      </c>
      <c r="V103" s="9" t="s">
        <v>443</v>
      </c>
      <c r="W103" s="9" t="s">
        <v>440</v>
      </c>
    </row>
    <row r="104" spans="1:23">
      <c r="A104" s="9" t="s">
        <v>1113</v>
      </c>
      <c r="B104" s="9">
        <f ca="1">+IF(A104=WORLDCUP!$BI$112,1,0)</f>
        <v>0</v>
      </c>
      <c r="C104" s="9" t="str">
        <f ca="1">+WORLDCUP!BD62</f>
        <v>Ecuador</v>
      </c>
      <c r="D104" s="9" t="str">
        <f ca="1">+WORLDCUP!BD64</f>
        <v>Egipto</v>
      </c>
      <c r="E104" s="9" t="str">
        <f ca="1">+WORLDCUP!BD59</f>
        <v>Canadá</v>
      </c>
      <c r="F104" s="9" t="str">
        <f ca="1">+WORLDCUP!BD60</f>
        <v>Marruecos</v>
      </c>
      <c r="G104" s="9" t="str">
        <f ca="1">+WORLDCUP!BD67</f>
        <v>Argelia</v>
      </c>
      <c r="H104" s="9" t="str">
        <f ca="1">+WORLDCUP!BD63</f>
        <v>Suecia</v>
      </c>
      <c r="I104" s="9" t="str">
        <f ca="1">+WORLDCUP!BD66</f>
        <v>Senegal</v>
      </c>
      <c r="J104" s="9" t="str">
        <f ca="1">+WORLDCUP!BD68</f>
        <v>RD Congo</v>
      </c>
      <c r="N104" s="9" t="s">
        <v>1113</v>
      </c>
      <c r="O104" s="9">
        <v>103</v>
      </c>
      <c r="P104" s="9" t="s">
        <v>93</v>
      </c>
      <c r="Q104" s="9" t="s">
        <v>435</v>
      </c>
      <c r="R104" s="9" t="s">
        <v>90</v>
      </c>
      <c r="S104" s="9" t="s">
        <v>91</v>
      </c>
      <c r="T104" s="9" t="s">
        <v>441</v>
      </c>
      <c r="U104" s="9" t="s">
        <v>94</v>
      </c>
      <c r="V104" s="9" t="s">
        <v>440</v>
      </c>
      <c r="W104" s="9" t="s">
        <v>442</v>
      </c>
    </row>
    <row r="105" spans="1:23">
      <c r="A105" s="9" t="s">
        <v>1112</v>
      </c>
      <c r="B105" s="9">
        <f ca="1">+IF(A105=WORLDCUP!$BI$112,1,0)</f>
        <v>0</v>
      </c>
      <c r="C105" s="9" t="str">
        <f ca="1">+WORLDCUP!BD62</f>
        <v>Ecuador</v>
      </c>
      <c r="D105" s="9" t="str">
        <f ca="1">+WORLDCUP!BD64</f>
        <v>Egipto</v>
      </c>
      <c r="E105" s="9" t="str">
        <f ca="1">+WORLDCUP!BD59</f>
        <v>Canadá</v>
      </c>
      <c r="F105" s="9" t="str">
        <f ca="1">+WORLDCUP!BD60</f>
        <v>Marruecos</v>
      </c>
      <c r="G105" s="9" t="str">
        <f ca="1">+WORLDCUP!BD65</f>
        <v>Arabia Saudita</v>
      </c>
      <c r="H105" s="9" t="str">
        <f ca="1">+WORLDCUP!BD63</f>
        <v>Suecia</v>
      </c>
      <c r="I105" s="9" t="str">
        <f ca="1">+WORLDCUP!BD69</f>
        <v>Ghana</v>
      </c>
      <c r="J105" s="9" t="str">
        <f ca="1">+WORLDCUP!BD68</f>
        <v>RD Congo</v>
      </c>
      <c r="N105" s="9" t="s">
        <v>1112</v>
      </c>
      <c r="O105" s="9">
        <v>104</v>
      </c>
      <c r="P105" s="9" t="s">
        <v>93</v>
      </c>
      <c r="Q105" s="9" t="s">
        <v>435</v>
      </c>
      <c r="R105" s="9" t="s">
        <v>90</v>
      </c>
      <c r="S105" s="9" t="s">
        <v>91</v>
      </c>
      <c r="T105" s="9" t="s">
        <v>436</v>
      </c>
      <c r="U105" s="9" t="s">
        <v>94</v>
      </c>
      <c r="V105" s="9" t="s">
        <v>443</v>
      </c>
      <c r="W105" s="9" t="s">
        <v>442</v>
      </c>
    </row>
    <row r="106" spans="1:23">
      <c r="A106" s="9" t="s">
        <v>1111</v>
      </c>
      <c r="B106" s="9">
        <f ca="1">+IF(A106=WORLDCUP!$BI$112,1,0)</f>
        <v>0</v>
      </c>
      <c r="C106" s="9" t="str">
        <f ca="1">+WORLDCUP!BD65</f>
        <v>Arabia Saudita</v>
      </c>
      <c r="D106" s="9" t="str">
        <f ca="1">+WORLDCUP!BD64</f>
        <v>Egipto</v>
      </c>
      <c r="E106" s="9" t="str">
        <f ca="1">+WORLDCUP!BD59</f>
        <v>Canadá</v>
      </c>
      <c r="F106" s="9" t="str">
        <f ca="1">+WORLDCUP!BD60</f>
        <v>Marruecos</v>
      </c>
      <c r="G106" s="9" t="str">
        <f ca="1">+WORLDCUP!BD67</f>
        <v>Argelia</v>
      </c>
      <c r="H106" s="9" t="str">
        <f ca="1">+WORLDCUP!BD63</f>
        <v>Suecia</v>
      </c>
      <c r="I106" s="9" t="str">
        <f ca="1">+WORLDCUP!BD69</f>
        <v>Ghana</v>
      </c>
      <c r="J106" s="9" t="str">
        <f ca="1">+WORLDCUP!BD62</f>
        <v>Ecuador</v>
      </c>
      <c r="N106" s="9" t="s">
        <v>1111</v>
      </c>
      <c r="O106" s="9">
        <v>105</v>
      </c>
      <c r="P106" s="9" t="s">
        <v>436</v>
      </c>
      <c r="Q106" s="9" t="s">
        <v>435</v>
      </c>
      <c r="R106" s="9" t="s">
        <v>90</v>
      </c>
      <c r="S106" s="9" t="s">
        <v>91</v>
      </c>
      <c r="T106" s="9" t="s">
        <v>441</v>
      </c>
      <c r="U106" s="9" t="s">
        <v>94</v>
      </c>
      <c r="V106" s="9" t="s">
        <v>443</v>
      </c>
      <c r="W106" s="9" t="s">
        <v>93</v>
      </c>
    </row>
    <row r="107" spans="1:23">
      <c r="A107" s="9" t="s">
        <v>1110</v>
      </c>
      <c r="B107" s="9">
        <f ca="1">+IF(A107=WORLDCUP!$BI$112,1,0)</f>
        <v>0</v>
      </c>
      <c r="C107" s="9" t="str">
        <f ca="1">+WORLDCUP!BD65</f>
        <v>Arabia Saudita</v>
      </c>
      <c r="D107" s="9" t="str">
        <f ca="1">+WORLDCUP!BD64</f>
        <v>Egipto</v>
      </c>
      <c r="E107" s="9" t="str">
        <f ca="1">+WORLDCUP!BD59</f>
        <v>Canadá</v>
      </c>
      <c r="F107" s="9" t="str">
        <f ca="1">+WORLDCUP!BD60</f>
        <v>Marruecos</v>
      </c>
      <c r="G107" s="9" t="str">
        <f ca="1">+WORLDCUP!BD67</f>
        <v>Argelia</v>
      </c>
      <c r="H107" s="9" t="str">
        <f ca="1">+WORLDCUP!BD63</f>
        <v>Suecia</v>
      </c>
      <c r="I107" s="9" t="str">
        <f ca="1">+WORLDCUP!BD62</f>
        <v>Ecuador</v>
      </c>
      <c r="J107" s="9" t="str">
        <f ca="1">+WORLDCUP!BD68</f>
        <v>RD Congo</v>
      </c>
      <c r="N107" s="9" t="s">
        <v>1110</v>
      </c>
      <c r="O107" s="9">
        <v>106</v>
      </c>
      <c r="P107" s="9" t="s">
        <v>436</v>
      </c>
      <c r="Q107" s="9" t="s">
        <v>435</v>
      </c>
      <c r="R107" s="9" t="s">
        <v>90</v>
      </c>
      <c r="S107" s="9" t="s">
        <v>91</v>
      </c>
      <c r="T107" s="9" t="s">
        <v>441</v>
      </c>
      <c r="U107" s="9" t="s">
        <v>94</v>
      </c>
      <c r="V107" s="9" t="s">
        <v>93</v>
      </c>
      <c r="W107" s="9" t="s">
        <v>442</v>
      </c>
    </row>
    <row r="108" spans="1:23">
      <c r="A108" s="9" t="s">
        <v>1109</v>
      </c>
      <c r="B108" s="9">
        <f ca="1">+IF(A108=WORLDCUP!$BI$112,1,0)</f>
        <v>0</v>
      </c>
      <c r="C108" s="9" t="str">
        <f ca="1">+WORLDCUP!BD62</f>
        <v>Ecuador</v>
      </c>
      <c r="D108" s="9" t="str">
        <f ca="1">+WORLDCUP!BD64</f>
        <v>Egipto</v>
      </c>
      <c r="E108" s="9" t="str">
        <f ca="1">+WORLDCUP!BD59</f>
        <v>Canadá</v>
      </c>
      <c r="F108" s="9" t="str">
        <f ca="1">+WORLDCUP!BD60</f>
        <v>Marruecos</v>
      </c>
      <c r="G108" s="9" t="str">
        <f ca="1">+WORLDCUP!BD65</f>
        <v>Arabia Saudita</v>
      </c>
      <c r="H108" s="9" t="str">
        <f ca="1">+WORLDCUP!BD63</f>
        <v>Suecia</v>
      </c>
      <c r="I108" s="9" t="str">
        <f ca="1">+WORLDCUP!BD69</f>
        <v>Ghana</v>
      </c>
      <c r="J108" s="9" t="str">
        <f ca="1">+WORLDCUP!BD66</f>
        <v>Senegal</v>
      </c>
      <c r="N108" s="9" t="s">
        <v>1109</v>
      </c>
      <c r="O108" s="9">
        <v>107</v>
      </c>
      <c r="P108" s="9" t="s">
        <v>93</v>
      </c>
      <c r="Q108" s="9" t="s">
        <v>435</v>
      </c>
      <c r="R108" s="9" t="s">
        <v>90</v>
      </c>
      <c r="S108" s="9" t="s">
        <v>91</v>
      </c>
      <c r="T108" s="9" t="s">
        <v>436</v>
      </c>
      <c r="U108" s="9" t="s">
        <v>94</v>
      </c>
      <c r="V108" s="9" t="s">
        <v>443</v>
      </c>
      <c r="W108" s="9" t="s">
        <v>440</v>
      </c>
    </row>
    <row r="109" spans="1:23">
      <c r="A109" s="9" t="s">
        <v>1108</v>
      </c>
      <c r="B109" s="9">
        <f ca="1">+IF(A109=WORLDCUP!$BI$112,1,0)</f>
        <v>0</v>
      </c>
      <c r="C109" s="9" t="str">
        <f ca="1">+WORLDCUP!BD62</f>
        <v>Ecuador</v>
      </c>
      <c r="D109" s="9" t="str">
        <f ca="1">+WORLDCUP!BD64</f>
        <v>Egipto</v>
      </c>
      <c r="E109" s="9" t="str">
        <f ca="1">+WORLDCUP!BD59</f>
        <v>Canadá</v>
      </c>
      <c r="F109" s="9" t="str">
        <f ca="1">+WORLDCUP!BD60</f>
        <v>Marruecos</v>
      </c>
      <c r="G109" s="9" t="str">
        <f ca="1">+WORLDCUP!BD65</f>
        <v>Arabia Saudita</v>
      </c>
      <c r="H109" s="9" t="str">
        <f ca="1">+WORLDCUP!BD63</f>
        <v>Suecia</v>
      </c>
      <c r="I109" s="9" t="str">
        <f ca="1">+WORLDCUP!BD66</f>
        <v>Senegal</v>
      </c>
      <c r="J109" s="9" t="str">
        <f ca="1">+WORLDCUP!BD68</f>
        <v>RD Congo</v>
      </c>
      <c r="N109" s="9" t="s">
        <v>1108</v>
      </c>
      <c r="O109" s="9">
        <v>108</v>
      </c>
      <c r="P109" s="9" t="s">
        <v>93</v>
      </c>
      <c r="Q109" s="9" t="s">
        <v>435</v>
      </c>
      <c r="R109" s="9" t="s">
        <v>90</v>
      </c>
      <c r="S109" s="9" t="s">
        <v>91</v>
      </c>
      <c r="T109" s="9" t="s">
        <v>436</v>
      </c>
      <c r="U109" s="9" t="s">
        <v>94</v>
      </c>
      <c r="V109" s="9" t="s">
        <v>440</v>
      </c>
      <c r="W109" s="9" t="s">
        <v>442</v>
      </c>
    </row>
    <row r="110" spans="1:23">
      <c r="A110" s="9" t="s">
        <v>1107</v>
      </c>
      <c r="B110" s="9">
        <f ca="1">+IF(A110=WORLDCUP!$BI$112,1,0)</f>
        <v>0</v>
      </c>
      <c r="C110" s="9" t="str">
        <f ca="1">+WORLDCUP!BD65</f>
        <v>Arabia Saudita</v>
      </c>
      <c r="D110" s="9" t="str">
        <f ca="1">+WORLDCUP!BD64</f>
        <v>Egipto</v>
      </c>
      <c r="E110" s="9" t="str">
        <f ca="1">+WORLDCUP!BD59</f>
        <v>Canadá</v>
      </c>
      <c r="F110" s="9" t="str">
        <f ca="1">+WORLDCUP!BD60</f>
        <v>Marruecos</v>
      </c>
      <c r="G110" s="9" t="str">
        <f ca="1">+WORLDCUP!BD67</f>
        <v>Argelia</v>
      </c>
      <c r="H110" s="9" t="str">
        <f ca="1">+WORLDCUP!BD63</f>
        <v>Suecia</v>
      </c>
      <c r="I110" s="9" t="str">
        <f ca="1">+WORLDCUP!BD62</f>
        <v>Ecuador</v>
      </c>
      <c r="J110" s="9" t="str">
        <f ca="1">+WORLDCUP!BD66</f>
        <v>Senegal</v>
      </c>
      <c r="N110" s="9" t="s">
        <v>1107</v>
      </c>
      <c r="O110" s="9">
        <v>109</v>
      </c>
      <c r="P110" s="9" t="s">
        <v>436</v>
      </c>
      <c r="Q110" s="9" t="s">
        <v>435</v>
      </c>
      <c r="R110" s="9" t="s">
        <v>90</v>
      </c>
      <c r="S110" s="9" t="s">
        <v>91</v>
      </c>
      <c r="T110" s="9" t="s">
        <v>441</v>
      </c>
      <c r="U110" s="9" t="s">
        <v>94</v>
      </c>
      <c r="V110" s="9" t="s">
        <v>93</v>
      </c>
      <c r="W110" s="9" t="s">
        <v>440</v>
      </c>
    </row>
    <row r="111" spans="1:23">
      <c r="A111" s="9" t="s">
        <v>1106</v>
      </c>
      <c r="B111" s="9">
        <f ca="1">+IF(A111=WORLDCUP!$BI$112,1,0)</f>
        <v>0</v>
      </c>
      <c r="C111" s="9" t="str">
        <f ca="1">+WORLDCUP!BD65</f>
        <v>Arabia Saudita</v>
      </c>
      <c r="D111" s="9" t="str">
        <f ca="1">+WORLDCUP!BD67</f>
        <v>Argelia</v>
      </c>
      <c r="E111" s="9" t="str">
        <f ca="1">+WORLDCUP!BD59</f>
        <v>Canadá</v>
      </c>
      <c r="F111" s="9" t="str">
        <f ca="1">+WORLDCUP!BD60</f>
        <v>Marruecos</v>
      </c>
      <c r="G111" s="9" t="str">
        <f ca="1">+WORLDCUP!BD66</f>
        <v>Senegal</v>
      </c>
      <c r="H111" s="9" t="str">
        <f ca="1">+WORLDCUP!BD61</f>
        <v>Paraguay</v>
      </c>
      <c r="I111" s="9" t="str">
        <f ca="1">+WORLDCUP!BD69</f>
        <v>Ghana</v>
      </c>
      <c r="J111" s="9" t="str">
        <f ca="1">+WORLDCUP!BD68</f>
        <v>RD Congo</v>
      </c>
      <c r="N111" s="9" t="s">
        <v>1106</v>
      </c>
      <c r="O111" s="9">
        <v>110</v>
      </c>
      <c r="P111" s="9" t="s">
        <v>436</v>
      </c>
      <c r="Q111" s="9" t="s">
        <v>441</v>
      </c>
      <c r="R111" s="9" t="s">
        <v>90</v>
      </c>
      <c r="S111" s="9" t="s">
        <v>91</v>
      </c>
      <c r="T111" s="9" t="s">
        <v>440</v>
      </c>
      <c r="U111" s="9" t="s">
        <v>92</v>
      </c>
      <c r="V111" s="9" t="s">
        <v>443</v>
      </c>
      <c r="W111" s="9" t="s">
        <v>442</v>
      </c>
    </row>
    <row r="112" spans="1:23">
      <c r="A112" s="9" t="s">
        <v>1105</v>
      </c>
      <c r="B112" s="9">
        <f ca="1">+IF(A112=WORLDCUP!$BI$112,1,0)</f>
        <v>0</v>
      </c>
      <c r="C112" s="9" t="str">
        <f ca="1">+WORLDCUP!BD66</f>
        <v>Senegal</v>
      </c>
      <c r="D112" s="9" t="str">
        <f ca="1">+WORLDCUP!BD64</f>
        <v>Egipto</v>
      </c>
      <c r="E112" s="9" t="str">
        <f ca="1">+WORLDCUP!BD59</f>
        <v>Canadá</v>
      </c>
      <c r="F112" s="9" t="str">
        <f ca="1">+WORLDCUP!BD60</f>
        <v>Marruecos</v>
      </c>
      <c r="G112" s="9" t="str">
        <f ca="1">+WORLDCUP!BD67</f>
        <v>Argelia</v>
      </c>
      <c r="H112" s="9" t="str">
        <f ca="1">+WORLDCUP!BD61</f>
        <v>Paraguay</v>
      </c>
      <c r="I112" s="9" t="str">
        <f ca="1">+WORLDCUP!BD69</f>
        <v>Ghana</v>
      </c>
      <c r="J112" s="9" t="str">
        <f ca="1">+WORLDCUP!BD68</f>
        <v>RD Congo</v>
      </c>
      <c r="N112" s="9" t="s">
        <v>1105</v>
      </c>
      <c r="O112" s="9">
        <v>111</v>
      </c>
      <c r="P112" s="9" t="s">
        <v>440</v>
      </c>
      <c r="Q112" s="9" t="s">
        <v>435</v>
      </c>
      <c r="R112" s="9" t="s">
        <v>90</v>
      </c>
      <c r="S112" s="9" t="s">
        <v>91</v>
      </c>
      <c r="T112" s="9" t="s">
        <v>441</v>
      </c>
      <c r="U112" s="9" t="s">
        <v>92</v>
      </c>
      <c r="V112" s="9" t="s">
        <v>443</v>
      </c>
      <c r="W112" s="9" t="s">
        <v>442</v>
      </c>
    </row>
    <row r="113" spans="1:23">
      <c r="A113" s="9" t="s">
        <v>1104</v>
      </c>
      <c r="B113" s="9">
        <f ca="1">+IF(A113=WORLDCUP!$BI$112,1,0)</f>
        <v>0</v>
      </c>
      <c r="C113" s="9" t="str">
        <f ca="1">+WORLDCUP!BD65</f>
        <v>Arabia Saudita</v>
      </c>
      <c r="D113" s="9" t="str">
        <f ca="1">+WORLDCUP!BD64</f>
        <v>Egipto</v>
      </c>
      <c r="E113" s="9" t="str">
        <f ca="1">+WORLDCUP!BD59</f>
        <v>Canadá</v>
      </c>
      <c r="F113" s="9" t="str">
        <f ca="1">+WORLDCUP!BD60</f>
        <v>Marruecos</v>
      </c>
      <c r="G113" s="9" t="str">
        <f ca="1">+WORLDCUP!BD67</f>
        <v>Argelia</v>
      </c>
      <c r="H113" s="9" t="str">
        <f ca="1">+WORLDCUP!BD61</f>
        <v>Paraguay</v>
      </c>
      <c r="I113" s="9" t="str">
        <f ca="1">+WORLDCUP!BD69</f>
        <v>Ghana</v>
      </c>
      <c r="J113" s="9" t="str">
        <f ca="1">+WORLDCUP!BD68</f>
        <v>RD Congo</v>
      </c>
      <c r="N113" s="9" t="s">
        <v>1104</v>
      </c>
      <c r="O113" s="9">
        <v>112</v>
      </c>
      <c r="P113" s="9" t="s">
        <v>436</v>
      </c>
      <c r="Q113" s="9" t="s">
        <v>435</v>
      </c>
      <c r="R113" s="9" t="s">
        <v>90</v>
      </c>
      <c r="S113" s="9" t="s">
        <v>91</v>
      </c>
      <c r="T113" s="9" t="s">
        <v>441</v>
      </c>
      <c r="U113" s="9" t="s">
        <v>92</v>
      </c>
      <c r="V113" s="9" t="s">
        <v>443</v>
      </c>
      <c r="W113" s="9" t="s">
        <v>442</v>
      </c>
    </row>
    <row r="114" spans="1:23">
      <c r="A114" s="9" t="s">
        <v>1103</v>
      </c>
      <c r="B114" s="9">
        <f ca="1">+IF(A114=WORLDCUP!$BI$112,1,0)</f>
        <v>0</v>
      </c>
      <c r="C114" s="9" t="str">
        <f ca="1">+WORLDCUP!BD65</f>
        <v>Arabia Saudita</v>
      </c>
      <c r="D114" s="9" t="str">
        <f ca="1">+WORLDCUP!BD64</f>
        <v>Egipto</v>
      </c>
      <c r="E114" s="9" t="str">
        <f ca="1">+WORLDCUP!BD59</f>
        <v>Canadá</v>
      </c>
      <c r="F114" s="9" t="str">
        <f ca="1">+WORLDCUP!BD60</f>
        <v>Marruecos</v>
      </c>
      <c r="G114" s="9" t="str">
        <f ca="1">+WORLDCUP!BD66</f>
        <v>Senegal</v>
      </c>
      <c r="H114" s="9" t="str">
        <f ca="1">+WORLDCUP!BD61</f>
        <v>Paraguay</v>
      </c>
      <c r="I114" s="9" t="str">
        <f ca="1">+WORLDCUP!BD69</f>
        <v>Ghana</v>
      </c>
      <c r="J114" s="9" t="str">
        <f ca="1">+WORLDCUP!BD68</f>
        <v>RD Congo</v>
      </c>
      <c r="N114" s="9" t="s">
        <v>1103</v>
      </c>
      <c r="O114" s="9">
        <v>113</v>
      </c>
      <c r="P114" s="9" t="s">
        <v>436</v>
      </c>
      <c r="Q114" s="9" t="s">
        <v>435</v>
      </c>
      <c r="R114" s="9" t="s">
        <v>90</v>
      </c>
      <c r="S114" s="9" t="s">
        <v>91</v>
      </c>
      <c r="T114" s="9" t="s">
        <v>440</v>
      </c>
      <c r="U114" s="9" t="s">
        <v>92</v>
      </c>
      <c r="V114" s="9" t="s">
        <v>443</v>
      </c>
      <c r="W114" s="9" t="s">
        <v>442</v>
      </c>
    </row>
    <row r="115" spans="1:23">
      <c r="A115" s="9" t="s">
        <v>1102</v>
      </c>
      <c r="B115" s="9">
        <f ca="1">+IF(A115=WORLDCUP!$BI$112,1,0)</f>
        <v>0</v>
      </c>
      <c r="C115" s="9" t="str">
        <f ca="1">+WORLDCUP!BD65</f>
        <v>Arabia Saudita</v>
      </c>
      <c r="D115" s="9" t="str">
        <f ca="1">+WORLDCUP!BD64</f>
        <v>Egipto</v>
      </c>
      <c r="E115" s="9" t="str">
        <f ca="1">+WORLDCUP!BD59</f>
        <v>Canadá</v>
      </c>
      <c r="F115" s="9" t="str">
        <f ca="1">+WORLDCUP!BD60</f>
        <v>Marruecos</v>
      </c>
      <c r="G115" s="9" t="str">
        <f ca="1">+WORLDCUP!BD67</f>
        <v>Argelia</v>
      </c>
      <c r="H115" s="9" t="str">
        <f ca="1">+WORLDCUP!BD61</f>
        <v>Paraguay</v>
      </c>
      <c r="I115" s="9" t="str">
        <f ca="1">+WORLDCUP!BD69</f>
        <v>Ghana</v>
      </c>
      <c r="J115" s="9" t="str">
        <f ca="1">+WORLDCUP!BD66</f>
        <v>Senegal</v>
      </c>
      <c r="N115" s="9" t="s">
        <v>1102</v>
      </c>
      <c r="O115" s="9">
        <v>114</v>
      </c>
      <c r="P115" s="9" t="s">
        <v>436</v>
      </c>
      <c r="Q115" s="9" t="s">
        <v>435</v>
      </c>
      <c r="R115" s="9" t="s">
        <v>90</v>
      </c>
      <c r="S115" s="9" t="s">
        <v>91</v>
      </c>
      <c r="T115" s="9" t="s">
        <v>441</v>
      </c>
      <c r="U115" s="9" t="s">
        <v>92</v>
      </c>
      <c r="V115" s="9" t="s">
        <v>443</v>
      </c>
      <c r="W115" s="9" t="s">
        <v>440</v>
      </c>
    </row>
    <row r="116" spans="1:23">
      <c r="A116" s="9" t="s">
        <v>1101</v>
      </c>
      <c r="B116" s="9">
        <f ca="1">+IF(A116=WORLDCUP!$BI$112,1,0)</f>
        <v>0</v>
      </c>
      <c r="C116" s="9" t="str">
        <f ca="1">+WORLDCUP!BD65</f>
        <v>Arabia Saudita</v>
      </c>
      <c r="D116" s="9" t="str">
        <f ca="1">+WORLDCUP!BD64</f>
        <v>Egipto</v>
      </c>
      <c r="E116" s="9" t="str">
        <f ca="1">+WORLDCUP!BD59</f>
        <v>Canadá</v>
      </c>
      <c r="F116" s="9" t="str">
        <f ca="1">+WORLDCUP!BD60</f>
        <v>Marruecos</v>
      </c>
      <c r="G116" s="9" t="str">
        <f ca="1">+WORLDCUP!BD67</f>
        <v>Argelia</v>
      </c>
      <c r="H116" s="9" t="str">
        <f ca="1">+WORLDCUP!BD61</f>
        <v>Paraguay</v>
      </c>
      <c r="I116" s="9" t="str">
        <f ca="1">+WORLDCUP!BD66</f>
        <v>Senegal</v>
      </c>
      <c r="J116" s="9" t="str">
        <f ca="1">+WORLDCUP!BD68</f>
        <v>RD Congo</v>
      </c>
      <c r="N116" s="9" t="s">
        <v>1101</v>
      </c>
      <c r="O116" s="9">
        <v>115</v>
      </c>
      <c r="P116" s="9" t="s">
        <v>436</v>
      </c>
      <c r="Q116" s="9" t="s">
        <v>435</v>
      </c>
      <c r="R116" s="9" t="s">
        <v>90</v>
      </c>
      <c r="S116" s="9" t="s">
        <v>91</v>
      </c>
      <c r="T116" s="9" t="s">
        <v>441</v>
      </c>
      <c r="U116" s="9" t="s">
        <v>92</v>
      </c>
      <c r="V116" s="9" t="s">
        <v>440</v>
      </c>
      <c r="W116" s="9" t="s">
        <v>442</v>
      </c>
    </row>
    <row r="117" spans="1:23">
      <c r="A117" s="9" t="s">
        <v>1100</v>
      </c>
      <c r="B117" s="9">
        <f ca="1">+IF(A117=WORLDCUP!$BI$112,1,0)</f>
        <v>0</v>
      </c>
      <c r="C117" s="9" t="str">
        <f ca="1">+WORLDCUP!BD60</f>
        <v>Marruecos</v>
      </c>
      <c r="D117" s="9" t="str">
        <f ca="1">+WORLDCUP!BD67</f>
        <v>Argelia</v>
      </c>
      <c r="E117" s="9" t="str">
        <f ca="1">+WORLDCUP!BD59</f>
        <v>Canadá</v>
      </c>
      <c r="F117" s="9" t="str">
        <f ca="1">+WORLDCUP!BD61</f>
        <v>Paraguay</v>
      </c>
      <c r="G117" s="9" t="str">
        <f ca="1">+WORLDCUP!BD66</f>
        <v>Senegal</v>
      </c>
      <c r="H117" s="9" t="str">
        <f ca="1">+WORLDCUP!BD63</f>
        <v>Suecia</v>
      </c>
      <c r="I117" s="9" t="str">
        <f ca="1">+WORLDCUP!BD69</f>
        <v>Ghana</v>
      </c>
      <c r="J117" s="9" t="str">
        <f ca="1">+WORLDCUP!BD68</f>
        <v>RD Congo</v>
      </c>
      <c r="N117" s="9" t="s">
        <v>1100</v>
      </c>
      <c r="O117" s="9">
        <v>116</v>
      </c>
      <c r="P117" s="9" t="s">
        <v>91</v>
      </c>
      <c r="Q117" s="9" t="s">
        <v>441</v>
      </c>
      <c r="R117" s="9" t="s">
        <v>90</v>
      </c>
      <c r="S117" s="9" t="s">
        <v>92</v>
      </c>
      <c r="T117" s="9" t="s">
        <v>440</v>
      </c>
      <c r="U117" s="9" t="s">
        <v>94</v>
      </c>
      <c r="V117" s="9" t="s">
        <v>443</v>
      </c>
      <c r="W117" s="9" t="s">
        <v>442</v>
      </c>
    </row>
    <row r="118" spans="1:23">
      <c r="A118" s="9" t="s">
        <v>1099</v>
      </c>
      <c r="B118" s="9">
        <f ca="1">+IF(A118=WORLDCUP!$BI$112,1,0)</f>
        <v>0</v>
      </c>
      <c r="C118" s="9" t="str">
        <f ca="1">+WORLDCUP!BD60</f>
        <v>Marruecos</v>
      </c>
      <c r="D118" s="9" t="str">
        <f ca="1">+WORLDCUP!BD67</f>
        <v>Argelia</v>
      </c>
      <c r="E118" s="9" t="str">
        <f ca="1">+WORLDCUP!BD59</f>
        <v>Canadá</v>
      </c>
      <c r="F118" s="9" t="str">
        <f ca="1">+WORLDCUP!BD61</f>
        <v>Paraguay</v>
      </c>
      <c r="G118" s="9" t="str">
        <f ca="1">+WORLDCUP!BD65</f>
        <v>Arabia Saudita</v>
      </c>
      <c r="H118" s="9" t="str">
        <f ca="1">+WORLDCUP!BD63</f>
        <v>Suecia</v>
      </c>
      <c r="I118" s="9" t="str">
        <f ca="1">+WORLDCUP!BD69</f>
        <v>Ghana</v>
      </c>
      <c r="J118" s="9" t="str">
        <f ca="1">+WORLDCUP!BD68</f>
        <v>RD Congo</v>
      </c>
      <c r="N118" s="9" t="s">
        <v>1099</v>
      </c>
      <c r="O118" s="9">
        <v>117</v>
      </c>
      <c r="P118" s="9" t="s">
        <v>91</v>
      </c>
      <c r="Q118" s="9" t="s">
        <v>441</v>
      </c>
      <c r="R118" s="9" t="s">
        <v>90</v>
      </c>
      <c r="S118" s="9" t="s">
        <v>92</v>
      </c>
      <c r="T118" s="9" t="s">
        <v>436</v>
      </c>
      <c r="U118" s="9" t="s">
        <v>94</v>
      </c>
      <c r="V118" s="9" t="s">
        <v>443</v>
      </c>
      <c r="W118" s="9" t="s">
        <v>442</v>
      </c>
    </row>
    <row r="119" spans="1:23">
      <c r="A119" s="9" t="s">
        <v>1098</v>
      </c>
      <c r="B119" s="9">
        <f ca="1">+IF(A119=WORLDCUP!$BI$112,1,0)</f>
        <v>0</v>
      </c>
      <c r="C119" s="9" t="str">
        <f ca="1">+WORLDCUP!BD60</f>
        <v>Marruecos</v>
      </c>
      <c r="D119" s="9" t="str">
        <f ca="1">+WORLDCUP!BD66</f>
        <v>Senegal</v>
      </c>
      <c r="E119" s="9" t="str">
        <f ca="1">+WORLDCUP!BD59</f>
        <v>Canadá</v>
      </c>
      <c r="F119" s="9" t="str">
        <f ca="1">+WORLDCUP!BD61</f>
        <v>Paraguay</v>
      </c>
      <c r="G119" s="9" t="str">
        <f ca="1">+WORLDCUP!BD65</f>
        <v>Arabia Saudita</v>
      </c>
      <c r="H119" s="9" t="str">
        <f ca="1">+WORLDCUP!BD63</f>
        <v>Suecia</v>
      </c>
      <c r="I119" s="9" t="str">
        <f ca="1">+WORLDCUP!BD69</f>
        <v>Ghana</v>
      </c>
      <c r="J119" s="9" t="str">
        <f ca="1">+WORLDCUP!BD68</f>
        <v>RD Congo</v>
      </c>
      <c r="N119" s="9" t="s">
        <v>1098</v>
      </c>
      <c r="O119" s="9">
        <v>118</v>
      </c>
      <c r="P119" s="9" t="s">
        <v>91</v>
      </c>
      <c r="Q119" s="9" t="s">
        <v>440</v>
      </c>
      <c r="R119" s="9" t="s">
        <v>90</v>
      </c>
      <c r="S119" s="9" t="s">
        <v>92</v>
      </c>
      <c r="T119" s="9" t="s">
        <v>436</v>
      </c>
      <c r="U119" s="9" t="s">
        <v>94</v>
      </c>
      <c r="V119" s="9" t="s">
        <v>443</v>
      </c>
      <c r="W119" s="9" t="s">
        <v>442</v>
      </c>
    </row>
    <row r="120" spans="1:23">
      <c r="A120" s="9" t="s">
        <v>1097</v>
      </c>
      <c r="B120" s="9">
        <f ca="1">+IF(A120=WORLDCUP!$BI$112,1,0)</f>
        <v>0</v>
      </c>
      <c r="C120" s="9" t="str">
        <f ca="1">+WORLDCUP!BD60</f>
        <v>Marruecos</v>
      </c>
      <c r="D120" s="9" t="str">
        <f ca="1">+WORLDCUP!BD67</f>
        <v>Argelia</v>
      </c>
      <c r="E120" s="9" t="str">
        <f ca="1">+WORLDCUP!BD59</f>
        <v>Canadá</v>
      </c>
      <c r="F120" s="9" t="str">
        <f ca="1">+WORLDCUP!BD61</f>
        <v>Paraguay</v>
      </c>
      <c r="G120" s="9" t="str">
        <f ca="1">+WORLDCUP!BD65</f>
        <v>Arabia Saudita</v>
      </c>
      <c r="H120" s="9" t="str">
        <f ca="1">+WORLDCUP!BD63</f>
        <v>Suecia</v>
      </c>
      <c r="I120" s="9" t="str">
        <f ca="1">+WORLDCUP!BD69</f>
        <v>Ghana</v>
      </c>
      <c r="J120" s="9" t="str">
        <f ca="1">+WORLDCUP!BD66</f>
        <v>Senegal</v>
      </c>
      <c r="N120" s="9" t="s">
        <v>1097</v>
      </c>
      <c r="O120" s="9">
        <v>119</v>
      </c>
      <c r="P120" s="9" t="s">
        <v>91</v>
      </c>
      <c r="Q120" s="9" t="s">
        <v>441</v>
      </c>
      <c r="R120" s="9" t="s">
        <v>90</v>
      </c>
      <c r="S120" s="9" t="s">
        <v>92</v>
      </c>
      <c r="T120" s="9" t="s">
        <v>436</v>
      </c>
      <c r="U120" s="9" t="s">
        <v>94</v>
      </c>
      <c r="V120" s="9" t="s">
        <v>443</v>
      </c>
      <c r="W120" s="9" t="s">
        <v>440</v>
      </c>
    </row>
    <row r="121" spans="1:23">
      <c r="A121" s="9" t="s">
        <v>1096</v>
      </c>
      <c r="B121" s="9">
        <f ca="1">+IF(A121=WORLDCUP!$BI$112,1,0)</f>
        <v>0</v>
      </c>
      <c r="C121" s="9" t="str">
        <f ca="1">+WORLDCUP!BD60</f>
        <v>Marruecos</v>
      </c>
      <c r="D121" s="9" t="str">
        <f ca="1">+WORLDCUP!BD67</f>
        <v>Argelia</v>
      </c>
      <c r="E121" s="9" t="str">
        <f ca="1">+WORLDCUP!BD59</f>
        <v>Canadá</v>
      </c>
      <c r="F121" s="9" t="str">
        <f ca="1">+WORLDCUP!BD61</f>
        <v>Paraguay</v>
      </c>
      <c r="G121" s="9" t="str">
        <f ca="1">+WORLDCUP!BD65</f>
        <v>Arabia Saudita</v>
      </c>
      <c r="H121" s="9" t="str">
        <f ca="1">+WORLDCUP!BD63</f>
        <v>Suecia</v>
      </c>
      <c r="I121" s="9" t="str">
        <f ca="1">+WORLDCUP!BD66</f>
        <v>Senegal</v>
      </c>
      <c r="J121" s="9" t="str">
        <f ca="1">+WORLDCUP!BD68</f>
        <v>RD Congo</v>
      </c>
      <c r="N121" s="9" t="s">
        <v>1096</v>
      </c>
      <c r="O121" s="9">
        <v>120</v>
      </c>
      <c r="P121" s="9" t="s">
        <v>91</v>
      </c>
      <c r="Q121" s="9" t="s">
        <v>441</v>
      </c>
      <c r="R121" s="9" t="s">
        <v>90</v>
      </c>
      <c r="S121" s="9" t="s">
        <v>92</v>
      </c>
      <c r="T121" s="9" t="s">
        <v>436</v>
      </c>
      <c r="U121" s="9" t="s">
        <v>94</v>
      </c>
      <c r="V121" s="9" t="s">
        <v>440</v>
      </c>
      <c r="W121" s="9" t="s">
        <v>442</v>
      </c>
    </row>
    <row r="122" spans="1:23">
      <c r="A122" s="9" t="s">
        <v>1095</v>
      </c>
      <c r="B122" s="9">
        <f ca="1">+IF(A122=WORLDCUP!$BI$112,1,0)</f>
        <v>0</v>
      </c>
      <c r="C122" s="9" t="str">
        <f ca="1">+WORLDCUP!BD60</f>
        <v>Marruecos</v>
      </c>
      <c r="D122" s="9" t="str">
        <f ca="1">+WORLDCUP!BD64</f>
        <v>Egipto</v>
      </c>
      <c r="E122" s="9" t="str">
        <f ca="1">+WORLDCUP!BD59</f>
        <v>Canadá</v>
      </c>
      <c r="F122" s="9" t="str">
        <f ca="1">+WORLDCUP!BD61</f>
        <v>Paraguay</v>
      </c>
      <c r="G122" s="9" t="str">
        <f ca="1">+WORLDCUP!BD67</f>
        <v>Argelia</v>
      </c>
      <c r="H122" s="9" t="str">
        <f ca="1">+WORLDCUP!BD63</f>
        <v>Suecia</v>
      </c>
      <c r="I122" s="9" t="str">
        <f ca="1">+WORLDCUP!BD69</f>
        <v>Ghana</v>
      </c>
      <c r="J122" s="9" t="str">
        <f ca="1">+WORLDCUP!BD68</f>
        <v>RD Congo</v>
      </c>
      <c r="N122" s="9" t="s">
        <v>1095</v>
      </c>
      <c r="O122" s="9">
        <v>121</v>
      </c>
      <c r="P122" s="9" t="s">
        <v>91</v>
      </c>
      <c r="Q122" s="9" t="s">
        <v>435</v>
      </c>
      <c r="R122" s="9" t="s">
        <v>90</v>
      </c>
      <c r="S122" s="9" t="s">
        <v>92</v>
      </c>
      <c r="T122" s="9" t="s">
        <v>441</v>
      </c>
      <c r="U122" s="9" t="s">
        <v>94</v>
      </c>
      <c r="V122" s="9" t="s">
        <v>443</v>
      </c>
      <c r="W122" s="9" t="s">
        <v>442</v>
      </c>
    </row>
    <row r="123" spans="1:23">
      <c r="A123" s="9" t="s">
        <v>1094</v>
      </c>
      <c r="B123" s="9">
        <f ca="1">+IF(A123=WORLDCUP!$BI$112,1,0)</f>
        <v>0</v>
      </c>
      <c r="C123" s="9" t="str">
        <f ca="1">+WORLDCUP!BD60</f>
        <v>Marruecos</v>
      </c>
      <c r="D123" s="9" t="str">
        <f ca="1">+WORLDCUP!BD64</f>
        <v>Egipto</v>
      </c>
      <c r="E123" s="9" t="str">
        <f ca="1">+WORLDCUP!BD59</f>
        <v>Canadá</v>
      </c>
      <c r="F123" s="9" t="str">
        <f ca="1">+WORLDCUP!BD61</f>
        <v>Paraguay</v>
      </c>
      <c r="G123" s="9" t="str">
        <f ca="1">+WORLDCUP!BD66</f>
        <v>Senegal</v>
      </c>
      <c r="H123" s="9" t="str">
        <f ca="1">+WORLDCUP!BD63</f>
        <v>Suecia</v>
      </c>
      <c r="I123" s="9" t="str">
        <f ca="1">+WORLDCUP!BD69</f>
        <v>Ghana</v>
      </c>
      <c r="J123" s="9" t="str">
        <f ca="1">+WORLDCUP!BD68</f>
        <v>RD Congo</v>
      </c>
      <c r="N123" s="9" t="s">
        <v>1094</v>
      </c>
      <c r="O123" s="9">
        <v>122</v>
      </c>
      <c r="P123" s="9" t="s">
        <v>91</v>
      </c>
      <c r="Q123" s="9" t="s">
        <v>435</v>
      </c>
      <c r="R123" s="9" t="s">
        <v>90</v>
      </c>
      <c r="S123" s="9" t="s">
        <v>92</v>
      </c>
      <c r="T123" s="9" t="s">
        <v>440</v>
      </c>
      <c r="U123" s="9" t="s">
        <v>94</v>
      </c>
      <c r="V123" s="9" t="s">
        <v>443</v>
      </c>
      <c r="W123" s="9" t="s">
        <v>442</v>
      </c>
    </row>
    <row r="124" spans="1:23">
      <c r="A124" s="9" t="s">
        <v>1093</v>
      </c>
      <c r="B124" s="9">
        <f ca="1">+IF(A124=WORLDCUP!$BI$112,1,0)</f>
        <v>0</v>
      </c>
      <c r="C124" s="9" t="str">
        <f ca="1">+WORLDCUP!BD60</f>
        <v>Marruecos</v>
      </c>
      <c r="D124" s="9" t="str">
        <f ca="1">+WORLDCUP!BD64</f>
        <v>Egipto</v>
      </c>
      <c r="E124" s="9" t="str">
        <f ca="1">+WORLDCUP!BD59</f>
        <v>Canadá</v>
      </c>
      <c r="F124" s="9" t="str">
        <f ca="1">+WORLDCUP!BD61</f>
        <v>Paraguay</v>
      </c>
      <c r="G124" s="9" t="str">
        <f ca="1">+WORLDCUP!BD67</f>
        <v>Argelia</v>
      </c>
      <c r="H124" s="9" t="str">
        <f ca="1">+WORLDCUP!BD63</f>
        <v>Suecia</v>
      </c>
      <c r="I124" s="9" t="str">
        <f ca="1">+WORLDCUP!BD69</f>
        <v>Ghana</v>
      </c>
      <c r="J124" s="9" t="str">
        <f ca="1">+WORLDCUP!BD66</f>
        <v>Senegal</v>
      </c>
      <c r="N124" s="9" t="s">
        <v>1093</v>
      </c>
      <c r="O124" s="9">
        <v>123</v>
      </c>
      <c r="P124" s="9" t="s">
        <v>91</v>
      </c>
      <c r="Q124" s="9" t="s">
        <v>435</v>
      </c>
      <c r="R124" s="9" t="s">
        <v>90</v>
      </c>
      <c r="S124" s="9" t="s">
        <v>92</v>
      </c>
      <c r="T124" s="9" t="s">
        <v>441</v>
      </c>
      <c r="U124" s="9" t="s">
        <v>94</v>
      </c>
      <c r="V124" s="9" t="s">
        <v>443</v>
      </c>
      <c r="W124" s="9" t="s">
        <v>440</v>
      </c>
    </row>
    <row r="125" spans="1:23">
      <c r="A125" s="9" t="s">
        <v>1092</v>
      </c>
      <c r="B125" s="9">
        <f ca="1">+IF(A125=WORLDCUP!$BI$112,1,0)</f>
        <v>0</v>
      </c>
      <c r="C125" s="9" t="str">
        <f ca="1">+WORLDCUP!BD60</f>
        <v>Marruecos</v>
      </c>
      <c r="D125" s="9" t="str">
        <f ca="1">+WORLDCUP!BD64</f>
        <v>Egipto</v>
      </c>
      <c r="E125" s="9" t="str">
        <f ca="1">+WORLDCUP!BD59</f>
        <v>Canadá</v>
      </c>
      <c r="F125" s="9" t="str">
        <f ca="1">+WORLDCUP!BD61</f>
        <v>Paraguay</v>
      </c>
      <c r="G125" s="9" t="str">
        <f ca="1">+WORLDCUP!BD67</f>
        <v>Argelia</v>
      </c>
      <c r="H125" s="9" t="str">
        <f ca="1">+WORLDCUP!BD63</f>
        <v>Suecia</v>
      </c>
      <c r="I125" s="9" t="str">
        <f ca="1">+WORLDCUP!BD66</f>
        <v>Senegal</v>
      </c>
      <c r="J125" s="9" t="str">
        <f ca="1">+WORLDCUP!BD68</f>
        <v>RD Congo</v>
      </c>
      <c r="N125" s="9" t="s">
        <v>1092</v>
      </c>
      <c r="O125" s="9">
        <v>124</v>
      </c>
      <c r="P125" s="9" t="s">
        <v>91</v>
      </c>
      <c r="Q125" s="9" t="s">
        <v>435</v>
      </c>
      <c r="R125" s="9" t="s">
        <v>90</v>
      </c>
      <c r="S125" s="9" t="s">
        <v>92</v>
      </c>
      <c r="T125" s="9" t="s">
        <v>441</v>
      </c>
      <c r="U125" s="9" t="s">
        <v>94</v>
      </c>
      <c r="V125" s="9" t="s">
        <v>440</v>
      </c>
      <c r="W125" s="9" t="s">
        <v>442</v>
      </c>
    </row>
    <row r="126" spans="1:23">
      <c r="A126" s="9" t="s">
        <v>1091</v>
      </c>
      <c r="B126" s="9">
        <f ca="1">+IF(A126=WORLDCUP!$BI$112,1,0)</f>
        <v>0</v>
      </c>
      <c r="C126" s="9" t="str">
        <f ca="1">+WORLDCUP!BD60</f>
        <v>Marruecos</v>
      </c>
      <c r="D126" s="9" t="str">
        <f ca="1">+WORLDCUP!BD64</f>
        <v>Egipto</v>
      </c>
      <c r="E126" s="9" t="str">
        <f ca="1">+WORLDCUP!BD59</f>
        <v>Canadá</v>
      </c>
      <c r="F126" s="9" t="str">
        <f ca="1">+WORLDCUP!BD61</f>
        <v>Paraguay</v>
      </c>
      <c r="G126" s="9" t="str">
        <f ca="1">+WORLDCUP!BD65</f>
        <v>Arabia Saudita</v>
      </c>
      <c r="H126" s="9" t="str">
        <f ca="1">+WORLDCUP!BD63</f>
        <v>Suecia</v>
      </c>
      <c r="I126" s="9" t="str">
        <f ca="1">+WORLDCUP!BD69</f>
        <v>Ghana</v>
      </c>
      <c r="J126" s="9" t="str">
        <f ca="1">+WORLDCUP!BD68</f>
        <v>RD Congo</v>
      </c>
      <c r="N126" s="9" t="s">
        <v>1091</v>
      </c>
      <c r="O126" s="9">
        <v>125</v>
      </c>
      <c r="P126" s="9" t="s">
        <v>91</v>
      </c>
      <c r="Q126" s="9" t="s">
        <v>435</v>
      </c>
      <c r="R126" s="9" t="s">
        <v>90</v>
      </c>
      <c r="S126" s="9" t="s">
        <v>92</v>
      </c>
      <c r="T126" s="9" t="s">
        <v>436</v>
      </c>
      <c r="U126" s="9" t="s">
        <v>94</v>
      </c>
      <c r="V126" s="9" t="s">
        <v>443</v>
      </c>
      <c r="W126" s="9" t="s">
        <v>442</v>
      </c>
    </row>
    <row r="127" spans="1:23">
      <c r="A127" s="9" t="s">
        <v>1090</v>
      </c>
      <c r="B127" s="9">
        <f ca="1">+IF(A127=WORLDCUP!$BI$112,1,0)</f>
        <v>0</v>
      </c>
      <c r="C127" s="9" t="str">
        <f ca="1">+WORLDCUP!BD60</f>
        <v>Marruecos</v>
      </c>
      <c r="D127" s="9" t="str">
        <f ca="1">+WORLDCUP!BD64</f>
        <v>Egipto</v>
      </c>
      <c r="E127" s="9" t="str">
        <f ca="1">+WORLDCUP!BD59</f>
        <v>Canadá</v>
      </c>
      <c r="F127" s="9" t="str">
        <f ca="1">+WORLDCUP!BD61</f>
        <v>Paraguay</v>
      </c>
      <c r="G127" s="9" t="str">
        <f ca="1">+WORLDCUP!BD65</f>
        <v>Arabia Saudita</v>
      </c>
      <c r="H127" s="9" t="str">
        <f ca="1">+WORLDCUP!BD63</f>
        <v>Suecia</v>
      </c>
      <c r="I127" s="9" t="str">
        <f ca="1">+WORLDCUP!BD69</f>
        <v>Ghana</v>
      </c>
      <c r="J127" s="9" t="str">
        <f ca="1">+WORLDCUP!BD67</f>
        <v>Argelia</v>
      </c>
      <c r="N127" s="9" t="s">
        <v>1090</v>
      </c>
      <c r="O127" s="9">
        <v>126</v>
      </c>
      <c r="P127" s="9" t="s">
        <v>91</v>
      </c>
      <c r="Q127" s="9" t="s">
        <v>435</v>
      </c>
      <c r="R127" s="9" t="s">
        <v>90</v>
      </c>
      <c r="S127" s="9" t="s">
        <v>92</v>
      </c>
      <c r="T127" s="9" t="s">
        <v>436</v>
      </c>
      <c r="U127" s="9" t="s">
        <v>94</v>
      </c>
      <c r="V127" s="9" t="s">
        <v>443</v>
      </c>
      <c r="W127" s="9" t="s">
        <v>441</v>
      </c>
    </row>
    <row r="128" spans="1:23">
      <c r="A128" s="9" t="s">
        <v>1089</v>
      </c>
      <c r="B128" s="9">
        <f ca="1">+IF(A128=WORLDCUP!$BI$112,1,0)</f>
        <v>0</v>
      </c>
      <c r="C128" s="9" t="str">
        <f ca="1">+WORLDCUP!BD65</f>
        <v>Arabia Saudita</v>
      </c>
      <c r="D128" s="9" t="str">
        <f ca="1">+WORLDCUP!BD64</f>
        <v>Egipto</v>
      </c>
      <c r="E128" s="9" t="str">
        <f ca="1">+WORLDCUP!BD59</f>
        <v>Canadá</v>
      </c>
      <c r="F128" s="9" t="str">
        <f ca="1">+WORLDCUP!BD60</f>
        <v>Marruecos</v>
      </c>
      <c r="G128" s="9" t="str">
        <f ca="1">+WORLDCUP!BD67</f>
        <v>Argelia</v>
      </c>
      <c r="H128" s="9" t="str">
        <f ca="1">+WORLDCUP!BD63</f>
        <v>Suecia</v>
      </c>
      <c r="I128" s="9" t="str">
        <f ca="1">+WORLDCUP!BD61</f>
        <v>Paraguay</v>
      </c>
      <c r="J128" s="9" t="str">
        <f ca="1">+WORLDCUP!BD68</f>
        <v>RD Congo</v>
      </c>
      <c r="N128" s="9" t="s">
        <v>1089</v>
      </c>
      <c r="O128" s="9">
        <v>127</v>
      </c>
      <c r="P128" s="9" t="s">
        <v>436</v>
      </c>
      <c r="Q128" s="9" t="s">
        <v>435</v>
      </c>
      <c r="R128" s="9" t="s">
        <v>90</v>
      </c>
      <c r="S128" s="9" t="s">
        <v>91</v>
      </c>
      <c r="T128" s="9" t="s">
        <v>441</v>
      </c>
      <c r="U128" s="9" t="s">
        <v>94</v>
      </c>
      <c r="V128" s="9" t="s">
        <v>92</v>
      </c>
      <c r="W128" s="9" t="s">
        <v>442</v>
      </c>
    </row>
    <row r="129" spans="1:23">
      <c r="A129" s="9" t="s">
        <v>1088</v>
      </c>
      <c r="B129" s="9">
        <f ca="1">+IF(A129=WORLDCUP!$BI$112,1,0)</f>
        <v>0</v>
      </c>
      <c r="C129" s="9" t="str">
        <f ca="1">+WORLDCUP!BD60</f>
        <v>Marruecos</v>
      </c>
      <c r="D129" s="9" t="str">
        <f ca="1">+WORLDCUP!BD64</f>
        <v>Egipto</v>
      </c>
      <c r="E129" s="9" t="str">
        <f ca="1">+WORLDCUP!BD59</f>
        <v>Canadá</v>
      </c>
      <c r="F129" s="9" t="str">
        <f ca="1">+WORLDCUP!BD61</f>
        <v>Paraguay</v>
      </c>
      <c r="G129" s="9" t="str">
        <f ca="1">+WORLDCUP!BD65</f>
        <v>Arabia Saudita</v>
      </c>
      <c r="H129" s="9" t="str">
        <f ca="1">+WORLDCUP!BD63</f>
        <v>Suecia</v>
      </c>
      <c r="I129" s="9" t="str">
        <f ca="1">+WORLDCUP!BD69</f>
        <v>Ghana</v>
      </c>
      <c r="J129" s="9" t="str">
        <f ca="1">+WORLDCUP!BD66</f>
        <v>Senegal</v>
      </c>
      <c r="N129" s="9" t="s">
        <v>1088</v>
      </c>
      <c r="O129" s="9">
        <v>128</v>
      </c>
      <c r="P129" s="9" t="s">
        <v>91</v>
      </c>
      <c r="Q129" s="9" t="s">
        <v>435</v>
      </c>
      <c r="R129" s="9" t="s">
        <v>90</v>
      </c>
      <c r="S129" s="9" t="s">
        <v>92</v>
      </c>
      <c r="T129" s="9" t="s">
        <v>436</v>
      </c>
      <c r="U129" s="9" t="s">
        <v>94</v>
      </c>
      <c r="V129" s="9" t="s">
        <v>443</v>
      </c>
      <c r="W129" s="9" t="s">
        <v>440</v>
      </c>
    </row>
    <row r="130" spans="1:23">
      <c r="A130" s="9" t="s">
        <v>1087</v>
      </c>
      <c r="B130" s="9">
        <f ca="1">+IF(A130=WORLDCUP!$BI$112,1,0)</f>
        <v>0</v>
      </c>
      <c r="C130" s="9" t="str">
        <f ca="1">+WORLDCUP!BD60</f>
        <v>Marruecos</v>
      </c>
      <c r="D130" s="9" t="str">
        <f ca="1">+WORLDCUP!BD64</f>
        <v>Egipto</v>
      </c>
      <c r="E130" s="9" t="str">
        <f ca="1">+WORLDCUP!BD59</f>
        <v>Canadá</v>
      </c>
      <c r="F130" s="9" t="str">
        <f ca="1">+WORLDCUP!BD61</f>
        <v>Paraguay</v>
      </c>
      <c r="G130" s="9" t="str">
        <f ca="1">+WORLDCUP!BD65</f>
        <v>Arabia Saudita</v>
      </c>
      <c r="H130" s="9" t="str">
        <f ca="1">+WORLDCUP!BD63</f>
        <v>Suecia</v>
      </c>
      <c r="I130" s="9" t="str">
        <f ca="1">+WORLDCUP!BD66</f>
        <v>Senegal</v>
      </c>
      <c r="J130" s="9" t="str">
        <f ca="1">+WORLDCUP!BD68</f>
        <v>RD Congo</v>
      </c>
      <c r="N130" s="9" t="s">
        <v>1087</v>
      </c>
      <c r="O130" s="9">
        <v>129</v>
      </c>
      <c r="P130" s="9" t="s">
        <v>91</v>
      </c>
      <c r="Q130" s="9" t="s">
        <v>435</v>
      </c>
      <c r="R130" s="9" t="s">
        <v>90</v>
      </c>
      <c r="S130" s="9" t="s">
        <v>92</v>
      </c>
      <c r="T130" s="9" t="s">
        <v>436</v>
      </c>
      <c r="U130" s="9" t="s">
        <v>94</v>
      </c>
      <c r="V130" s="9" t="s">
        <v>440</v>
      </c>
      <c r="W130" s="9" t="s">
        <v>442</v>
      </c>
    </row>
    <row r="131" spans="1:23">
      <c r="A131" s="9" t="s">
        <v>1086</v>
      </c>
      <c r="B131" s="9">
        <f ca="1">+IF(A131=WORLDCUP!$BI$112,1,0)</f>
        <v>0</v>
      </c>
      <c r="C131" s="9" t="str">
        <f ca="1">+WORLDCUP!BD65</f>
        <v>Arabia Saudita</v>
      </c>
      <c r="D131" s="9" t="str">
        <f ca="1">+WORLDCUP!BD64</f>
        <v>Egipto</v>
      </c>
      <c r="E131" s="9" t="str">
        <f ca="1">+WORLDCUP!BD59</f>
        <v>Canadá</v>
      </c>
      <c r="F131" s="9" t="str">
        <f ca="1">+WORLDCUP!BD60</f>
        <v>Marruecos</v>
      </c>
      <c r="G131" s="9" t="str">
        <f ca="1">+WORLDCUP!BD67</f>
        <v>Argelia</v>
      </c>
      <c r="H131" s="9" t="str">
        <f ca="1">+WORLDCUP!BD63</f>
        <v>Suecia</v>
      </c>
      <c r="I131" s="9" t="str">
        <f ca="1">+WORLDCUP!BD61</f>
        <v>Paraguay</v>
      </c>
      <c r="J131" s="9" t="str">
        <f ca="1">+WORLDCUP!BD66</f>
        <v>Senegal</v>
      </c>
      <c r="N131" s="9" t="s">
        <v>1086</v>
      </c>
      <c r="O131" s="9">
        <v>130</v>
      </c>
      <c r="P131" s="9" t="s">
        <v>436</v>
      </c>
      <c r="Q131" s="9" t="s">
        <v>435</v>
      </c>
      <c r="R131" s="9" t="s">
        <v>90</v>
      </c>
      <c r="S131" s="9" t="s">
        <v>91</v>
      </c>
      <c r="T131" s="9" t="s">
        <v>441</v>
      </c>
      <c r="U131" s="9" t="s">
        <v>94</v>
      </c>
      <c r="V131" s="9" t="s">
        <v>92</v>
      </c>
      <c r="W131" s="9" t="s">
        <v>440</v>
      </c>
    </row>
    <row r="132" spans="1:23">
      <c r="A132" s="9" t="s">
        <v>1085</v>
      </c>
      <c r="B132" s="9">
        <f ca="1">+IF(A132=WORLDCUP!$BI$112,1,0)</f>
        <v>0</v>
      </c>
      <c r="C132" s="9" t="str">
        <f ca="1">+WORLDCUP!BD62</f>
        <v>Ecuador</v>
      </c>
      <c r="D132" s="9" t="str">
        <f ca="1">+WORLDCUP!BD67</f>
        <v>Argelia</v>
      </c>
      <c r="E132" s="9" t="str">
        <f ca="1">+WORLDCUP!BD59</f>
        <v>Canadá</v>
      </c>
      <c r="F132" s="9" t="str">
        <f ca="1">+WORLDCUP!BD60</f>
        <v>Marruecos</v>
      </c>
      <c r="G132" s="9" t="str">
        <f ca="1">+WORLDCUP!BD66</f>
        <v>Senegal</v>
      </c>
      <c r="H132" s="9" t="str">
        <f ca="1">+WORLDCUP!BD61</f>
        <v>Paraguay</v>
      </c>
      <c r="I132" s="9" t="str">
        <f ca="1">+WORLDCUP!BD69</f>
        <v>Ghana</v>
      </c>
      <c r="J132" s="9" t="str">
        <f ca="1">+WORLDCUP!BD68</f>
        <v>RD Congo</v>
      </c>
      <c r="N132" s="9" t="s">
        <v>1085</v>
      </c>
      <c r="O132" s="9">
        <v>131</v>
      </c>
      <c r="P132" s="9" t="s">
        <v>93</v>
      </c>
      <c r="Q132" s="9" t="s">
        <v>441</v>
      </c>
      <c r="R132" s="9" t="s">
        <v>90</v>
      </c>
      <c r="S132" s="9" t="s">
        <v>91</v>
      </c>
      <c r="T132" s="9" t="s">
        <v>440</v>
      </c>
      <c r="U132" s="9" t="s">
        <v>92</v>
      </c>
      <c r="V132" s="9" t="s">
        <v>443</v>
      </c>
      <c r="W132" s="9" t="s">
        <v>442</v>
      </c>
    </row>
    <row r="133" spans="1:23">
      <c r="A133" s="9" t="s">
        <v>1084</v>
      </c>
      <c r="B133" s="9">
        <f ca="1">+IF(A133=WORLDCUP!$BI$112,1,0)</f>
        <v>0</v>
      </c>
      <c r="C133" s="9" t="str">
        <f ca="1">+WORLDCUP!BD62</f>
        <v>Ecuador</v>
      </c>
      <c r="D133" s="9" t="str">
        <f ca="1">+WORLDCUP!BD67</f>
        <v>Argelia</v>
      </c>
      <c r="E133" s="9" t="str">
        <f ca="1">+WORLDCUP!BD59</f>
        <v>Canadá</v>
      </c>
      <c r="F133" s="9" t="str">
        <f ca="1">+WORLDCUP!BD60</f>
        <v>Marruecos</v>
      </c>
      <c r="G133" s="9" t="str">
        <f ca="1">+WORLDCUP!BD65</f>
        <v>Arabia Saudita</v>
      </c>
      <c r="H133" s="9" t="str">
        <f ca="1">+WORLDCUP!BD61</f>
        <v>Paraguay</v>
      </c>
      <c r="I133" s="9" t="str">
        <f ca="1">+WORLDCUP!BD69</f>
        <v>Ghana</v>
      </c>
      <c r="J133" s="9" t="str">
        <f ca="1">+WORLDCUP!BD68</f>
        <v>RD Congo</v>
      </c>
      <c r="N133" s="9" t="s">
        <v>1084</v>
      </c>
      <c r="O133" s="9">
        <v>132</v>
      </c>
      <c r="P133" s="9" t="s">
        <v>93</v>
      </c>
      <c r="Q133" s="9" t="s">
        <v>441</v>
      </c>
      <c r="R133" s="9" t="s">
        <v>90</v>
      </c>
      <c r="S133" s="9" t="s">
        <v>91</v>
      </c>
      <c r="T133" s="9" t="s">
        <v>436</v>
      </c>
      <c r="U133" s="9" t="s">
        <v>92</v>
      </c>
      <c r="V133" s="9" t="s">
        <v>443</v>
      </c>
      <c r="W133" s="9" t="s">
        <v>442</v>
      </c>
    </row>
    <row r="134" spans="1:23">
      <c r="A134" s="9" t="s">
        <v>1083</v>
      </c>
      <c r="B134" s="9">
        <f ca="1">+IF(A134=WORLDCUP!$BI$112,1,0)</f>
        <v>0</v>
      </c>
      <c r="C134" s="9" t="str">
        <f ca="1">+WORLDCUP!BD62</f>
        <v>Ecuador</v>
      </c>
      <c r="D134" s="9" t="str">
        <f ca="1">+WORLDCUP!BD66</f>
        <v>Senegal</v>
      </c>
      <c r="E134" s="9" t="str">
        <f ca="1">+WORLDCUP!BD59</f>
        <v>Canadá</v>
      </c>
      <c r="F134" s="9" t="str">
        <f ca="1">+WORLDCUP!BD60</f>
        <v>Marruecos</v>
      </c>
      <c r="G134" s="9" t="str">
        <f ca="1">+WORLDCUP!BD65</f>
        <v>Arabia Saudita</v>
      </c>
      <c r="H134" s="9" t="str">
        <f ca="1">+WORLDCUP!BD61</f>
        <v>Paraguay</v>
      </c>
      <c r="I134" s="9" t="str">
        <f ca="1">+WORLDCUP!BD69</f>
        <v>Ghana</v>
      </c>
      <c r="J134" s="9" t="str">
        <f ca="1">+WORLDCUP!BD68</f>
        <v>RD Congo</v>
      </c>
      <c r="N134" s="9" t="s">
        <v>1083</v>
      </c>
      <c r="O134" s="9">
        <v>133</v>
      </c>
      <c r="P134" s="9" t="s">
        <v>93</v>
      </c>
      <c r="Q134" s="9" t="s">
        <v>440</v>
      </c>
      <c r="R134" s="9" t="s">
        <v>90</v>
      </c>
      <c r="S134" s="9" t="s">
        <v>91</v>
      </c>
      <c r="T134" s="9" t="s">
        <v>436</v>
      </c>
      <c r="U134" s="9" t="s">
        <v>92</v>
      </c>
      <c r="V134" s="9" t="s">
        <v>443</v>
      </c>
      <c r="W134" s="9" t="s">
        <v>442</v>
      </c>
    </row>
    <row r="135" spans="1:23">
      <c r="A135" s="9" t="s">
        <v>1082</v>
      </c>
      <c r="B135" s="9">
        <f ca="1">+IF(A135=WORLDCUP!$BI$112,1,0)</f>
        <v>0</v>
      </c>
      <c r="C135" s="9" t="str">
        <f ca="1">+WORLDCUP!BD62</f>
        <v>Ecuador</v>
      </c>
      <c r="D135" s="9" t="str">
        <f ca="1">+WORLDCUP!BD67</f>
        <v>Argelia</v>
      </c>
      <c r="E135" s="9" t="str">
        <f ca="1">+WORLDCUP!BD59</f>
        <v>Canadá</v>
      </c>
      <c r="F135" s="9" t="str">
        <f ca="1">+WORLDCUP!BD60</f>
        <v>Marruecos</v>
      </c>
      <c r="G135" s="9" t="str">
        <f ca="1">+WORLDCUP!BD65</f>
        <v>Arabia Saudita</v>
      </c>
      <c r="H135" s="9" t="str">
        <f ca="1">+WORLDCUP!BD61</f>
        <v>Paraguay</v>
      </c>
      <c r="I135" s="9" t="str">
        <f ca="1">+WORLDCUP!BD69</f>
        <v>Ghana</v>
      </c>
      <c r="J135" s="9" t="str">
        <f ca="1">+WORLDCUP!BD66</f>
        <v>Senegal</v>
      </c>
      <c r="N135" s="9" t="s">
        <v>1082</v>
      </c>
      <c r="O135" s="9">
        <v>134</v>
      </c>
      <c r="P135" s="9" t="s">
        <v>93</v>
      </c>
      <c r="Q135" s="9" t="s">
        <v>441</v>
      </c>
      <c r="R135" s="9" t="s">
        <v>90</v>
      </c>
      <c r="S135" s="9" t="s">
        <v>91</v>
      </c>
      <c r="T135" s="9" t="s">
        <v>436</v>
      </c>
      <c r="U135" s="9" t="s">
        <v>92</v>
      </c>
      <c r="V135" s="9" t="s">
        <v>443</v>
      </c>
      <c r="W135" s="9" t="s">
        <v>440</v>
      </c>
    </row>
    <row r="136" spans="1:23">
      <c r="A136" s="9" t="s">
        <v>1081</v>
      </c>
      <c r="B136" s="9">
        <f ca="1">+IF(A136=WORLDCUP!$BI$112,1,0)</f>
        <v>0</v>
      </c>
      <c r="C136" s="9" t="str">
        <f ca="1">+WORLDCUP!BD62</f>
        <v>Ecuador</v>
      </c>
      <c r="D136" s="9" t="str">
        <f ca="1">+WORLDCUP!BD67</f>
        <v>Argelia</v>
      </c>
      <c r="E136" s="9" t="str">
        <f ca="1">+WORLDCUP!BD59</f>
        <v>Canadá</v>
      </c>
      <c r="F136" s="9" t="str">
        <f ca="1">+WORLDCUP!BD60</f>
        <v>Marruecos</v>
      </c>
      <c r="G136" s="9" t="str">
        <f ca="1">+WORLDCUP!BD65</f>
        <v>Arabia Saudita</v>
      </c>
      <c r="H136" s="9" t="str">
        <f ca="1">+WORLDCUP!BD61</f>
        <v>Paraguay</v>
      </c>
      <c r="I136" s="9" t="str">
        <f ca="1">+WORLDCUP!BD66</f>
        <v>Senegal</v>
      </c>
      <c r="J136" s="9" t="str">
        <f ca="1">+WORLDCUP!BD68</f>
        <v>RD Congo</v>
      </c>
      <c r="N136" s="9" t="s">
        <v>1081</v>
      </c>
      <c r="O136" s="9">
        <v>135</v>
      </c>
      <c r="P136" s="9" t="s">
        <v>93</v>
      </c>
      <c r="Q136" s="9" t="s">
        <v>441</v>
      </c>
      <c r="R136" s="9" t="s">
        <v>90</v>
      </c>
      <c r="S136" s="9" t="s">
        <v>91</v>
      </c>
      <c r="T136" s="9" t="s">
        <v>436</v>
      </c>
      <c r="U136" s="9" t="s">
        <v>92</v>
      </c>
      <c r="V136" s="9" t="s">
        <v>440</v>
      </c>
      <c r="W136" s="9" t="s">
        <v>442</v>
      </c>
    </row>
    <row r="137" spans="1:23">
      <c r="A137" s="9" t="s">
        <v>1080</v>
      </c>
      <c r="B137" s="9">
        <f ca="1">+IF(A137=WORLDCUP!$BI$112,1,0)</f>
        <v>0</v>
      </c>
      <c r="C137" s="9" t="str">
        <f ca="1">+WORLDCUP!BD62</f>
        <v>Ecuador</v>
      </c>
      <c r="D137" s="9" t="str">
        <f ca="1">+WORLDCUP!BD64</f>
        <v>Egipto</v>
      </c>
      <c r="E137" s="9" t="str">
        <f ca="1">+WORLDCUP!BD59</f>
        <v>Canadá</v>
      </c>
      <c r="F137" s="9" t="str">
        <f ca="1">+WORLDCUP!BD60</f>
        <v>Marruecos</v>
      </c>
      <c r="G137" s="9" t="str">
        <f ca="1">+WORLDCUP!BD67</f>
        <v>Argelia</v>
      </c>
      <c r="H137" s="9" t="str">
        <f ca="1">+WORLDCUP!BD61</f>
        <v>Paraguay</v>
      </c>
      <c r="I137" s="9" t="str">
        <f ca="1">+WORLDCUP!BD69</f>
        <v>Ghana</v>
      </c>
      <c r="J137" s="9" t="str">
        <f ca="1">+WORLDCUP!BD68</f>
        <v>RD Congo</v>
      </c>
      <c r="N137" s="9" t="s">
        <v>1080</v>
      </c>
      <c r="O137" s="9">
        <v>136</v>
      </c>
      <c r="P137" s="9" t="s">
        <v>93</v>
      </c>
      <c r="Q137" s="9" t="s">
        <v>435</v>
      </c>
      <c r="R137" s="9" t="s">
        <v>90</v>
      </c>
      <c r="S137" s="9" t="s">
        <v>91</v>
      </c>
      <c r="T137" s="9" t="s">
        <v>441</v>
      </c>
      <c r="U137" s="9" t="s">
        <v>92</v>
      </c>
      <c r="V137" s="9" t="s">
        <v>443</v>
      </c>
      <c r="W137" s="9" t="s">
        <v>442</v>
      </c>
    </row>
    <row r="138" spans="1:23">
      <c r="A138" s="9" t="s">
        <v>1079</v>
      </c>
      <c r="B138" s="9">
        <f ca="1">+IF(A138=WORLDCUP!$BI$112,1,0)</f>
        <v>0</v>
      </c>
      <c r="C138" s="9" t="str">
        <f ca="1">+WORLDCUP!BD62</f>
        <v>Ecuador</v>
      </c>
      <c r="D138" s="9" t="str">
        <f ca="1">+WORLDCUP!BD64</f>
        <v>Egipto</v>
      </c>
      <c r="E138" s="9" t="str">
        <f ca="1">+WORLDCUP!BD59</f>
        <v>Canadá</v>
      </c>
      <c r="F138" s="9" t="str">
        <f ca="1">+WORLDCUP!BD60</f>
        <v>Marruecos</v>
      </c>
      <c r="G138" s="9" t="str">
        <f ca="1">+WORLDCUP!BD66</f>
        <v>Senegal</v>
      </c>
      <c r="H138" s="9" t="str">
        <f ca="1">+WORLDCUP!BD61</f>
        <v>Paraguay</v>
      </c>
      <c r="I138" s="9" t="str">
        <f ca="1">+WORLDCUP!BD69</f>
        <v>Ghana</v>
      </c>
      <c r="J138" s="9" t="str">
        <f ca="1">+WORLDCUP!BD68</f>
        <v>RD Congo</v>
      </c>
      <c r="N138" s="9" t="s">
        <v>1079</v>
      </c>
      <c r="O138" s="9">
        <v>137</v>
      </c>
      <c r="P138" s="9" t="s">
        <v>93</v>
      </c>
      <c r="Q138" s="9" t="s">
        <v>435</v>
      </c>
      <c r="R138" s="9" t="s">
        <v>90</v>
      </c>
      <c r="S138" s="9" t="s">
        <v>91</v>
      </c>
      <c r="T138" s="9" t="s">
        <v>440</v>
      </c>
      <c r="U138" s="9" t="s">
        <v>92</v>
      </c>
      <c r="V138" s="9" t="s">
        <v>443</v>
      </c>
      <c r="W138" s="9" t="s">
        <v>442</v>
      </c>
    </row>
    <row r="139" spans="1:23">
      <c r="A139" s="9" t="s">
        <v>1078</v>
      </c>
      <c r="B139" s="9">
        <f ca="1">+IF(A139=WORLDCUP!$BI$112,1,0)</f>
        <v>0</v>
      </c>
      <c r="C139" s="9" t="str">
        <f ca="1">+WORLDCUP!BD62</f>
        <v>Ecuador</v>
      </c>
      <c r="D139" s="9" t="str">
        <f ca="1">+WORLDCUP!BD64</f>
        <v>Egipto</v>
      </c>
      <c r="E139" s="9" t="str">
        <f ca="1">+WORLDCUP!BD59</f>
        <v>Canadá</v>
      </c>
      <c r="F139" s="9" t="str">
        <f ca="1">+WORLDCUP!BD60</f>
        <v>Marruecos</v>
      </c>
      <c r="G139" s="9" t="str">
        <f ca="1">+WORLDCUP!BD67</f>
        <v>Argelia</v>
      </c>
      <c r="H139" s="9" t="str">
        <f ca="1">+WORLDCUP!BD61</f>
        <v>Paraguay</v>
      </c>
      <c r="I139" s="9" t="str">
        <f ca="1">+WORLDCUP!BD69</f>
        <v>Ghana</v>
      </c>
      <c r="J139" s="9" t="str">
        <f ca="1">+WORLDCUP!BD66</f>
        <v>Senegal</v>
      </c>
      <c r="N139" s="9" t="s">
        <v>1078</v>
      </c>
      <c r="O139" s="9">
        <v>138</v>
      </c>
      <c r="P139" s="9" t="s">
        <v>93</v>
      </c>
      <c r="Q139" s="9" t="s">
        <v>435</v>
      </c>
      <c r="R139" s="9" t="s">
        <v>90</v>
      </c>
      <c r="S139" s="9" t="s">
        <v>91</v>
      </c>
      <c r="T139" s="9" t="s">
        <v>441</v>
      </c>
      <c r="U139" s="9" t="s">
        <v>92</v>
      </c>
      <c r="V139" s="9" t="s">
        <v>443</v>
      </c>
      <c r="W139" s="9" t="s">
        <v>440</v>
      </c>
    </row>
    <row r="140" spans="1:23">
      <c r="A140" s="9" t="s">
        <v>1077</v>
      </c>
      <c r="B140" s="9">
        <f ca="1">+IF(A140=WORLDCUP!$BI$112,1,0)</f>
        <v>0</v>
      </c>
      <c r="C140" s="9" t="str">
        <f ca="1">+WORLDCUP!BD62</f>
        <v>Ecuador</v>
      </c>
      <c r="D140" s="9" t="str">
        <f ca="1">+WORLDCUP!BD64</f>
        <v>Egipto</v>
      </c>
      <c r="E140" s="9" t="str">
        <f ca="1">+WORLDCUP!BD59</f>
        <v>Canadá</v>
      </c>
      <c r="F140" s="9" t="str">
        <f ca="1">+WORLDCUP!BD60</f>
        <v>Marruecos</v>
      </c>
      <c r="G140" s="9" t="str">
        <f ca="1">+WORLDCUP!BD67</f>
        <v>Argelia</v>
      </c>
      <c r="H140" s="9" t="str">
        <f ca="1">+WORLDCUP!BD61</f>
        <v>Paraguay</v>
      </c>
      <c r="I140" s="9" t="str">
        <f ca="1">+WORLDCUP!BD66</f>
        <v>Senegal</v>
      </c>
      <c r="J140" s="9" t="str">
        <f ca="1">+WORLDCUP!BD68</f>
        <v>RD Congo</v>
      </c>
      <c r="N140" s="9" t="s">
        <v>1077</v>
      </c>
      <c r="O140" s="9">
        <v>139</v>
      </c>
      <c r="P140" s="9" t="s">
        <v>93</v>
      </c>
      <c r="Q140" s="9" t="s">
        <v>435</v>
      </c>
      <c r="R140" s="9" t="s">
        <v>90</v>
      </c>
      <c r="S140" s="9" t="s">
        <v>91</v>
      </c>
      <c r="T140" s="9" t="s">
        <v>441</v>
      </c>
      <c r="U140" s="9" t="s">
        <v>92</v>
      </c>
      <c r="V140" s="9" t="s">
        <v>440</v>
      </c>
      <c r="W140" s="9" t="s">
        <v>442</v>
      </c>
    </row>
    <row r="141" spans="1:23">
      <c r="A141" s="9" t="s">
        <v>1076</v>
      </c>
      <c r="B141" s="9">
        <f ca="1">+IF(A141=WORLDCUP!$BI$112,1,0)</f>
        <v>0</v>
      </c>
      <c r="C141" s="9" t="str">
        <f ca="1">+WORLDCUP!BD62</f>
        <v>Ecuador</v>
      </c>
      <c r="D141" s="9" t="str">
        <f ca="1">+WORLDCUP!BD64</f>
        <v>Egipto</v>
      </c>
      <c r="E141" s="9" t="str">
        <f ca="1">+WORLDCUP!BD59</f>
        <v>Canadá</v>
      </c>
      <c r="F141" s="9" t="str">
        <f ca="1">+WORLDCUP!BD60</f>
        <v>Marruecos</v>
      </c>
      <c r="G141" s="9" t="str">
        <f ca="1">+WORLDCUP!BD65</f>
        <v>Arabia Saudita</v>
      </c>
      <c r="H141" s="9" t="str">
        <f ca="1">+WORLDCUP!BD61</f>
        <v>Paraguay</v>
      </c>
      <c r="I141" s="9" t="str">
        <f ca="1">+WORLDCUP!BD69</f>
        <v>Ghana</v>
      </c>
      <c r="J141" s="9" t="str">
        <f ca="1">+WORLDCUP!BD68</f>
        <v>RD Congo</v>
      </c>
      <c r="N141" s="9" t="s">
        <v>1076</v>
      </c>
      <c r="O141" s="9">
        <v>140</v>
      </c>
      <c r="P141" s="9" t="s">
        <v>93</v>
      </c>
      <c r="Q141" s="9" t="s">
        <v>435</v>
      </c>
      <c r="R141" s="9" t="s">
        <v>90</v>
      </c>
      <c r="S141" s="9" t="s">
        <v>91</v>
      </c>
      <c r="T141" s="9" t="s">
        <v>436</v>
      </c>
      <c r="U141" s="9" t="s">
        <v>92</v>
      </c>
      <c r="V141" s="9" t="s">
        <v>443</v>
      </c>
      <c r="W141" s="9" t="s">
        <v>442</v>
      </c>
    </row>
    <row r="142" spans="1:23">
      <c r="A142" s="9" t="s">
        <v>1075</v>
      </c>
      <c r="B142" s="9">
        <f ca="1">+IF(A142=WORLDCUP!$BI$112,1,0)</f>
        <v>0</v>
      </c>
      <c r="C142" s="9" t="str">
        <f ca="1">+WORLDCUP!BD65</f>
        <v>Arabia Saudita</v>
      </c>
      <c r="D142" s="9" t="str">
        <f ca="1">+WORLDCUP!BD64</f>
        <v>Egipto</v>
      </c>
      <c r="E142" s="9" t="str">
        <f ca="1">+WORLDCUP!BD59</f>
        <v>Canadá</v>
      </c>
      <c r="F142" s="9" t="str">
        <f ca="1">+WORLDCUP!BD60</f>
        <v>Marruecos</v>
      </c>
      <c r="G142" s="9" t="str">
        <f ca="1">+WORLDCUP!BD67</f>
        <v>Argelia</v>
      </c>
      <c r="H142" s="9" t="str">
        <f ca="1">+WORLDCUP!BD61</f>
        <v>Paraguay</v>
      </c>
      <c r="I142" s="9" t="str">
        <f ca="1">+WORLDCUP!BD69</f>
        <v>Ghana</v>
      </c>
      <c r="J142" s="9" t="str">
        <f ca="1">+WORLDCUP!BD62</f>
        <v>Ecuador</v>
      </c>
      <c r="N142" s="9" t="s">
        <v>1075</v>
      </c>
      <c r="O142" s="9">
        <v>141</v>
      </c>
      <c r="P142" s="9" t="s">
        <v>436</v>
      </c>
      <c r="Q142" s="9" t="s">
        <v>435</v>
      </c>
      <c r="R142" s="9" t="s">
        <v>90</v>
      </c>
      <c r="S142" s="9" t="s">
        <v>91</v>
      </c>
      <c r="T142" s="9" t="s">
        <v>441</v>
      </c>
      <c r="U142" s="9" t="s">
        <v>92</v>
      </c>
      <c r="V142" s="9" t="s">
        <v>443</v>
      </c>
      <c r="W142" s="9" t="s">
        <v>93</v>
      </c>
    </row>
    <row r="143" spans="1:23">
      <c r="A143" s="9" t="s">
        <v>1074</v>
      </c>
      <c r="B143" s="9">
        <f ca="1">+IF(A143=WORLDCUP!$BI$112,1,0)</f>
        <v>0</v>
      </c>
      <c r="C143" s="9" t="str">
        <f ca="1">+WORLDCUP!BD65</f>
        <v>Arabia Saudita</v>
      </c>
      <c r="D143" s="9" t="str">
        <f ca="1">+WORLDCUP!BD64</f>
        <v>Egipto</v>
      </c>
      <c r="E143" s="9" t="str">
        <f ca="1">+WORLDCUP!BD59</f>
        <v>Canadá</v>
      </c>
      <c r="F143" s="9" t="str">
        <f ca="1">+WORLDCUP!BD60</f>
        <v>Marruecos</v>
      </c>
      <c r="G143" s="9" t="str">
        <f ca="1">+WORLDCUP!BD67</f>
        <v>Argelia</v>
      </c>
      <c r="H143" s="9" t="str">
        <f ca="1">+WORLDCUP!BD61</f>
        <v>Paraguay</v>
      </c>
      <c r="I143" s="9" t="str">
        <f ca="1">+WORLDCUP!BD62</f>
        <v>Ecuador</v>
      </c>
      <c r="J143" s="9" t="str">
        <f ca="1">+WORLDCUP!BD68</f>
        <v>RD Congo</v>
      </c>
      <c r="N143" s="9" t="s">
        <v>1074</v>
      </c>
      <c r="O143" s="9">
        <v>142</v>
      </c>
      <c r="P143" s="9" t="s">
        <v>436</v>
      </c>
      <c r="Q143" s="9" t="s">
        <v>435</v>
      </c>
      <c r="R143" s="9" t="s">
        <v>90</v>
      </c>
      <c r="S143" s="9" t="s">
        <v>91</v>
      </c>
      <c r="T143" s="9" t="s">
        <v>441</v>
      </c>
      <c r="U143" s="9" t="s">
        <v>92</v>
      </c>
      <c r="V143" s="9" t="s">
        <v>93</v>
      </c>
      <c r="W143" s="9" t="s">
        <v>442</v>
      </c>
    </row>
    <row r="144" spans="1:23">
      <c r="A144" s="9" t="s">
        <v>1073</v>
      </c>
      <c r="B144" s="9">
        <f ca="1">+IF(A144=WORLDCUP!$BI$112,1,0)</f>
        <v>0</v>
      </c>
      <c r="C144" s="9" t="str">
        <f ca="1">+WORLDCUP!BD62</f>
        <v>Ecuador</v>
      </c>
      <c r="D144" s="9" t="str">
        <f ca="1">+WORLDCUP!BD64</f>
        <v>Egipto</v>
      </c>
      <c r="E144" s="9" t="str">
        <f ca="1">+WORLDCUP!BD59</f>
        <v>Canadá</v>
      </c>
      <c r="F144" s="9" t="str">
        <f ca="1">+WORLDCUP!BD60</f>
        <v>Marruecos</v>
      </c>
      <c r="G144" s="9" t="str">
        <f ca="1">+WORLDCUP!BD65</f>
        <v>Arabia Saudita</v>
      </c>
      <c r="H144" s="9" t="str">
        <f ca="1">+WORLDCUP!BD61</f>
        <v>Paraguay</v>
      </c>
      <c r="I144" s="9" t="str">
        <f ca="1">+WORLDCUP!BD69</f>
        <v>Ghana</v>
      </c>
      <c r="J144" s="9" t="str">
        <f ca="1">+WORLDCUP!BD66</f>
        <v>Senegal</v>
      </c>
      <c r="N144" s="9" t="s">
        <v>1073</v>
      </c>
      <c r="O144" s="9">
        <v>143</v>
      </c>
      <c r="P144" s="9" t="s">
        <v>93</v>
      </c>
      <c r="Q144" s="9" t="s">
        <v>435</v>
      </c>
      <c r="R144" s="9" t="s">
        <v>90</v>
      </c>
      <c r="S144" s="9" t="s">
        <v>91</v>
      </c>
      <c r="T144" s="9" t="s">
        <v>436</v>
      </c>
      <c r="U144" s="9" t="s">
        <v>92</v>
      </c>
      <c r="V144" s="9" t="s">
        <v>443</v>
      </c>
      <c r="W144" s="9" t="s">
        <v>440</v>
      </c>
    </row>
    <row r="145" spans="1:23">
      <c r="A145" s="9" t="s">
        <v>1072</v>
      </c>
      <c r="B145" s="9">
        <f ca="1">+IF(A145=WORLDCUP!$BI$112,1,0)</f>
        <v>0</v>
      </c>
      <c r="C145" s="9" t="str">
        <f ca="1">+WORLDCUP!BD62</f>
        <v>Ecuador</v>
      </c>
      <c r="D145" s="9" t="str">
        <f ca="1">+WORLDCUP!BD64</f>
        <v>Egipto</v>
      </c>
      <c r="E145" s="9" t="str">
        <f ca="1">+WORLDCUP!BD59</f>
        <v>Canadá</v>
      </c>
      <c r="F145" s="9" t="str">
        <f ca="1">+WORLDCUP!BD60</f>
        <v>Marruecos</v>
      </c>
      <c r="G145" s="9" t="str">
        <f ca="1">+WORLDCUP!BD65</f>
        <v>Arabia Saudita</v>
      </c>
      <c r="H145" s="9" t="str">
        <f ca="1">+WORLDCUP!BD61</f>
        <v>Paraguay</v>
      </c>
      <c r="I145" s="9" t="str">
        <f ca="1">+WORLDCUP!BD66</f>
        <v>Senegal</v>
      </c>
      <c r="J145" s="9" t="str">
        <f ca="1">+WORLDCUP!BD68</f>
        <v>RD Congo</v>
      </c>
      <c r="N145" s="9" t="s">
        <v>1072</v>
      </c>
      <c r="O145" s="9">
        <v>144</v>
      </c>
      <c r="P145" s="9" t="s">
        <v>93</v>
      </c>
      <c r="Q145" s="9" t="s">
        <v>435</v>
      </c>
      <c r="R145" s="9" t="s">
        <v>90</v>
      </c>
      <c r="S145" s="9" t="s">
        <v>91</v>
      </c>
      <c r="T145" s="9" t="s">
        <v>436</v>
      </c>
      <c r="U145" s="9" t="s">
        <v>92</v>
      </c>
      <c r="V145" s="9" t="s">
        <v>440</v>
      </c>
      <c r="W145" s="9" t="s">
        <v>442</v>
      </c>
    </row>
    <row r="146" spans="1:23">
      <c r="A146" s="9" t="s">
        <v>1071</v>
      </c>
      <c r="B146" s="9">
        <f ca="1">+IF(A146=WORLDCUP!$BI$112,1,0)</f>
        <v>0</v>
      </c>
      <c r="C146" s="9" t="str">
        <f ca="1">+WORLDCUP!BD65</f>
        <v>Arabia Saudita</v>
      </c>
      <c r="D146" s="9" t="str">
        <f ca="1">+WORLDCUP!BD64</f>
        <v>Egipto</v>
      </c>
      <c r="E146" s="9" t="str">
        <f ca="1">+WORLDCUP!BD59</f>
        <v>Canadá</v>
      </c>
      <c r="F146" s="9" t="str">
        <f ca="1">+WORLDCUP!BD60</f>
        <v>Marruecos</v>
      </c>
      <c r="G146" s="9" t="str">
        <f ca="1">+WORLDCUP!BD67</f>
        <v>Argelia</v>
      </c>
      <c r="H146" s="9" t="str">
        <f ca="1">+WORLDCUP!BD61</f>
        <v>Paraguay</v>
      </c>
      <c r="I146" s="9" t="str">
        <f ca="1">+WORLDCUP!BD62</f>
        <v>Ecuador</v>
      </c>
      <c r="J146" s="9" t="str">
        <f ca="1">+WORLDCUP!BD66</f>
        <v>Senegal</v>
      </c>
      <c r="N146" s="9" t="s">
        <v>1071</v>
      </c>
      <c r="O146" s="9">
        <v>145</v>
      </c>
      <c r="P146" s="9" t="s">
        <v>436</v>
      </c>
      <c r="Q146" s="9" t="s">
        <v>435</v>
      </c>
      <c r="R146" s="9" t="s">
        <v>90</v>
      </c>
      <c r="S146" s="9" t="s">
        <v>91</v>
      </c>
      <c r="T146" s="9" t="s">
        <v>441</v>
      </c>
      <c r="U146" s="9" t="s">
        <v>92</v>
      </c>
      <c r="V146" s="9" t="s">
        <v>93</v>
      </c>
      <c r="W146" s="9" t="s">
        <v>440</v>
      </c>
    </row>
    <row r="147" spans="1:23">
      <c r="A147" s="9" t="s">
        <v>1070</v>
      </c>
      <c r="B147" s="9">
        <f ca="1">+IF(A147=WORLDCUP!$BI$112,1,0)</f>
        <v>0</v>
      </c>
      <c r="C147" s="9" t="str">
        <f ca="1">+WORLDCUP!BD60</f>
        <v>Marruecos</v>
      </c>
      <c r="D147" s="9" t="str">
        <f ca="1">+WORLDCUP!BD67</f>
        <v>Argelia</v>
      </c>
      <c r="E147" s="9" t="str">
        <f ca="1">+WORLDCUP!BD59</f>
        <v>Canadá</v>
      </c>
      <c r="F147" s="9" t="str">
        <f ca="1">+WORLDCUP!BD61</f>
        <v>Paraguay</v>
      </c>
      <c r="G147" s="9" t="str">
        <f ca="1">+WORLDCUP!BD62</f>
        <v>Ecuador</v>
      </c>
      <c r="H147" s="9" t="str">
        <f ca="1">+WORLDCUP!BD63</f>
        <v>Suecia</v>
      </c>
      <c r="I147" s="9" t="str">
        <f ca="1">+WORLDCUP!BD69</f>
        <v>Ghana</v>
      </c>
      <c r="J147" s="9" t="str">
        <f ca="1">+WORLDCUP!BD68</f>
        <v>RD Congo</v>
      </c>
      <c r="N147" s="9" t="s">
        <v>1070</v>
      </c>
      <c r="O147" s="9">
        <v>146</v>
      </c>
      <c r="P147" s="9" t="s">
        <v>91</v>
      </c>
      <c r="Q147" s="9" t="s">
        <v>441</v>
      </c>
      <c r="R147" s="9" t="s">
        <v>90</v>
      </c>
      <c r="S147" s="9" t="s">
        <v>92</v>
      </c>
      <c r="T147" s="9" t="s">
        <v>93</v>
      </c>
      <c r="U147" s="9" t="s">
        <v>94</v>
      </c>
      <c r="V147" s="9" t="s">
        <v>443</v>
      </c>
      <c r="W147" s="9" t="s">
        <v>442</v>
      </c>
    </row>
    <row r="148" spans="1:23">
      <c r="A148" s="9" t="s">
        <v>1069</v>
      </c>
      <c r="B148" s="9">
        <f ca="1">+IF(A148=WORLDCUP!$BI$112,1,0)</f>
        <v>0</v>
      </c>
      <c r="C148" s="9" t="str">
        <f ca="1">+WORLDCUP!BD60</f>
        <v>Marruecos</v>
      </c>
      <c r="D148" s="9" t="str">
        <f ca="1">+WORLDCUP!BD62</f>
        <v>Ecuador</v>
      </c>
      <c r="E148" s="9" t="str">
        <f ca="1">+WORLDCUP!BD59</f>
        <v>Canadá</v>
      </c>
      <c r="F148" s="9" t="str">
        <f ca="1">+WORLDCUP!BD61</f>
        <v>Paraguay</v>
      </c>
      <c r="G148" s="9" t="str">
        <f ca="1">+WORLDCUP!BD66</f>
        <v>Senegal</v>
      </c>
      <c r="H148" s="9" t="str">
        <f ca="1">+WORLDCUP!BD63</f>
        <v>Suecia</v>
      </c>
      <c r="I148" s="9" t="str">
        <f ca="1">+WORLDCUP!BD69</f>
        <v>Ghana</v>
      </c>
      <c r="J148" s="9" t="str">
        <f ca="1">+WORLDCUP!BD68</f>
        <v>RD Congo</v>
      </c>
      <c r="N148" s="9" t="s">
        <v>1069</v>
      </c>
      <c r="O148" s="9">
        <v>147</v>
      </c>
      <c r="P148" s="9" t="s">
        <v>91</v>
      </c>
      <c r="Q148" s="9" t="s">
        <v>93</v>
      </c>
      <c r="R148" s="9" t="s">
        <v>90</v>
      </c>
      <c r="S148" s="9" t="s">
        <v>92</v>
      </c>
      <c r="T148" s="9" t="s">
        <v>440</v>
      </c>
      <c r="U148" s="9" t="s">
        <v>94</v>
      </c>
      <c r="V148" s="9" t="s">
        <v>443</v>
      </c>
      <c r="W148" s="9" t="s">
        <v>442</v>
      </c>
    </row>
    <row r="149" spans="1:23">
      <c r="A149" s="9" t="s">
        <v>1068</v>
      </c>
      <c r="B149" s="9">
        <f ca="1">+IF(A149=WORLDCUP!$BI$112,1,0)</f>
        <v>0</v>
      </c>
      <c r="C149" s="9" t="str">
        <f ca="1">+WORLDCUP!BD60</f>
        <v>Marruecos</v>
      </c>
      <c r="D149" s="9" t="str">
        <f ca="1">+WORLDCUP!BD67</f>
        <v>Argelia</v>
      </c>
      <c r="E149" s="9" t="str">
        <f ca="1">+WORLDCUP!BD59</f>
        <v>Canadá</v>
      </c>
      <c r="F149" s="9" t="str">
        <f ca="1">+WORLDCUP!BD61</f>
        <v>Paraguay</v>
      </c>
      <c r="G149" s="9" t="str">
        <f ca="1">+WORLDCUP!BD62</f>
        <v>Ecuador</v>
      </c>
      <c r="H149" s="9" t="str">
        <f ca="1">+WORLDCUP!BD63</f>
        <v>Suecia</v>
      </c>
      <c r="I149" s="9" t="str">
        <f ca="1">+WORLDCUP!BD69</f>
        <v>Ghana</v>
      </c>
      <c r="J149" s="9" t="str">
        <f ca="1">+WORLDCUP!BD66</f>
        <v>Senegal</v>
      </c>
      <c r="N149" s="9" t="s">
        <v>1068</v>
      </c>
      <c r="O149" s="9">
        <v>148</v>
      </c>
      <c r="P149" s="9" t="s">
        <v>91</v>
      </c>
      <c r="Q149" s="9" t="s">
        <v>441</v>
      </c>
      <c r="R149" s="9" t="s">
        <v>90</v>
      </c>
      <c r="S149" s="9" t="s">
        <v>92</v>
      </c>
      <c r="T149" s="9" t="s">
        <v>93</v>
      </c>
      <c r="U149" s="9" t="s">
        <v>94</v>
      </c>
      <c r="V149" s="9" t="s">
        <v>443</v>
      </c>
      <c r="W149" s="9" t="s">
        <v>440</v>
      </c>
    </row>
    <row r="150" spans="1:23">
      <c r="A150" s="9" t="s">
        <v>1067</v>
      </c>
      <c r="B150" s="9">
        <f ca="1">+IF(A150=WORLDCUP!$BI$112,1,0)</f>
        <v>0</v>
      </c>
      <c r="C150" s="9" t="str">
        <f ca="1">+WORLDCUP!BD60</f>
        <v>Marruecos</v>
      </c>
      <c r="D150" s="9" t="str">
        <f ca="1">+WORLDCUP!BD67</f>
        <v>Argelia</v>
      </c>
      <c r="E150" s="9" t="str">
        <f ca="1">+WORLDCUP!BD59</f>
        <v>Canadá</v>
      </c>
      <c r="F150" s="9" t="str">
        <f ca="1">+WORLDCUP!BD61</f>
        <v>Paraguay</v>
      </c>
      <c r="G150" s="9" t="str">
        <f ca="1">+WORLDCUP!BD62</f>
        <v>Ecuador</v>
      </c>
      <c r="H150" s="9" t="str">
        <f ca="1">+WORLDCUP!BD63</f>
        <v>Suecia</v>
      </c>
      <c r="I150" s="9" t="str">
        <f ca="1">+WORLDCUP!BD66</f>
        <v>Senegal</v>
      </c>
      <c r="J150" s="9" t="str">
        <f ca="1">+WORLDCUP!BD68</f>
        <v>RD Congo</v>
      </c>
      <c r="N150" s="9" t="s">
        <v>1067</v>
      </c>
      <c r="O150" s="9">
        <v>149</v>
      </c>
      <c r="P150" s="9" t="s">
        <v>91</v>
      </c>
      <c r="Q150" s="9" t="s">
        <v>441</v>
      </c>
      <c r="R150" s="9" t="s">
        <v>90</v>
      </c>
      <c r="S150" s="9" t="s">
        <v>92</v>
      </c>
      <c r="T150" s="9" t="s">
        <v>93</v>
      </c>
      <c r="U150" s="9" t="s">
        <v>94</v>
      </c>
      <c r="V150" s="9" t="s">
        <v>440</v>
      </c>
      <c r="W150" s="9" t="s">
        <v>442</v>
      </c>
    </row>
    <row r="151" spans="1:23">
      <c r="A151" s="9" t="s">
        <v>1066</v>
      </c>
      <c r="B151" s="9">
        <f ca="1">+IF(A151=WORLDCUP!$BI$112,1,0)</f>
        <v>0</v>
      </c>
      <c r="C151" s="9" t="str">
        <f ca="1">+WORLDCUP!BD60</f>
        <v>Marruecos</v>
      </c>
      <c r="D151" s="9" t="str">
        <f ca="1">+WORLDCUP!BD62</f>
        <v>Ecuador</v>
      </c>
      <c r="E151" s="9" t="str">
        <f ca="1">+WORLDCUP!BD59</f>
        <v>Canadá</v>
      </c>
      <c r="F151" s="9" t="str">
        <f ca="1">+WORLDCUP!BD61</f>
        <v>Paraguay</v>
      </c>
      <c r="G151" s="9" t="str">
        <f ca="1">+WORLDCUP!BD65</f>
        <v>Arabia Saudita</v>
      </c>
      <c r="H151" s="9" t="str">
        <f ca="1">+WORLDCUP!BD63</f>
        <v>Suecia</v>
      </c>
      <c r="I151" s="9" t="str">
        <f ca="1">+WORLDCUP!BD69</f>
        <v>Ghana</v>
      </c>
      <c r="J151" s="9" t="str">
        <f ca="1">+WORLDCUP!BD68</f>
        <v>RD Congo</v>
      </c>
      <c r="N151" s="9" t="s">
        <v>1066</v>
      </c>
      <c r="O151" s="9">
        <v>150</v>
      </c>
      <c r="P151" s="9" t="s">
        <v>91</v>
      </c>
      <c r="Q151" s="9" t="s">
        <v>93</v>
      </c>
      <c r="R151" s="9" t="s">
        <v>90</v>
      </c>
      <c r="S151" s="9" t="s">
        <v>92</v>
      </c>
      <c r="T151" s="9" t="s">
        <v>436</v>
      </c>
      <c r="U151" s="9" t="s">
        <v>94</v>
      </c>
      <c r="V151" s="9" t="s">
        <v>443</v>
      </c>
      <c r="W151" s="9" t="s">
        <v>442</v>
      </c>
    </row>
    <row r="152" spans="1:23">
      <c r="A152" s="9" t="s">
        <v>1065</v>
      </c>
      <c r="B152" s="9">
        <f ca="1">+IF(A152=WORLDCUP!$BI$112,1,0)</f>
        <v>0</v>
      </c>
      <c r="C152" s="9" t="str">
        <f ca="1">+WORLDCUP!BD60</f>
        <v>Marruecos</v>
      </c>
      <c r="D152" s="9" t="str">
        <f ca="1">+WORLDCUP!BD67</f>
        <v>Argelia</v>
      </c>
      <c r="E152" s="9" t="str">
        <f ca="1">+WORLDCUP!BD59</f>
        <v>Canadá</v>
      </c>
      <c r="F152" s="9" t="str">
        <f ca="1">+WORLDCUP!BD61</f>
        <v>Paraguay</v>
      </c>
      <c r="G152" s="9" t="str">
        <f ca="1">+WORLDCUP!BD65</f>
        <v>Arabia Saudita</v>
      </c>
      <c r="H152" s="9" t="str">
        <f ca="1">+WORLDCUP!BD63</f>
        <v>Suecia</v>
      </c>
      <c r="I152" s="9" t="str">
        <f ca="1">+WORLDCUP!BD69</f>
        <v>Ghana</v>
      </c>
      <c r="J152" s="9" t="str">
        <f ca="1">+WORLDCUP!BD62</f>
        <v>Ecuador</v>
      </c>
      <c r="N152" s="9" t="s">
        <v>1065</v>
      </c>
      <c r="O152" s="9">
        <v>151</v>
      </c>
      <c r="P152" s="9" t="s">
        <v>91</v>
      </c>
      <c r="Q152" s="9" t="s">
        <v>441</v>
      </c>
      <c r="R152" s="9" t="s">
        <v>90</v>
      </c>
      <c r="S152" s="9" t="s">
        <v>92</v>
      </c>
      <c r="T152" s="9" t="s">
        <v>436</v>
      </c>
      <c r="U152" s="9" t="s">
        <v>94</v>
      </c>
      <c r="V152" s="9" t="s">
        <v>443</v>
      </c>
      <c r="W152" s="9" t="s">
        <v>93</v>
      </c>
    </row>
    <row r="153" spans="1:23">
      <c r="A153" s="9" t="s">
        <v>1064</v>
      </c>
      <c r="B153" s="9">
        <f ca="1">+IF(A153=WORLDCUP!$BI$112,1,0)</f>
        <v>0</v>
      </c>
      <c r="C153" s="9" t="str">
        <f ca="1">+WORLDCUP!BD60</f>
        <v>Marruecos</v>
      </c>
      <c r="D153" s="9" t="str">
        <f ca="1">+WORLDCUP!BD67</f>
        <v>Argelia</v>
      </c>
      <c r="E153" s="9" t="str">
        <f ca="1">+WORLDCUP!BD59</f>
        <v>Canadá</v>
      </c>
      <c r="F153" s="9" t="str">
        <f ca="1">+WORLDCUP!BD61</f>
        <v>Paraguay</v>
      </c>
      <c r="G153" s="9" t="str">
        <f ca="1">+WORLDCUP!BD65</f>
        <v>Arabia Saudita</v>
      </c>
      <c r="H153" s="9" t="str">
        <f ca="1">+WORLDCUP!BD63</f>
        <v>Suecia</v>
      </c>
      <c r="I153" s="9" t="str">
        <f ca="1">+WORLDCUP!BD62</f>
        <v>Ecuador</v>
      </c>
      <c r="J153" s="9" t="str">
        <f ca="1">+WORLDCUP!BD68</f>
        <v>RD Congo</v>
      </c>
      <c r="N153" s="9" t="s">
        <v>1064</v>
      </c>
      <c r="O153" s="9">
        <v>152</v>
      </c>
      <c r="P153" s="9" t="s">
        <v>91</v>
      </c>
      <c r="Q153" s="9" t="s">
        <v>441</v>
      </c>
      <c r="R153" s="9" t="s">
        <v>90</v>
      </c>
      <c r="S153" s="9" t="s">
        <v>92</v>
      </c>
      <c r="T153" s="9" t="s">
        <v>436</v>
      </c>
      <c r="U153" s="9" t="s">
        <v>94</v>
      </c>
      <c r="V153" s="9" t="s">
        <v>93</v>
      </c>
      <c r="W153" s="9" t="s">
        <v>442</v>
      </c>
    </row>
    <row r="154" spans="1:23">
      <c r="A154" s="9" t="s">
        <v>1063</v>
      </c>
      <c r="B154" s="9">
        <f ca="1">+IF(A154=WORLDCUP!$BI$112,1,0)</f>
        <v>0</v>
      </c>
      <c r="C154" s="9" t="str">
        <f ca="1">+WORLDCUP!BD60</f>
        <v>Marruecos</v>
      </c>
      <c r="D154" s="9" t="str">
        <f ca="1">+WORLDCUP!BD62</f>
        <v>Ecuador</v>
      </c>
      <c r="E154" s="9" t="str">
        <f ca="1">+WORLDCUP!BD59</f>
        <v>Canadá</v>
      </c>
      <c r="F154" s="9" t="str">
        <f ca="1">+WORLDCUP!BD61</f>
        <v>Paraguay</v>
      </c>
      <c r="G154" s="9" t="str">
        <f ca="1">+WORLDCUP!BD65</f>
        <v>Arabia Saudita</v>
      </c>
      <c r="H154" s="9" t="str">
        <f ca="1">+WORLDCUP!BD63</f>
        <v>Suecia</v>
      </c>
      <c r="I154" s="9" t="str">
        <f ca="1">+WORLDCUP!BD69</f>
        <v>Ghana</v>
      </c>
      <c r="J154" s="9" t="str">
        <f ca="1">+WORLDCUP!BD66</f>
        <v>Senegal</v>
      </c>
      <c r="N154" s="9" t="s">
        <v>1063</v>
      </c>
      <c r="O154" s="9">
        <v>153</v>
      </c>
      <c r="P154" s="9" t="s">
        <v>91</v>
      </c>
      <c r="Q154" s="9" t="s">
        <v>93</v>
      </c>
      <c r="R154" s="9" t="s">
        <v>90</v>
      </c>
      <c r="S154" s="9" t="s">
        <v>92</v>
      </c>
      <c r="T154" s="9" t="s">
        <v>436</v>
      </c>
      <c r="U154" s="9" t="s">
        <v>94</v>
      </c>
      <c r="V154" s="9" t="s">
        <v>443</v>
      </c>
      <c r="W154" s="9" t="s">
        <v>440</v>
      </c>
    </row>
    <row r="155" spans="1:23">
      <c r="A155" s="9" t="s">
        <v>1062</v>
      </c>
      <c r="B155" s="9">
        <f ca="1">+IF(A155=WORLDCUP!$BI$112,1,0)</f>
        <v>0</v>
      </c>
      <c r="C155" s="9" t="str">
        <f ca="1">+WORLDCUP!BD60</f>
        <v>Marruecos</v>
      </c>
      <c r="D155" s="9" t="str">
        <f ca="1">+WORLDCUP!BD62</f>
        <v>Ecuador</v>
      </c>
      <c r="E155" s="9" t="str">
        <f ca="1">+WORLDCUP!BD59</f>
        <v>Canadá</v>
      </c>
      <c r="F155" s="9" t="str">
        <f ca="1">+WORLDCUP!BD61</f>
        <v>Paraguay</v>
      </c>
      <c r="G155" s="9" t="str">
        <f ca="1">+WORLDCUP!BD65</f>
        <v>Arabia Saudita</v>
      </c>
      <c r="H155" s="9" t="str">
        <f ca="1">+WORLDCUP!BD63</f>
        <v>Suecia</v>
      </c>
      <c r="I155" s="9" t="str">
        <f ca="1">+WORLDCUP!BD66</f>
        <v>Senegal</v>
      </c>
      <c r="J155" s="9" t="str">
        <f ca="1">+WORLDCUP!BD68</f>
        <v>RD Congo</v>
      </c>
      <c r="N155" s="9" t="s">
        <v>1062</v>
      </c>
      <c r="O155" s="9">
        <v>154</v>
      </c>
      <c r="P155" s="9" t="s">
        <v>91</v>
      </c>
      <c r="Q155" s="9" t="s">
        <v>93</v>
      </c>
      <c r="R155" s="9" t="s">
        <v>90</v>
      </c>
      <c r="S155" s="9" t="s">
        <v>92</v>
      </c>
      <c r="T155" s="9" t="s">
        <v>436</v>
      </c>
      <c r="U155" s="9" t="s">
        <v>94</v>
      </c>
      <c r="V155" s="9" t="s">
        <v>440</v>
      </c>
      <c r="W155" s="9" t="s">
        <v>442</v>
      </c>
    </row>
    <row r="156" spans="1:23">
      <c r="A156" s="9" t="s">
        <v>1061</v>
      </c>
      <c r="B156" s="9">
        <f ca="1">+IF(A156=WORLDCUP!$BI$112,1,0)</f>
        <v>0</v>
      </c>
      <c r="C156" s="9" t="str">
        <f ca="1">+WORLDCUP!BD60</f>
        <v>Marruecos</v>
      </c>
      <c r="D156" s="9" t="str">
        <f ca="1">+WORLDCUP!BD67</f>
        <v>Argelia</v>
      </c>
      <c r="E156" s="9" t="str">
        <f ca="1">+WORLDCUP!BD59</f>
        <v>Canadá</v>
      </c>
      <c r="F156" s="9" t="str">
        <f ca="1">+WORLDCUP!BD61</f>
        <v>Paraguay</v>
      </c>
      <c r="G156" s="9" t="str">
        <f ca="1">+WORLDCUP!BD65</f>
        <v>Arabia Saudita</v>
      </c>
      <c r="H156" s="9" t="str">
        <f ca="1">+WORLDCUP!BD63</f>
        <v>Suecia</v>
      </c>
      <c r="I156" s="9" t="str">
        <f ca="1">+WORLDCUP!BD62</f>
        <v>Ecuador</v>
      </c>
      <c r="J156" s="9" t="str">
        <f ca="1">+WORLDCUP!BD66</f>
        <v>Senegal</v>
      </c>
      <c r="N156" s="9" t="s">
        <v>1061</v>
      </c>
      <c r="O156" s="9">
        <v>155</v>
      </c>
      <c r="P156" s="9" t="s">
        <v>91</v>
      </c>
      <c r="Q156" s="9" t="s">
        <v>441</v>
      </c>
      <c r="R156" s="9" t="s">
        <v>90</v>
      </c>
      <c r="S156" s="9" t="s">
        <v>92</v>
      </c>
      <c r="T156" s="9" t="s">
        <v>436</v>
      </c>
      <c r="U156" s="9" t="s">
        <v>94</v>
      </c>
      <c r="V156" s="9" t="s">
        <v>93</v>
      </c>
      <c r="W156" s="9" t="s">
        <v>440</v>
      </c>
    </row>
    <row r="157" spans="1:23">
      <c r="A157" s="9" t="s">
        <v>475</v>
      </c>
      <c r="B157" s="9">
        <f ca="1">+IF(A157=WORLDCUP!$BI$112,1,0)</f>
        <v>0</v>
      </c>
      <c r="C157" s="9" t="str">
        <f ca="1">+WORLDCUP!BD60</f>
        <v>Marruecos</v>
      </c>
      <c r="D157" s="9" t="str">
        <f ca="1">+WORLDCUP!BD64</f>
        <v>Egipto</v>
      </c>
      <c r="E157" s="9" t="str">
        <f ca="1">+WORLDCUP!BD59</f>
        <v>Canadá</v>
      </c>
      <c r="F157" s="9" t="str">
        <f ca="1">+WORLDCUP!BD61</f>
        <v>Paraguay</v>
      </c>
      <c r="G157" s="9" t="str">
        <f ca="1">+WORLDCUP!BD62</f>
        <v>Ecuador</v>
      </c>
      <c r="H157" s="9" t="str">
        <f ca="1">+WORLDCUP!BD63</f>
        <v>Suecia</v>
      </c>
      <c r="I157" s="9" t="str">
        <f ca="1">+WORLDCUP!BD69</f>
        <v>Ghana</v>
      </c>
      <c r="J157" s="9" t="str">
        <f ca="1">+WORLDCUP!BD68</f>
        <v>RD Congo</v>
      </c>
      <c r="N157" s="9" t="s">
        <v>475</v>
      </c>
      <c r="O157" s="9">
        <v>156</v>
      </c>
      <c r="P157" s="9" t="s">
        <v>91</v>
      </c>
      <c r="Q157" s="9" t="s">
        <v>435</v>
      </c>
      <c r="R157" s="9" t="s">
        <v>90</v>
      </c>
      <c r="S157" s="9" t="s">
        <v>92</v>
      </c>
      <c r="T157" s="9" t="s">
        <v>93</v>
      </c>
      <c r="U157" s="9" t="s">
        <v>94</v>
      </c>
      <c r="V157" s="9" t="s">
        <v>443</v>
      </c>
      <c r="W157" s="9" t="s">
        <v>442</v>
      </c>
    </row>
    <row r="158" spans="1:23">
      <c r="A158" s="9" t="s">
        <v>468</v>
      </c>
      <c r="B158" s="9">
        <f ca="1">+IF(A158=WORLDCUP!$BI$112,1,0)</f>
        <v>0</v>
      </c>
      <c r="C158" s="9" t="str">
        <f ca="1">+WORLDCUP!BD60</f>
        <v>Marruecos</v>
      </c>
      <c r="D158" s="9" t="str">
        <f ca="1">+WORLDCUP!BD64</f>
        <v>Egipto</v>
      </c>
      <c r="E158" s="9" t="str">
        <f ca="1">+WORLDCUP!BD59</f>
        <v>Canadá</v>
      </c>
      <c r="F158" s="9" t="str">
        <f ca="1">+WORLDCUP!BD61</f>
        <v>Paraguay</v>
      </c>
      <c r="G158" s="9" t="str">
        <f ca="1">+WORLDCUP!BD67</f>
        <v>Argelia</v>
      </c>
      <c r="H158" s="9" t="str">
        <f ca="1">+WORLDCUP!BD63</f>
        <v>Suecia</v>
      </c>
      <c r="I158" s="9" t="str">
        <f ca="1">+WORLDCUP!BD69</f>
        <v>Ghana</v>
      </c>
      <c r="J158" s="9" t="str">
        <f ca="1">+WORLDCUP!BD62</f>
        <v>Ecuador</v>
      </c>
      <c r="N158" s="9" t="s">
        <v>468</v>
      </c>
      <c r="O158" s="9">
        <v>157</v>
      </c>
      <c r="P158" s="9" t="s">
        <v>91</v>
      </c>
      <c r="Q158" s="9" t="s">
        <v>435</v>
      </c>
      <c r="R158" s="9" t="s">
        <v>90</v>
      </c>
      <c r="S158" s="9" t="s">
        <v>92</v>
      </c>
      <c r="T158" s="9" t="s">
        <v>441</v>
      </c>
      <c r="U158" s="9" t="s">
        <v>94</v>
      </c>
      <c r="V158" s="9" t="s">
        <v>443</v>
      </c>
      <c r="W158" s="9" t="s">
        <v>93</v>
      </c>
    </row>
    <row r="159" spans="1:23">
      <c r="A159" s="9" t="s">
        <v>467</v>
      </c>
      <c r="B159" s="9">
        <f ca="1">+IF(A159=WORLDCUP!$BI$112,1,0)</f>
        <v>0</v>
      </c>
      <c r="C159" s="9" t="str">
        <f ca="1">+WORLDCUP!BD60</f>
        <v>Marruecos</v>
      </c>
      <c r="D159" s="9" t="str">
        <f ca="1">+WORLDCUP!BD64</f>
        <v>Egipto</v>
      </c>
      <c r="E159" s="9" t="str">
        <f ca="1">+WORLDCUP!BD59</f>
        <v>Canadá</v>
      </c>
      <c r="F159" s="9" t="str">
        <f ca="1">+WORLDCUP!BD61</f>
        <v>Paraguay</v>
      </c>
      <c r="G159" s="9" t="str">
        <f ca="1">+WORLDCUP!BD67</f>
        <v>Argelia</v>
      </c>
      <c r="H159" s="9" t="str">
        <f ca="1">+WORLDCUP!BD63</f>
        <v>Suecia</v>
      </c>
      <c r="I159" s="9" t="str">
        <f ca="1">+WORLDCUP!BD62</f>
        <v>Ecuador</v>
      </c>
      <c r="J159" s="9" t="str">
        <f ca="1">+WORLDCUP!BD68</f>
        <v>RD Congo</v>
      </c>
      <c r="N159" s="9" t="s">
        <v>467</v>
      </c>
      <c r="O159" s="9">
        <v>158</v>
      </c>
      <c r="P159" s="9" t="s">
        <v>91</v>
      </c>
      <c r="Q159" s="9" t="s">
        <v>435</v>
      </c>
      <c r="R159" s="9" t="s">
        <v>90</v>
      </c>
      <c r="S159" s="9" t="s">
        <v>92</v>
      </c>
      <c r="T159" s="9" t="s">
        <v>441</v>
      </c>
      <c r="U159" s="9" t="s">
        <v>94</v>
      </c>
      <c r="V159" s="9" t="s">
        <v>93</v>
      </c>
      <c r="W159" s="9" t="s">
        <v>442</v>
      </c>
    </row>
    <row r="160" spans="1:23">
      <c r="A160" s="9" t="s">
        <v>466</v>
      </c>
      <c r="B160" s="9">
        <f ca="1">+IF(A160=WORLDCUP!$BI$112,1,0)</f>
        <v>0</v>
      </c>
      <c r="C160" s="9" t="str">
        <f ca="1">+WORLDCUP!BD60</f>
        <v>Marruecos</v>
      </c>
      <c r="D160" s="9" t="str">
        <f ca="1">+WORLDCUP!BD64</f>
        <v>Egipto</v>
      </c>
      <c r="E160" s="9" t="str">
        <f ca="1">+WORLDCUP!BD59</f>
        <v>Canadá</v>
      </c>
      <c r="F160" s="9" t="str">
        <f ca="1">+WORLDCUP!BD61</f>
        <v>Paraguay</v>
      </c>
      <c r="G160" s="9" t="str">
        <f ca="1">+WORLDCUP!BD62</f>
        <v>Ecuador</v>
      </c>
      <c r="H160" s="9" t="str">
        <f ca="1">+WORLDCUP!BD63</f>
        <v>Suecia</v>
      </c>
      <c r="I160" s="9" t="str">
        <f ca="1">+WORLDCUP!BD69</f>
        <v>Ghana</v>
      </c>
      <c r="J160" s="9" t="str">
        <f ca="1">+WORLDCUP!BD66</f>
        <v>Senegal</v>
      </c>
      <c r="N160" s="9" t="s">
        <v>466</v>
      </c>
      <c r="O160" s="9">
        <v>159</v>
      </c>
      <c r="P160" s="9" t="s">
        <v>91</v>
      </c>
      <c r="Q160" s="9" t="s">
        <v>435</v>
      </c>
      <c r="R160" s="9" t="s">
        <v>90</v>
      </c>
      <c r="S160" s="9" t="s">
        <v>92</v>
      </c>
      <c r="T160" s="9" t="s">
        <v>93</v>
      </c>
      <c r="U160" s="9" t="s">
        <v>94</v>
      </c>
      <c r="V160" s="9" t="s">
        <v>443</v>
      </c>
      <c r="W160" s="9" t="s">
        <v>440</v>
      </c>
    </row>
    <row r="161" spans="1:23">
      <c r="A161" s="9" t="s">
        <v>465</v>
      </c>
      <c r="B161" s="9">
        <f ca="1">+IF(A161=WORLDCUP!$BI$112,1,0)</f>
        <v>0</v>
      </c>
      <c r="C161" s="9" t="str">
        <f ca="1">+WORLDCUP!BD60</f>
        <v>Marruecos</v>
      </c>
      <c r="D161" s="9" t="str">
        <f ca="1">+WORLDCUP!BD64</f>
        <v>Egipto</v>
      </c>
      <c r="E161" s="9" t="str">
        <f ca="1">+WORLDCUP!BD59</f>
        <v>Canadá</v>
      </c>
      <c r="F161" s="9" t="str">
        <f ca="1">+WORLDCUP!BD61</f>
        <v>Paraguay</v>
      </c>
      <c r="G161" s="9" t="str">
        <f ca="1">+WORLDCUP!BD62</f>
        <v>Ecuador</v>
      </c>
      <c r="H161" s="9" t="str">
        <f ca="1">+WORLDCUP!BD63</f>
        <v>Suecia</v>
      </c>
      <c r="I161" s="9" t="str">
        <f ca="1">+WORLDCUP!BD66</f>
        <v>Senegal</v>
      </c>
      <c r="J161" s="9" t="str">
        <f ca="1">+WORLDCUP!BD68</f>
        <v>RD Congo</v>
      </c>
      <c r="N161" s="9" t="s">
        <v>465</v>
      </c>
      <c r="O161" s="9">
        <v>160</v>
      </c>
      <c r="P161" s="9" t="s">
        <v>91</v>
      </c>
      <c r="Q161" s="9" t="s">
        <v>435</v>
      </c>
      <c r="R161" s="9" t="s">
        <v>90</v>
      </c>
      <c r="S161" s="9" t="s">
        <v>92</v>
      </c>
      <c r="T161" s="9" t="s">
        <v>93</v>
      </c>
      <c r="U161" s="9" t="s">
        <v>94</v>
      </c>
      <c r="V161" s="9" t="s">
        <v>440</v>
      </c>
      <c r="W161" s="9" t="s">
        <v>442</v>
      </c>
    </row>
    <row r="162" spans="1:23">
      <c r="A162" s="9" t="s">
        <v>464</v>
      </c>
      <c r="B162" s="9">
        <f ca="1">+IF(A162=WORLDCUP!$BI$112,1,0)</f>
        <v>0</v>
      </c>
      <c r="C162" s="9" t="str">
        <f ca="1">+WORLDCUP!BD60</f>
        <v>Marruecos</v>
      </c>
      <c r="D162" s="9" t="str">
        <f ca="1">+WORLDCUP!BD64</f>
        <v>Egipto</v>
      </c>
      <c r="E162" s="9" t="str">
        <f ca="1">+WORLDCUP!BD59</f>
        <v>Canadá</v>
      </c>
      <c r="F162" s="9" t="str">
        <f ca="1">+WORLDCUP!BD61</f>
        <v>Paraguay</v>
      </c>
      <c r="G162" s="9" t="str">
        <f ca="1">+WORLDCUP!BD67</f>
        <v>Argelia</v>
      </c>
      <c r="H162" s="9" t="str">
        <f ca="1">+WORLDCUP!BD63</f>
        <v>Suecia</v>
      </c>
      <c r="I162" s="9" t="str">
        <f ca="1">+WORLDCUP!BD62</f>
        <v>Ecuador</v>
      </c>
      <c r="J162" s="9" t="str">
        <f ca="1">+WORLDCUP!BD66</f>
        <v>Senegal</v>
      </c>
      <c r="N162" s="9" t="s">
        <v>464</v>
      </c>
      <c r="O162" s="9">
        <v>161</v>
      </c>
      <c r="P162" s="9" t="s">
        <v>91</v>
      </c>
      <c r="Q162" s="9" t="s">
        <v>435</v>
      </c>
      <c r="R162" s="9" t="s">
        <v>90</v>
      </c>
      <c r="S162" s="9" t="s">
        <v>92</v>
      </c>
      <c r="T162" s="9" t="s">
        <v>441</v>
      </c>
      <c r="U162" s="9" t="s">
        <v>94</v>
      </c>
      <c r="V162" s="9" t="s">
        <v>93</v>
      </c>
      <c r="W162" s="9" t="s">
        <v>440</v>
      </c>
    </row>
    <row r="163" spans="1:23">
      <c r="A163" s="9" t="s">
        <v>463</v>
      </c>
      <c r="B163" s="9">
        <f ca="1">+IF(A163=WORLDCUP!$BI$112,1,0)</f>
        <v>0</v>
      </c>
      <c r="C163" s="9" t="str">
        <f ca="1">+WORLDCUP!BD60</f>
        <v>Marruecos</v>
      </c>
      <c r="D163" s="9" t="str">
        <f ca="1">+WORLDCUP!BD64</f>
        <v>Egipto</v>
      </c>
      <c r="E163" s="9" t="str">
        <f ca="1">+WORLDCUP!BD59</f>
        <v>Canadá</v>
      </c>
      <c r="F163" s="9" t="str">
        <f ca="1">+WORLDCUP!BD61</f>
        <v>Paraguay</v>
      </c>
      <c r="G163" s="9" t="str">
        <f ca="1">+WORLDCUP!BD65</f>
        <v>Arabia Saudita</v>
      </c>
      <c r="H163" s="9" t="str">
        <f ca="1">+WORLDCUP!BD63</f>
        <v>Suecia</v>
      </c>
      <c r="I163" s="9" t="str">
        <f ca="1">+WORLDCUP!BD69</f>
        <v>Ghana</v>
      </c>
      <c r="J163" s="9" t="str">
        <f ca="1">+WORLDCUP!BD62</f>
        <v>Ecuador</v>
      </c>
      <c r="N163" s="9" t="s">
        <v>463</v>
      </c>
      <c r="O163" s="9">
        <v>162</v>
      </c>
      <c r="P163" s="9" t="s">
        <v>91</v>
      </c>
      <c r="Q163" s="9" t="s">
        <v>435</v>
      </c>
      <c r="R163" s="9" t="s">
        <v>90</v>
      </c>
      <c r="S163" s="9" t="s">
        <v>92</v>
      </c>
      <c r="T163" s="9" t="s">
        <v>436</v>
      </c>
      <c r="U163" s="9" t="s">
        <v>94</v>
      </c>
      <c r="V163" s="9" t="s">
        <v>443</v>
      </c>
      <c r="W163" s="9" t="s">
        <v>93</v>
      </c>
    </row>
    <row r="164" spans="1:23">
      <c r="A164" s="9" t="s">
        <v>462</v>
      </c>
      <c r="B164" s="9">
        <f ca="1">+IF(A164=WORLDCUP!$BI$112,1,0)</f>
        <v>0</v>
      </c>
      <c r="C164" s="9" t="str">
        <f ca="1">+WORLDCUP!BD60</f>
        <v>Marruecos</v>
      </c>
      <c r="D164" s="9" t="str">
        <f ca="1">+WORLDCUP!BD64</f>
        <v>Egipto</v>
      </c>
      <c r="E164" s="9" t="str">
        <f ca="1">+WORLDCUP!BD59</f>
        <v>Canadá</v>
      </c>
      <c r="F164" s="9" t="str">
        <f ca="1">+WORLDCUP!BD61</f>
        <v>Paraguay</v>
      </c>
      <c r="G164" s="9" t="str">
        <f ca="1">+WORLDCUP!BD65</f>
        <v>Arabia Saudita</v>
      </c>
      <c r="H164" s="9" t="str">
        <f ca="1">+WORLDCUP!BD63</f>
        <v>Suecia</v>
      </c>
      <c r="I164" s="9" t="str">
        <f ca="1">+WORLDCUP!BD62</f>
        <v>Ecuador</v>
      </c>
      <c r="J164" s="9" t="str">
        <f ca="1">+WORLDCUP!BD68</f>
        <v>RD Congo</v>
      </c>
      <c r="N164" s="9" t="s">
        <v>462</v>
      </c>
      <c r="O164" s="9">
        <v>163</v>
      </c>
      <c r="P164" s="9" t="s">
        <v>91</v>
      </c>
      <c r="Q164" s="9" t="s">
        <v>435</v>
      </c>
      <c r="R164" s="9" t="s">
        <v>90</v>
      </c>
      <c r="S164" s="9" t="s">
        <v>92</v>
      </c>
      <c r="T164" s="9" t="s">
        <v>436</v>
      </c>
      <c r="U164" s="9" t="s">
        <v>94</v>
      </c>
      <c r="V164" s="9" t="s">
        <v>93</v>
      </c>
      <c r="W164" s="9" t="s">
        <v>442</v>
      </c>
    </row>
    <row r="165" spans="1:23">
      <c r="A165" s="9" t="s">
        <v>461</v>
      </c>
      <c r="B165" s="9">
        <f ca="1">+IF(A165=WORLDCUP!$BI$112,1,0)</f>
        <v>0</v>
      </c>
      <c r="C165" s="9" t="str">
        <f ca="1">+WORLDCUP!BD65</f>
        <v>Arabia Saudita</v>
      </c>
      <c r="D165" s="9" t="str">
        <f ca="1">+WORLDCUP!BD64</f>
        <v>Egipto</v>
      </c>
      <c r="E165" s="9" t="str">
        <f ca="1">+WORLDCUP!BD59</f>
        <v>Canadá</v>
      </c>
      <c r="F165" s="9" t="str">
        <f ca="1">+WORLDCUP!BD60</f>
        <v>Marruecos</v>
      </c>
      <c r="G165" s="9" t="str">
        <f ca="1">+WORLDCUP!BD67</f>
        <v>Argelia</v>
      </c>
      <c r="H165" s="9" t="str">
        <f ca="1">+WORLDCUP!BD63</f>
        <v>Suecia</v>
      </c>
      <c r="I165" s="9" t="str">
        <f ca="1">+WORLDCUP!BD61</f>
        <v>Paraguay</v>
      </c>
      <c r="J165" s="9" t="str">
        <f ca="1">+WORLDCUP!BD62</f>
        <v>Ecuador</v>
      </c>
      <c r="N165" s="9" t="s">
        <v>461</v>
      </c>
      <c r="O165" s="9">
        <v>164</v>
      </c>
      <c r="P165" s="9" t="s">
        <v>436</v>
      </c>
      <c r="Q165" s="9" t="s">
        <v>435</v>
      </c>
      <c r="R165" s="9" t="s">
        <v>90</v>
      </c>
      <c r="S165" s="9" t="s">
        <v>91</v>
      </c>
      <c r="T165" s="9" t="s">
        <v>441</v>
      </c>
      <c r="U165" s="9" t="s">
        <v>94</v>
      </c>
      <c r="V165" s="9" t="s">
        <v>92</v>
      </c>
      <c r="W165" s="9" t="s">
        <v>93</v>
      </c>
    </row>
    <row r="166" spans="1:23">
      <c r="A166" s="9" t="s">
        <v>460</v>
      </c>
      <c r="B166" s="9">
        <f ca="1">+IF(A166=WORLDCUP!$BI$112,1,0)</f>
        <v>0</v>
      </c>
      <c r="C166" s="9" t="str">
        <f ca="1">+WORLDCUP!BD60</f>
        <v>Marruecos</v>
      </c>
      <c r="D166" s="9" t="str">
        <f ca="1">+WORLDCUP!BD64</f>
        <v>Egipto</v>
      </c>
      <c r="E166" s="9" t="str">
        <f ca="1">+WORLDCUP!BD59</f>
        <v>Canadá</v>
      </c>
      <c r="F166" s="9" t="str">
        <f ca="1">+WORLDCUP!BD61</f>
        <v>Paraguay</v>
      </c>
      <c r="G166" s="9" t="str">
        <f ca="1">+WORLDCUP!BD65</f>
        <v>Arabia Saudita</v>
      </c>
      <c r="H166" s="9" t="str">
        <f ca="1">+WORLDCUP!BD63</f>
        <v>Suecia</v>
      </c>
      <c r="I166" s="9" t="str">
        <f ca="1">+WORLDCUP!BD62</f>
        <v>Ecuador</v>
      </c>
      <c r="J166" s="9" t="str">
        <f ca="1">+WORLDCUP!BD66</f>
        <v>Senegal</v>
      </c>
      <c r="N166" s="9" t="s">
        <v>460</v>
      </c>
      <c r="O166" s="9">
        <v>165</v>
      </c>
      <c r="P166" s="9" t="s">
        <v>91</v>
      </c>
      <c r="Q166" s="9" t="s">
        <v>435</v>
      </c>
      <c r="R166" s="9" t="s">
        <v>90</v>
      </c>
      <c r="S166" s="9" t="s">
        <v>92</v>
      </c>
      <c r="T166" s="9" t="s">
        <v>436</v>
      </c>
      <c r="U166" s="9" t="s">
        <v>94</v>
      </c>
      <c r="V166" s="9" t="s">
        <v>93</v>
      </c>
      <c r="W166" s="9" t="s">
        <v>440</v>
      </c>
    </row>
    <row r="167" spans="1:23">
      <c r="A167" s="9" t="s">
        <v>596</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Egipto</v>
      </c>
      <c r="I167" s="9" t="str">
        <f ca="1">+WORLDCUP!BD69</f>
        <v>Ghana</v>
      </c>
      <c r="J167" s="9" t="str">
        <f ca="1">+WORLDCUP!BD68</f>
        <v>RD Congo</v>
      </c>
      <c r="N167" s="9" t="s">
        <v>596</v>
      </c>
      <c r="O167" s="9">
        <v>166</v>
      </c>
      <c r="P167" s="9" t="s">
        <v>436</v>
      </c>
      <c r="Q167" s="9" t="s">
        <v>441</v>
      </c>
      <c r="R167" s="9" t="s">
        <v>440</v>
      </c>
      <c r="S167" s="9" t="s">
        <v>94</v>
      </c>
      <c r="T167" s="9" t="s">
        <v>89</v>
      </c>
      <c r="U167" s="9" t="s">
        <v>435</v>
      </c>
      <c r="V167" s="9" t="s">
        <v>443</v>
      </c>
      <c r="W167" s="9" t="s">
        <v>442</v>
      </c>
    </row>
    <row r="168" spans="1:23">
      <c r="A168" s="9" t="s">
        <v>1060</v>
      </c>
      <c r="B168" s="9">
        <f ca="1">+IF(A168=WORLDCUP!$BI$112,1,0)</f>
        <v>0</v>
      </c>
      <c r="C168" s="9" t="str">
        <f ca="1">+WORLDCUP!BD62</f>
        <v>Ecuador</v>
      </c>
      <c r="D168" s="9" t="str">
        <f ca="1">+WORLDCUP!BD67</f>
        <v>Argelia</v>
      </c>
      <c r="E168" s="9" t="str">
        <f ca="1">+WORLDCUP!BD66</f>
        <v>Senegal</v>
      </c>
      <c r="F168" s="9" t="str">
        <f ca="1">+WORLDCUP!BD58</f>
        <v>República Checa</v>
      </c>
      <c r="G168" s="9" t="str">
        <f ca="1">+WORLDCUP!BD65</f>
        <v>Arabia Saudita</v>
      </c>
      <c r="H168" s="9" t="str">
        <f ca="1">+WORLDCUP!BD64</f>
        <v>Egipto</v>
      </c>
      <c r="I168" s="9" t="str">
        <f ca="1">+WORLDCUP!BD69</f>
        <v>Ghana</v>
      </c>
      <c r="J168" s="9" t="str">
        <f ca="1">+WORLDCUP!BD68</f>
        <v>RD Congo</v>
      </c>
      <c r="N168" s="9" t="s">
        <v>1060</v>
      </c>
      <c r="O168" s="9">
        <v>167</v>
      </c>
      <c r="P168" s="9" t="s">
        <v>93</v>
      </c>
      <c r="Q168" s="9" t="s">
        <v>441</v>
      </c>
      <c r="R168" s="9" t="s">
        <v>440</v>
      </c>
      <c r="S168" s="9" t="s">
        <v>89</v>
      </c>
      <c r="T168" s="9" t="s">
        <v>436</v>
      </c>
      <c r="U168" s="9" t="s">
        <v>435</v>
      </c>
      <c r="V168" s="9" t="s">
        <v>443</v>
      </c>
      <c r="W168" s="9" t="s">
        <v>442</v>
      </c>
    </row>
    <row r="169" spans="1:23">
      <c r="A169" s="9" t="s">
        <v>1059</v>
      </c>
      <c r="B169" s="9">
        <f ca="1">+IF(A169=WORLDCUP!$BI$112,1,0)</f>
        <v>0</v>
      </c>
      <c r="C169" s="9" t="str">
        <f ca="1">+WORLDCUP!BD62</f>
        <v>Ecuador</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9" t="s">
        <v>1059</v>
      </c>
      <c r="O169" s="9">
        <v>168</v>
      </c>
      <c r="P169" s="9" t="s">
        <v>93</v>
      </c>
      <c r="Q169" s="9" t="s">
        <v>441</v>
      </c>
      <c r="R169" s="9" t="s">
        <v>440</v>
      </c>
      <c r="S169" s="9" t="s">
        <v>94</v>
      </c>
      <c r="T169" s="9" t="s">
        <v>89</v>
      </c>
      <c r="U169" s="9" t="s">
        <v>436</v>
      </c>
      <c r="V169" s="9" t="s">
        <v>443</v>
      </c>
      <c r="W169" s="9" t="s">
        <v>442</v>
      </c>
    </row>
    <row r="170" spans="1:23">
      <c r="A170" s="9" t="s">
        <v>1058</v>
      </c>
      <c r="B170" s="9">
        <f ca="1">+IF(A170=WORLDCUP!$BI$112,1,0)</f>
        <v>0</v>
      </c>
      <c r="C170" s="9" t="str">
        <f ca="1">+WORLDCUP!BD62</f>
        <v>Ecuador</v>
      </c>
      <c r="D170" s="9" t="str">
        <f ca="1">+WORLDCUP!BD67</f>
        <v>Argelia</v>
      </c>
      <c r="E170" s="9" t="str">
        <f ca="1">+WORLDCUP!BD66</f>
        <v>Senegal</v>
      </c>
      <c r="F170" s="9" t="str">
        <f ca="1">+WORLDCUP!BD63</f>
        <v>Suecia</v>
      </c>
      <c r="G170" s="9" t="str">
        <f ca="1">+WORLDCUP!BD58</f>
        <v>República Checa</v>
      </c>
      <c r="H170" s="9" t="str">
        <f ca="1">+WORLDCUP!BD64</f>
        <v>Egipto</v>
      </c>
      <c r="I170" s="9" t="str">
        <f ca="1">+WORLDCUP!BD69</f>
        <v>Ghana</v>
      </c>
      <c r="J170" s="9" t="str">
        <f ca="1">+WORLDCUP!BD68</f>
        <v>RD Congo</v>
      </c>
      <c r="N170" s="9" t="s">
        <v>1058</v>
      </c>
      <c r="O170" s="9">
        <v>169</v>
      </c>
      <c r="P170" s="9" t="s">
        <v>93</v>
      </c>
      <c r="Q170" s="9" t="s">
        <v>441</v>
      </c>
      <c r="R170" s="9" t="s">
        <v>440</v>
      </c>
      <c r="S170" s="9" t="s">
        <v>94</v>
      </c>
      <c r="T170" s="9" t="s">
        <v>89</v>
      </c>
      <c r="U170" s="9" t="s">
        <v>435</v>
      </c>
      <c r="V170" s="9" t="s">
        <v>443</v>
      </c>
      <c r="W170" s="9" t="s">
        <v>442</v>
      </c>
    </row>
    <row r="171" spans="1:23">
      <c r="A171" s="9" t="s">
        <v>1057</v>
      </c>
      <c r="B171" s="9">
        <f ca="1">+IF(A171=WORLDCUP!$BI$112,1,0)</f>
        <v>0</v>
      </c>
      <c r="C171" s="9" t="str">
        <f ca="1">+WORLDCUP!BD62</f>
        <v>Ecuador</v>
      </c>
      <c r="D171" s="9" t="str">
        <f ca="1">+WORLDCUP!BD64</f>
        <v>Egipto</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9" t="s">
        <v>1057</v>
      </c>
      <c r="O171" s="9">
        <v>170</v>
      </c>
      <c r="P171" s="9" t="s">
        <v>93</v>
      </c>
      <c r="Q171" s="9" t="s">
        <v>435</v>
      </c>
      <c r="R171" s="9" t="s">
        <v>441</v>
      </c>
      <c r="S171" s="9" t="s">
        <v>94</v>
      </c>
      <c r="T171" s="9" t="s">
        <v>89</v>
      </c>
      <c r="U171" s="9" t="s">
        <v>436</v>
      </c>
      <c r="V171" s="9" t="s">
        <v>443</v>
      </c>
      <c r="W171" s="9" t="s">
        <v>442</v>
      </c>
    </row>
    <row r="172" spans="1:23">
      <c r="A172" s="9" t="s">
        <v>593</v>
      </c>
      <c r="B172" s="9">
        <f ca="1">+IF(A172=WORLDCUP!$BI$112,1,0)</f>
        <v>0</v>
      </c>
      <c r="C172" s="9" t="str">
        <f ca="1">+WORLDCUP!BD62</f>
        <v>Ecuador</v>
      </c>
      <c r="D172" s="9" t="str">
        <f ca="1">+WORLDCUP!BD64</f>
        <v>Egipto</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9" t="s">
        <v>593</v>
      </c>
      <c r="O172" s="9">
        <v>171</v>
      </c>
      <c r="P172" s="9" t="s">
        <v>93</v>
      </c>
      <c r="Q172" s="9" t="s">
        <v>435</v>
      </c>
      <c r="R172" s="9" t="s">
        <v>440</v>
      </c>
      <c r="S172" s="9" t="s">
        <v>94</v>
      </c>
      <c r="T172" s="9" t="s">
        <v>89</v>
      </c>
      <c r="U172" s="9" t="s">
        <v>436</v>
      </c>
      <c r="V172" s="9" t="s">
        <v>443</v>
      </c>
      <c r="W172" s="9" t="s">
        <v>442</v>
      </c>
    </row>
    <row r="173" spans="1:23">
      <c r="A173" s="9" t="s">
        <v>595</v>
      </c>
      <c r="B173" s="9">
        <f ca="1">+IF(A173=WORLDCUP!$BI$112,1,0)</f>
        <v>0</v>
      </c>
      <c r="C173" s="9" t="str">
        <f ca="1">+WORLDCUP!BD62</f>
        <v>Ecuador</v>
      </c>
      <c r="D173" s="9" t="str">
        <f ca="1">+WORLDCUP!BD64</f>
        <v>Egipto</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9" t="s">
        <v>595</v>
      </c>
      <c r="O173" s="9">
        <v>172</v>
      </c>
      <c r="P173" s="9" t="s">
        <v>93</v>
      </c>
      <c r="Q173" s="9" t="s">
        <v>435</v>
      </c>
      <c r="R173" s="9" t="s">
        <v>441</v>
      </c>
      <c r="S173" s="9" t="s">
        <v>94</v>
      </c>
      <c r="T173" s="9" t="s">
        <v>89</v>
      </c>
      <c r="U173" s="9" t="s">
        <v>436</v>
      </c>
      <c r="V173" s="9" t="s">
        <v>443</v>
      </c>
      <c r="W173" s="9" t="s">
        <v>440</v>
      </c>
    </row>
    <row r="174" spans="1:23">
      <c r="A174" s="9" t="s">
        <v>594</v>
      </c>
      <c r="B174" s="9">
        <f ca="1">+IF(A174=WORLDCUP!$BI$112,1,0)</f>
        <v>0</v>
      </c>
      <c r="C174" s="9" t="str">
        <f ca="1">+WORLDCUP!BD62</f>
        <v>Ecuador</v>
      </c>
      <c r="D174" s="9" t="str">
        <f ca="1">+WORLDCUP!BD64</f>
        <v>Egipto</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9" t="s">
        <v>594</v>
      </c>
      <c r="O174" s="9">
        <v>173</v>
      </c>
      <c r="P174" s="9" t="s">
        <v>93</v>
      </c>
      <c r="Q174" s="9" t="s">
        <v>435</v>
      </c>
      <c r="R174" s="9" t="s">
        <v>441</v>
      </c>
      <c r="S174" s="9" t="s">
        <v>94</v>
      </c>
      <c r="T174" s="9" t="s">
        <v>89</v>
      </c>
      <c r="U174" s="9" t="s">
        <v>436</v>
      </c>
      <c r="V174" s="9" t="s">
        <v>440</v>
      </c>
      <c r="W174" s="9" t="s">
        <v>442</v>
      </c>
    </row>
    <row r="175" spans="1:23">
      <c r="A175" s="9" t="s">
        <v>1056</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Egipto</v>
      </c>
      <c r="I175" s="9" t="str">
        <f ca="1">+WORLDCUP!BD69</f>
        <v>Ghana</v>
      </c>
      <c r="J175" s="9" t="str">
        <f ca="1">+WORLDCUP!BD68</f>
        <v>RD Congo</v>
      </c>
      <c r="N175" s="9" t="s">
        <v>1056</v>
      </c>
      <c r="O175" s="9">
        <v>174</v>
      </c>
      <c r="P175" s="9" t="s">
        <v>436</v>
      </c>
      <c r="Q175" s="9" t="s">
        <v>441</v>
      </c>
      <c r="R175" s="9" t="s">
        <v>440</v>
      </c>
      <c r="S175" s="9" t="s">
        <v>92</v>
      </c>
      <c r="T175" s="9" t="s">
        <v>89</v>
      </c>
      <c r="U175" s="9" t="s">
        <v>435</v>
      </c>
      <c r="V175" s="9" t="s">
        <v>443</v>
      </c>
      <c r="W175" s="9" t="s">
        <v>442</v>
      </c>
    </row>
    <row r="176" spans="1:23">
      <c r="A176" s="9" t="s">
        <v>1055</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9" t="s">
        <v>1055</v>
      </c>
      <c r="O176" s="9">
        <v>175</v>
      </c>
      <c r="P176" s="9" t="s">
        <v>436</v>
      </c>
      <c r="Q176" s="9" t="s">
        <v>441</v>
      </c>
      <c r="R176" s="9" t="s">
        <v>440</v>
      </c>
      <c r="S176" s="9" t="s">
        <v>92</v>
      </c>
      <c r="T176" s="9" t="s">
        <v>89</v>
      </c>
      <c r="U176" s="9" t="s">
        <v>94</v>
      </c>
      <c r="V176" s="9" t="s">
        <v>443</v>
      </c>
      <c r="W176" s="9" t="s">
        <v>442</v>
      </c>
    </row>
    <row r="177" spans="1:23">
      <c r="A177" s="9" t="s">
        <v>1054</v>
      </c>
      <c r="B177" s="9">
        <f ca="1">+IF(A177=WORLDCUP!$BI$112,1,0)</f>
        <v>0</v>
      </c>
      <c r="C177" s="9" t="str">
        <f ca="1">+WORLDCUP!BD66</f>
        <v>Senegal</v>
      </c>
      <c r="D177" s="9" t="str">
        <f ca="1">+WORLDCUP!BD64</f>
        <v>Egipto</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9" t="s">
        <v>1054</v>
      </c>
      <c r="O177" s="9">
        <v>176</v>
      </c>
      <c r="P177" s="9" t="s">
        <v>440</v>
      </c>
      <c r="Q177" s="9" t="s">
        <v>435</v>
      </c>
      <c r="R177" s="9" t="s">
        <v>441</v>
      </c>
      <c r="S177" s="9" t="s">
        <v>92</v>
      </c>
      <c r="T177" s="9" t="s">
        <v>89</v>
      </c>
      <c r="U177" s="9" t="s">
        <v>94</v>
      </c>
      <c r="V177" s="9" t="s">
        <v>443</v>
      </c>
      <c r="W177" s="9" t="s">
        <v>442</v>
      </c>
    </row>
    <row r="178" spans="1:23">
      <c r="A178" s="9" t="s">
        <v>1053</v>
      </c>
      <c r="B178" s="9">
        <f ca="1">+IF(A178=WORLDCUP!$BI$112,1,0)</f>
        <v>0</v>
      </c>
      <c r="C178" s="9" t="str">
        <f ca="1">+WORLDCUP!BD65</f>
        <v>Arabia Saudita</v>
      </c>
      <c r="D178" s="9" t="str">
        <f ca="1">+WORLDCUP!BD64</f>
        <v>Egipto</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9" t="s">
        <v>1053</v>
      </c>
      <c r="O178" s="9">
        <v>177</v>
      </c>
      <c r="P178" s="9" t="s">
        <v>436</v>
      </c>
      <c r="Q178" s="9" t="s">
        <v>435</v>
      </c>
      <c r="R178" s="9" t="s">
        <v>441</v>
      </c>
      <c r="S178" s="9" t="s">
        <v>92</v>
      </c>
      <c r="T178" s="9" t="s">
        <v>89</v>
      </c>
      <c r="U178" s="9" t="s">
        <v>94</v>
      </c>
      <c r="V178" s="9" t="s">
        <v>443</v>
      </c>
      <c r="W178" s="9" t="s">
        <v>442</v>
      </c>
    </row>
    <row r="179" spans="1:23">
      <c r="A179" s="9" t="s">
        <v>1052</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9" t="s">
        <v>1052</v>
      </c>
      <c r="O179" s="9">
        <v>178</v>
      </c>
      <c r="P179" s="9" t="s">
        <v>436</v>
      </c>
      <c r="Q179" s="9" t="s">
        <v>435</v>
      </c>
      <c r="R179" s="9" t="s">
        <v>440</v>
      </c>
      <c r="S179" s="9" t="s">
        <v>92</v>
      </c>
      <c r="T179" s="9" t="s">
        <v>89</v>
      </c>
      <c r="U179" s="9" t="s">
        <v>94</v>
      </c>
      <c r="V179" s="9" t="s">
        <v>443</v>
      </c>
      <c r="W179" s="9" t="s">
        <v>442</v>
      </c>
    </row>
    <row r="180" spans="1:23">
      <c r="A180" s="9" t="s">
        <v>1051</v>
      </c>
      <c r="B180" s="9">
        <f ca="1">+IF(A180=WORLDCUP!$BI$112,1,0)</f>
        <v>0</v>
      </c>
      <c r="C180" s="9" t="str">
        <f ca="1">+WORLDCUP!BD65</f>
        <v>Arabia Saudita</v>
      </c>
      <c r="D180" s="9" t="str">
        <f ca="1">+WORLDCUP!BD64</f>
        <v>Egipto</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9" t="s">
        <v>1051</v>
      </c>
      <c r="O180" s="9">
        <v>179</v>
      </c>
      <c r="P180" s="9" t="s">
        <v>436</v>
      </c>
      <c r="Q180" s="9" t="s">
        <v>435</v>
      </c>
      <c r="R180" s="9" t="s">
        <v>441</v>
      </c>
      <c r="S180" s="9" t="s">
        <v>92</v>
      </c>
      <c r="T180" s="9" t="s">
        <v>89</v>
      </c>
      <c r="U180" s="9" t="s">
        <v>94</v>
      </c>
      <c r="V180" s="9" t="s">
        <v>443</v>
      </c>
      <c r="W180" s="9" t="s">
        <v>440</v>
      </c>
    </row>
    <row r="181" spans="1:23">
      <c r="A181" s="9" t="s">
        <v>1050</v>
      </c>
      <c r="B181" s="9">
        <f ca="1">+IF(A181=WORLDCUP!$BI$112,1,0)</f>
        <v>0</v>
      </c>
      <c r="C181" s="9" t="str">
        <f ca="1">+WORLDCUP!BD65</f>
        <v>Arabia Saudita</v>
      </c>
      <c r="D181" s="9" t="str">
        <f ca="1">+WORLDCUP!BD64</f>
        <v>Egipto</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9" t="s">
        <v>1050</v>
      </c>
      <c r="O181" s="9">
        <v>180</v>
      </c>
      <c r="P181" s="9" t="s">
        <v>436</v>
      </c>
      <c r="Q181" s="9" t="s">
        <v>435</v>
      </c>
      <c r="R181" s="9" t="s">
        <v>441</v>
      </c>
      <c r="S181" s="9" t="s">
        <v>92</v>
      </c>
      <c r="T181" s="9" t="s">
        <v>89</v>
      </c>
      <c r="U181" s="9" t="s">
        <v>94</v>
      </c>
      <c r="V181" s="9" t="s">
        <v>440</v>
      </c>
      <c r="W181" s="9" t="s">
        <v>442</v>
      </c>
    </row>
    <row r="182" spans="1:23">
      <c r="A182" s="9" t="s">
        <v>1049</v>
      </c>
      <c r="B182" s="9">
        <f ca="1">+IF(A182=WORLDCUP!$BI$112,1,0)</f>
        <v>0</v>
      </c>
      <c r="C182" s="9" t="str">
        <f ca="1">+WORLDCUP!BD62</f>
        <v>Ecuador</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9" t="s">
        <v>1049</v>
      </c>
      <c r="O182" s="9">
        <v>181</v>
      </c>
      <c r="P182" s="9" t="s">
        <v>93</v>
      </c>
      <c r="Q182" s="9" t="s">
        <v>441</v>
      </c>
      <c r="R182" s="9" t="s">
        <v>440</v>
      </c>
      <c r="S182" s="9" t="s">
        <v>92</v>
      </c>
      <c r="T182" s="9" t="s">
        <v>89</v>
      </c>
      <c r="U182" s="9" t="s">
        <v>436</v>
      </c>
      <c r="V182" s="9" t="s">
        <v>443</v>
      </c>
      <c r="W182" s="9" t="s">
        <v>442</v>
      </c>
    </row>
    <row r="183" spans="1:23">
      <c r="A183" s="9" t="s">
        <v>1048</v>
      </c>
      <c r="B183" s="9">
        <f ca="1">+IF(A183=WORLDCUP!$BI$112,1,0)</f>
        <v>0</v>
      </c>
      <c r="C183" s="9" t="str">
        <f ca="1">+WORLDCUP!BD62</f>
        <v>Ecuador</v>
      </c>
      <c r="D183" s="9" t="str">
        <f ca="1">+WORLDCUP!BD67</f>
        <v>Argelia</v>
      </c>
      <c r="E183" s="9" t="str">
        <f ca="1">+WORLDCUP!BD66</f>
        <v>Senegal</v>
      </c>
      <c r="F183" s="9" t="str">
        <f ca="1">+WORLDCUP!BD61</f>
        <v>Paraguay</v>
      </c>
      <c r="G183" s="9" t="str">
        <f ca="1">+WORLDCUP!BD58</f>
        <v>República Checa</v>
      </c>
      <c r="H183" s="9" t="str">
        <f ca="1">+WORLDCUP!BD64</f>
        <v>Egipto</v>
      </c>
      <c r="I183" s="9" t="str">
        <f ca="1">+WORLDCUP!BD69</f>
        <v>Ghana</v>
      </c>
      <c r="J183" s="9" t="str">
        <f ca="1">+WORLDCUP!BD68</f>
        <v>RD Congo</v>
      </c>
      <c r="N183" s="9" t="s">
        <v>1048</v>
      </c>
      <c r="O183" s="9">
        <v>182</v>
      </c>
      <c r="P183" s="9" t="s">
        <v>93</v>
      </c>
      <c r="Q183" s="9" t="s">
        <v>441</v>
      </c>
      <c r="R183" s="9" t="s">
        <v>440</v>
      </c>
      <c r="S183" s="9" t="s">
        <v>92</v>
      </c>
      <c r="T183" s="9" t="s">
        <v>89</v>
      </c>
      <c r="U183" s="9" t="s">
        <v>435</v>
      </c>
      <c r="V183" s="9" t="s">
        <v>443</v>
      </c>
      <c r="W183" s="9" t="s">
        <v>442</v>
      </c>
    </row>
    <row r="184" spans="1:23">
      <c r="A184" s="9" t="s">
        <v>1047</v>
      </c>
      <c r="B184" s="9">
        <f ca="1">+IF(A184=WORLDCUP!$BI$112,1,0)</f>
        <v>0</v>
      </c>
      <c r="C184" s="9" t="str">
        <f ca="1">+WORLDCUP!BD62</f>
        <v>Ecuador</v>
      </c>
      <c r="D184" s="9" t="str">
        <f ca="1">+WORLDCUP!BD64</f>
        <v>Egipto</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9" t="s">
        <v>1047</v>
      </c>
      <c r="O184" s="9">
        <v>183</v>
      </c>
      <c r="P184" s="9" t="s">
        <v>93</v>
      </c>
      <c r="Q184" s="9" t="s">
        <v>435</v>
      </c>
      <c r="R184" s="9" t="s">
        <v>441</v>
      </c>
      <c r="S184" s="9" t="s">
        <v>92</v>
      </c>
      <c r="T184" s="9" t="s">
        <v>89</v>
      </c>
      <c r="U184" s="9" t="s">
        <v>436</v>
      </c>
      <c r="V184" s="9" t="s">
        <v>443</v>
      </c>
      <c r="W184" s="9" t="s">
        <v>442</v>
      </c>
    </row>
    <row r="185" spans="1:23">
      <c r="A185" s="9" t="s">
        <v>1046</v>
      </c>
      <c r="B185" s="9">
        <f ca="1">+IF(A185=WORLDCUP!$BI$112,1,0)</f>
        <v>0</v>
      </c>
      <c r="C185" s="9" t="str">
        <f ca="1">+WORLDCUP!BD62</f>
        <v>Ecuador</v>
      </c>
      <c r="D185" s="9" t="str">
        <f ca="1">+WORLDCUP!BD64</f>
        <v>Egipto</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9" t="s">
        <v>1046</v>
      </c>
      <c r="O185" s="9">
        <v>184</v>
      </c>
      <c r="P185" s="9" t="s">
        <v>93</v>
      </c>
      <c r="Q185" s="9" t="s">
        <v>435</v>
      </c>
      <c r="R185" s="9" t="s">
        <v>440</v>
      </c>
      <c r="S185" s="9" t="s">
        <v>92</v>
      </c>
      <c r="T185" s="9" t="s">
        <v>89</v>
      </c>
      <c r="U185" s="9" t="s">
        <v>436</v>
      </c>
      <c r="V185" s="9" t="s">
        <v>443</v>
      </c>
      <c r="W185" s="9" t="s">
        <v>442</v>
      </c>
    </row>
    <row r="186" spans="1:23">
      <c r="A186" s="9" t="s">
        <v>1045</v>
      </c>
      <c r="B186" s="9">
        <f ca="1">+IF(A186=WORLDCUP!$BI$112,1,0)</f>
        <v>0</v>
      </c>
      <c r="C186" s="9" t="str">
        <f ca="1">+WORLDCUP!BD62</f>
        <v>Ecuador</v>
      </c>
      <c r="D186" s="9" t="str">
        <f ca="1">+WORLDCUP!BD64</f>
        <v>Egipto</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9" t="s">
        <v>1045</v>
      </c>
      <c r="O186" s="9">
        <v>185</v>
      </c>
      <c r="P186" s="9" t="s">
        <v>93</v>
      </c>
      <c r="Q186" s="9" t="s">
        <v>435</v>
      </c>
      <c r="R186" s="9" t="s">
        <v>441</v>
      </c>
      <c r="S186" s="9" t="s">
        <v>92</v>
      </c>
      <c r="T186" s="9" t="s">
        <v>89</v>
      </c>
      <c r="U186" s="9" t="s">
        <v>436</v>
      </c>
      <c r="V186" s="9" t="s">
        <v>443</v>
      </c>
      <c r="W186" s="9" t="s">
        <v>440</v>
      </c>
    </row>
    <row r="187" spans="1:23">
      <c r="A187" s="9" t="s">
        <v>1044</v>
      </c>
      <c r="B187" s="9">
        <f ca="1">+IF(A187=WORLDCUP!$BI$112,1,0)</f>
        <v>0</v>
      </c>
      <c r="C187" s="9" t="str">
        <f ca="1">+WORLDCUP!BD62</f>
        <v>Ecuador</v>
      </c>
      <c r="D187" s="9" t="str">
        <f ca="1">+WORLDCUP!BD64</f>
        <v>Egipto</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9" t="s">
        <v>1044</v>
      </c>
      <c r="O187" s="9">
        <v>186</v>
      </c>
      <c r="P187" s="9" t="s">
        <v>93</v>
      </c>
      <c r="Q187" s="9" t="s">
        <v>435</v>
      </c>
      <c r="R187" s="9" t="s">
        <v>441</v>
      </c>
      <c r="S187" s="9" t="s">
        <v>92</v>
      </c>
      <c r="T187" s="9" t="s">
        <v>89</v>
      </c>
      <c r="U187" s="9" t="s">
        <v>436</v>
      </c>
      <c r="V187" s="9" t="s">
        <v>440</v>
      </c>
      <c r="W187" s="9" t="s">
        <v>442</v>
      </c>
    </row>
    <row r="188" spans="1:23">
      <c r="A188" s="9" t="s">
        <v>1043</v>
      </c>
      <c r="B188" s="9">
        <f ca="1">+IF(A188=WORLDCUP!$BI$112,1,0)</f>
        <v>0</v>
      </c>
      <c r="C188" s="9" t="str">
        <f ca="1">+WORLDCUP!BD62</f>
        <v>Ecuador</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9" t="s">
        <v>1043</v>
      </c>
      <c r="O188" s="9">
        <v>187</v>
      </c>
      <c r="P188" s="9" t="s">
        <v>93</v>
      </c>
      <c r="Q188" s="9" t="s">
        <v>441</v>
      </c>
      <c r="R188" s="9" t="s">
        <v>440</v>
      </c>
      <c r="S188" s="9" t="s">
        <v>92</v>
      </c>
      <c r="T188" s="9" t="s">
        <v>89</v>
      </c>
      <c r="U188" s="9" t="s">
        <v>94</v>
      </c>
      <c r="V188" s="9" t="s">
        <v>443</v>
      </c>
      <c r="W188" s="9" t="s">
        <v>442</v>
      </c>
    </row>
    <row r="189" spans="1:23">
      <c r="A189" s="9" t="s">
        <v>1042</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República Checa</v>
      </c>
      <c r="H189" s="9" t="str">
        <f ca="1">+WORLDCUP!BD63</f>
        <v>Suecia</v>
      </c>
      <c r="I189" s="9" t="str">
        <f ca="1">+WORLDCUP!BD69</f>
        <v>Ghana</v>
      </c>
      <c r="J189" s="9" t="str">
        <f ca="1">+WORLDCUP!BD68</f>
        <v>RD Congo</v>
      </c>
      <c r="N189" s="9" t="s">
        <v>1042</v>
      </c>
      <c r="O189" s="9">
        <v>188</v>
      </c>
      <c r="P189" s="9" t="s">
        <v>436</v>
      </c>
      <c r="Q189" s="9" t="s">
        <v>441</v>
      </c>
      <c r="R189" s="9" t="s">
        <v>93</v>
      </c>
      <c r="S189" s="9" t="s">
        <v>92</v>
      </c>
      <c r="T189" s="9" t="s">
        <v>89</v>
      </c>
      <c r="U189" s="9" t="s">
        <v>94</v>
      </c>
      <c r="V189" s="9" t="s">
        <v>443</v>
      </c>
      <c r="W189" s="9" t="s">
        <v>442</v>
      </c>
    </row>
    <row r="190" spans="1:23">
      <c r="A190" s="9" t="s">
        <v>1041</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9" t="s">
        <v>1041</v>
      </c>
      <c r="O190" s="9">
        <v>189</v>
      </c>
      <c r="P190" s="9" t="s">
        <v>436</v>
      </c>
      <c r="Q190" s="9" t="s">
        <v>93</v>
      </c>
      <c r="R190" s="9" t="s">
        <v>440</v>
      </c>
      <c r="S190" s="9" t="s">
        <v>92</v>
      </c>
      <c r="T190" s="9" t="s">
        <v>89</v>
      </c>
      <c r="U190" s="9" t="s">
        <v>94</v>
      </c>
      <c r="V190" s="9" t="s">
        <v>443</v>
      </c>
      <c r="W190" s="9" t="s">
        <v>442</v>
      </c>
    </row>
    <row r="191" spans="1:23">
      <c r="A191" s="9" t="s">
        <v>1040</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República Checa</v>
      </c>
      <c r="H191" s="9" t="str">
        <f ca="1">+WORLDCUP!BD63</f>
        <v>Suecia</v>
      </c>
      <c r="I191" s="9" t="str">
        <f ca="1">+WORLDCUP!BD69</f>
        <v>Ghana</v>
      </c>
      <c r="J191" s="9" t="str">
        <f ca="1">+WORLDCUP!BD66</f>
        <v>Senegal</v>
      </c>
      <c r="N191" s="9" t="s">
        <v>1040</v>
      </c>
      <c r="O191" s="9">
        <v>190</v>
      </c>
      <c r="P191" s="9" t="s">
        <v>436</v>
      </c>
      <c r="Q191" s="9" t="s">
        <v>441</v>
      </c>
      <c r="R191" s="9" t="s">
        <v>93</v>
      </c>
      <c r="S191" s="9" t="s">
        <v>92</v>
      </c>
      <c r="T191" s="9" t="s">
        <v>89</v>
      </c>
      <c r="U191" s="9" t="s">
        <v>94</v>
      </c>
      <c r="V191" s="9" t="s">
        <v>443</v>
      </c>
      <c r="W191" s="9" t="s">
        <v>440</v>
      </c>
    </row>
    <row r="192" spans="1:23">
      <c r="A192" s="9" t="s">
        <v>1039</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República Checa</v>
      </c>
      <c r="H192" s="9" t="str">
        <f ca="1">+WORLDCUP!BD63</f>
        <v>Suecia</v>
      </c>
      <c r="I192" s="9" t="str">
        <f ca="1">+WORLDCUP!BD66</f>
        <v>Senegal</v>
      </c>
      <c r="J192" s="9" t="str">
        <f ca="1">+WORLDCUP!BD68</f>
        <v>RD Congo</v>
      </c>
      <c r="N192" s="9" t="s">
        <v>1039</v>
      </c>
      <c r="O192" s="9">
        <v>191</v>
      </c>
      <c r="P192" s="9" t="s">
        <v>436</v>
      </c>
      <c r="Q192" s="9" t="s">
        <v>441</v>
      </c>
      <c r="R192" s="9" t="s">
        <v>93</v>
      </c>
      <c r="S192" s="9" t="s">
        <v>92</v>
      </c>
      <c r="T192" s="9" t="s">
        <v>89</v>
      </c>
      <c r="U192" s="9" t="s">
        <v>94</v>
      </c>
      <c r="V192" s="9" t="s">
        <v>440</v>
      </c>
      <c r="W192" s="9" t="s">
        <v>442</v>
      </c>
    </row>
    <row r="193" spans="1:23">
      <c r="A193" s="9" t="s">
        <v>1038</v>
      </c>
      <c r="B193" s="9">
        <f ca="1">+IF(A193=WORLDCUP!$BI$112,1,0)</f>
        <v>0</v>
      </c>
      <c r="C193" s="9" t="str">
        <f ca="1">+WORLDCUP!BD62</f>
        <v>Ecuador</v>
      </c>
      <c r="D193" s="9" t="str">
        <f ca="1">+WORLDCUP!BD64</f>
        <v>Egipto</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9" t="s">
        <v>1038</v>
      </c>
      <c r="O193" s="9">
        <v>192</v>
      </c>
      <c r="P193" s="9" t="s">
        <v>93</v>
      </c>
      <c r="Q193" s="9" t="s">
        <v>435</v>
      </c>
      <c r="R193" s="9" t="s">
        <v>441</v>
      </c>
      <c r="S193" s="9" t="s">
        <v>92</v>
      </c>
      <c r="T193" s="9" t="s">
        <v>89</v>
      </c>
      <c r="U193" s="9" t="s">
        <v>94</v>
      </c>
      <c r="V193" s="9" t="s">
        <v>443</v>
      </c>
      <c r="W193" s="9" t="s">
        <v>442</v>
      </c>
    </row>
    <row r="194" spans="1:23">
      <c r="A194" s="9" t="s">
        <v>1037</v>
      </c>
      <c r="B194" s="9">
        <f ca="1">+IF(A194=WORLDCUP!$BI$112,1,0)</f>
        <v>0</v>
      </c>
      <c r="C194" s="9" t="str">
        <f ca="1">+WORLDCUP!BD62</f>
        <v>Ecuador</v>
      </c>
      <c r="D194" s="9" t="str">
        <f ca="1">+WORLDCUP!BD64</f>
        <v>Egipto</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9" t="s">
        <v>1037</v>
      </c>
      <c r="O194" s="9">
        <v>193</v>
      </c>
      <c r="P194" s="9" t="s">
        <v>93</v>
      </c>
      <c r="Q194" s="9" t="s">
        <v>435</v>
      </c>
      <c r="R194" s="9" t="s">
        <v>440</v>
      </c>
      <c r="S194" s="9" t="s">
        <v>92</v>
      </c>
      <c r="T194" s="9" t="s">
        <v>89</v>
      </c>
      <c r="U194" s="9" t="s">
        <v>94</v>
      </c>
      <c r="V194" s="9" t="s">
        <v>443</v>
      </c>
      <c r="W194" s="9" t="s">
        <v>442</v>
      </c>
    </row>
    <row r="195" spans="1:23">
      <c r="A195" s="9" t="s">
        <v>1036</v>
      </c>
      <c r="B195" s="9">
        <f ca="1">+IF(A195=WORLDCUP!$BI$112,1,0)</f>
        <v>0</v>
      </c>
      <c r="C195" s="9" t="str">
        <f ca="1">+WORLDCUP!BD62</f>
        <v>Ecuador</v>
      </c>
      <c r="D195" s="9" t="str">
        <f ca="1">+WORLDCUP!BD64</f>
        <v>Egipto</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9" t="s">
        <v>1036</v>
      </c>
      <c r="O195" s="9">
        <v>194</v>
      </c>
      <c r="P195" s="9" t="s">
        <v>93</v>
      </c>
      <c r="Q195" s="9" t="s">
        <v>435</v>
      </c>
      <c r="R195" s="9" t="s">
        <v>441</v>
      </c>
      <c r="S195" s="9" t="s">
        <v>92</v>
      </c>
      <c r="T195" s="9" t="s">
        <v>89</v>
      </c>
      <c r="U195" s="9" t="s">
        <v>94</v>
      </c>
      <c r="V195" s="9" t="s">
        <v>443</v>
      </c>
      <c r="W195" s="9" t="s">
        <v>440</v>
      </c>
    </row>
    <row r="196" spans="1:23">
      <c r="A196" s="9" t="s">
        <v>1035</v>
      </c>
      <c r="B196" s="9">
        <f ca="1">+IF(A196=WORLDCUP!$BI$112,1,0)</f>
        <v>0</v>
      </c>
      <c r="C196" s="9" t="str">
        <f ca="1">+WORLDCUP!BD62</f>
        <v>Ecuador</v>
      </c>
      <c r="D196" s="9" t="str">
        <f ca="1">+WORLDCUP!BD64</f>
        <v>Egipto</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9" t="s">
        <v>1035</v>
      </c>
      <c r="O196" s="9">
        <v>195</v>
      </c>
      <c r="P196" s="9" t="s">
        <v>93</v>
      </c>
      <c r="Q196" s="9" t="s">
        <v>435</v>
      </c>
      <c r="R196" s="9" t="s">
        <v>441</v>
      </c>
      <c r="S196" s="9" t="s">
        <v>92</v>
      </c>
      <c r="T196" s="9" t="s">
        <v>89</v>
      </c>
      <c r="U196" s="9" t="s">
        <v>94</v>
      </c>
      <c r="V196" s="9" t="s">
        <v>440</v>
      </c>
      <c r="W196" s="9" t="s">
        <v>442</v>
      </c>
    </row>
    <row r="197" spans="1:23">
      <c r="A197" s="9" t="s">
        <v>592</v>
      </c>
      <c r="B197" s="9">
        <f ca="1">+IF(A197=WORLDCUP!$BI$112,1,0)</f>
        <v>0</v>
      </c>
      <c r="C197" s="9" t="str">
        <f ca="1">+WORLDCUP!BD65</f>
        <v>Arabia Saudita</v>
      </c>
      <c r="D197" s="9" t="str">
        <f ca="1">+WORLDCUP!BD64</f>
        <v>Egipto</v>
      </c>
      <c r="E197" s="9" t="str">
        <f ca="1">+WORLDCUP!BD62</f>
        <v>Ecuador</v>
      </c>
      <c r="F197" s="9" t="str">
        <f ca="1">+WORLDCUP!BD61</f>
        <v>Paraguay</v>
      </c>
      <c r="G197" s="9" t="str">
        <f ca="1">+WORLDCUP!BD58</f>
        <v>República Checa</v>
      </c>
      <c r="H197" s="9" t="str">
        <f ca="1">+WORLDCUP!BD63</f>
        <v>Suecia</v>
      </c>
      <c r="I197" s="9" t="str">
        <f ca="1">+WORLDCUP!BD69</f>
        <v>Ghana</v>
      </c>
      <c r="J197" s="9" t="str">
        <f ca="1">+WORLDCUP!BD68</f>
        <v>RD Congo</v>
      </c>
      <c r="N197" s="9" t="s">
        <v>592</v>
      </c>
      <c r="O197" s="9">
        <v>196</v>
      </c>
      <c r="P197" s="9" t="s">
        <v>436</v>
      </c>
      <c r="Q197" s="9" t="s">
        <v>435</v>
      </c>
      <c r="R197" s="9" t="s">
        <v>93</v>
      </c>
      <c r="S197" s="9" t="s">
        <v>92</v>
      </c>
      <c r="T197" s="9" t="s">
        <v>89</v>
      </c>
      <c r="U197" s="9" t="s">
        <v>94</v>
      </c>
      <c r="V197" s="9" t="s">
        <v>443</v>
      </c>
      <c r="W197" s="9" t="s">
        <v>442</v>
      </c>
    </row>
    <row r="198" spans="1:23">
      <c r="A198" s="9" t="s">
        <v>591</v>
      </c>
      <c r="B198" s="9">
        <f ca="1">+IF(A198=WORLDCUP!$BI$112,1,0)</f>
        <v>0</v>
      </c>
      <c r="C198" s="9" t="str">
        <f ca="1">+WORLDCUP!BD65</f>
        <v>Arabia Saudita</v>
      </c>
      <c r="D198" s="9" t="str">
        <f ca="1">+WORLDCUP!BD64</f>
        <v>Egipto</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Ecuador</v>
      </c>
      <c r="N198" s="9" t="s">
        <v>591</v>
      </c>
      <c r="O198" s="9">
        <v>197</v>
      </c>
      <c r="P198" s="9" t="s">
        <v>436</v>
      </c>
      <c r="Q198" s="9" t="s">
        <v>435</v>
      </c>
      <c r="R198" s="9" t="s">
        <v>441</v>
      </c>
      <c r="S198" s="9" t="s">
        <v>92</v>
      </c>
      <c r="T198" s="9" t="s">
        <v>89</v>
      </c>
      <c r="U198" s="9" t="s">
        <v>94</v>
      </c>
      <c r="V198" s="9" t="s">
        <v>443</v>
      </c>
      <c r="W198" s="9" t="s">
        <v>93</v>
      </c>
    </row>
    <row r="199" spans="1:23">
      <c r="A199" s="9" t="s">
        <v>590</v>
      </c>
      <c r="B199" s="9">
        <f ca="1">+IF(A199=WORLDCUP!$BI$112,1,0)</f>
        <v>0</v>
      </c>
      <c r="C199" s="9" t="str">
        <f ca="1">+WORLDCUP!BD65</f>
        <v>Arabia Saudita</v>
      </c>
      <c r="D199" s="9" t="str">
        <f ca="1">+WORLDCUP!BD64</f>
        <v>Egipto</v>
      </c>
      <c r="E199" s="9" t="str">
        <f ca="1">+WORLDCUP!BD67</f>
        <v>Argelia</v>
      </c>
      <c r="F199" s="9" t="str">
        <f ca="1">+WORLDCUP!BD61</f>
        <v>Paraguay</v>
      </c>
      <c r="G199" s="9" t="str">
        <f ca="1">+WORLDCUP!BD58</f>
        <v>República Checa</v>
      </c>
      <c r="H199" s="9" t="str">
        <f ca="1">+WORLDCUP!BD63</f>
        <v>Suecia</v>
      </c>
      <c r="I199" s="9" t="str">
        <f ca="1">+WORLDCUP!BD62</f>
        <v>Ecuador</v>
      </c>
      <c r="J199" s="9" t="str">
        <f ca="1">+WORLDCUP!BD68</f>
        <v>RD Congo</v>
      </c>
      <c r="N199" s="9" t="s">
        <v>590</v>
      </c>
      <c r="O199" s="9">
        <v>198</v>
      </c>
      <c r="P199" s="9" t="s">
        <v>436</v>
      </c>
      <c r="Q199" s="9" t="s">
        <v>435</v>
      </c>
      <c r="R199" s="9" t="s">
        <v>441</v>
      </c>
      <c r="S199" s="9" t="s">
        <v>92</v>
      </c>
      <c r="T199" s="9" t="s">
        <v>89</v>
      </c>
      <c r="U199" s="9" t="s">
        <v>94</v>
      </c>
      <c r="V199" s="9" t="s">
        <v>93</v>
      </c>
      <c r="W199" s="9" t="s">
        <v>442</v>
      </c>
    </row>
    <row r="200" spans="1:23">
      <c r="A200" s="9" t="s">
        <v>589</v>
      </c>
      <c r="B200" s="9">
        <f ca="1">+IF(A200=WORLDCUP!$BI$112,1,0)</f>
        <v>0</v>
      </c>
      <c r="C200" s="9" t="str">
        <f ca="1">+WORLDCUP!BD65</f>
        <v>Arabia Saudita</v>
      </c>
      <c r="D200" s="9" t="str">
        <f ca="1">+WORLDCUP!BD64</f>
        <v>Egipto</v>
      </c>
      <c r="E200" s="9" t="str">
        <f ca="1">+WORLDCUP!BD62</f>
        <v>Ecuador</v>
      </c>
      <c r="F200" s="9" t="str">
        <f ca="1">+WORLDCUP!BD61</f>
        <v>Paraguay</v>
      </c>
      <c r="G200" s="9" t="str">
        <f ca="1">+WORLDCUP!BD58</f>
        <v>República Checa</v>
      </c>
      <c r="H200" s="9" t="str">
        <f ca="1">+WORLDCUP!BD63</f>
        <v>Suecia</v>
      </c>
      <c r="I200" s="9" t="str">
        <f ca="1">+WORLDCUP!BD69</f>
        <v>Ghana</v>
      </c>
      <c r="J200" s="9" t="str">
        <f ca="1">+WORLDCUP!BD66</f>
        <v>Senegal</v>
      </c>
      <c r="N200" s="9" t="s">
        <v>589</v>
      </c>
      <c r="O200" s="9">
        <v>199</v>
      </c>
      <c r="P200" s="9" t="s">
        <v>436</v>
      </c>
      <c r="Q200" s="9" t="s">
        <v>435</v>
      </c>
      <c r="R200" s="9" t="s">
        <v>93</v>
      </c>
      <c r="S200" s="9" t="s">
        <v>92</v>
      </c>
      <c r="T200" s="9" t="s">
        <v>89</v>
      </c>
      <c r="U200" s="9" t="s">
        <v>94</v>
      </c>
      <c r="V200" s="9" t="s">
        <v>443</v>
      </c>
      <c r="W200" s="9" t="s">
        <v>440</v>
      </c>
    </row>
    <row r="201" spans="1:23">
      <c r="A201" s="9" t="s">
        <v>588</v>
      </c>
      <c r="B201" s="9">
        <f ca="1">+IF(A201=WORLDCUP!$BI$112,1,0)</f>
        <v>0</v>
      </c>
      <c r="C201" s="9" t="str">
        <f ca="1">+WORLDCUP!BD65</f>
        <v>Arabia Saudita</v>
      </c>
      <c r="D201" s="9" t="str">
        <f ca="1">+WORLDCUP!BD64</f>
        <v>Egipto</v>
      </c>
      <c r="E201" s="9" t="str">
        <f ca="1">+WORLDCUP!BD62</f>
        <v>Ecuador</v>
      </c>
      <c r="F201" s="9" t="str">
        <f ca="1">+WORLDCUP!BD61</f>
        <v>Paraguay</v>
      </c>
      <c r="G201" s="9" t="str">
        <f ca="1">+WORLDCUP!BD58</f>
        <v>República Checa</v>
      </c>
      <c r="H201" s="9" t="str">
        <f ca="1">+WORLDCUP!BD63</f>
        <v>Suecia</v>
      </c>
      <c r="I201" s="9" t="str">
        <f ca="1">+WORLDCUP!BD66</f>
        <v>Senegal</v>
      </c>
      <c r="J201" s="9" t="str">
        <f ca="1">+WORLDCUP!BD68</f>
        <v>RD Congo</v>
      </c>
      <c r="N201" s="9" t="s">
        <v>588</v>
      </c>
      <c r="O201" s="9">
        <v>200</v>
      </c>
      <c r="P201" s="9" t="s">
        <v>436</v>
      </c>
      <c r="Q201" s="9" t="s">
        <v>435</v>
      </c>
      <c r="R201" s="9" t="s">
        <v>93</v>
      </c>
      <c r="S201" s="9" t="s">
        <v>92</v>
      </c>
      <c r="T201" s="9" t="s">
        <v>89</v>
      </c>
      <c r="U201" s="9" t="s">
        <v>94</v>
      </c>
      <c r="V201" s="9" t="s">
        <v>440</v>
      </c>
      <c r="W201" s="9" t="s">
        <v>442</v>
      </c>
    </row>
    <row r="202" spans="1:23">
      <c r="A202" s="9" t="s">
        <v>587</v>
      </c>
      <c r="B202" s="9">
        <f ca="1">+IF(A202=WORLDCUP!$BI$112,1,0)</f>
        <v>0</v>
      </c>
      <c r="C202" s="9" t="str">
        <f ca="1">+WORLDCUP!BD65</f>
        <v>Arabia Saudita</v>
      </c>
      <c r="D202" s="9" t="str">
        <f ca="1">+WORLDCUP!BD64</f>
        <v>Egipto</v>
      </c>
      <c r="E202" s="9" t="str">
        <f ca="1">+WORLDCUP!BD67</f>
        <v>Argelia</v>
      </c>
      <c r="F202" s="9" t="str">
        <f ca="1">+WORLDCUP!BD61</f>
        <v>Paraguay</v>
      </c>
      <c r="G202" s="9" t="str">
        <f ca="1">+WORLDCUP!BD58</f>
        <v>República Checa</v>
      </c>
      <c r="H202" s="9" t="str">
        <f ca="1">+WORLDCUP!BD63</f>
        <v>Suecia</v>
      </c>
      <c r="I202" s="9" t="str">
        <f ca="1">+WORLDCUP!BD62</f>
        <v>Ecuador</v>
      </c>
      <c r="J202" s="9" t="str">
        <f ca="1">+WORLDCUP!BD66</f>
        <v>Senegal</v>
      </c>
      <c r="N202" s="9" t="s">
        <v>587</v>
      </c>
      <c r="O202" s="9">
        <v>201</v>
      </c>
      <c r="P202" s="9" t="s">
        <v>436</v>
      </c>
      <c r="Q202" s="9" t="s">
        <v>435</v>
      </c>
      <c r="R202" s="9" t="s">
        <v>441</v>
      </c>
      <c r="S202" s="9" t="s">
        <v>92</v>
      </c>
      <c r="T202" s="9" t="s">
        <v>89</v>
      </c>
      <c r="U202" s="9" t="s">
        <v>94</v>
      </c>
      <c r="V202" s="9" t="s">
        <v>93</v>
      </c>
      <c r="W202" s="9" t="s">
        <v>440</v>
      </c>
    </row>
    <row r="203" spans="1:23">
      <c r="A203" s="9" t="s">
        <v>1034</v>
      </c>
      <c r="B203" s="9">
        <f ca="1">+IF(A203=WORLDCUP!$BI$112,1,0)</f>
        <v>0</v>
      </c>
      <c r="C203" s="9" t="str">
        <f ca="1">+WORLDCUP!BD65</f>
        <v>Arabia Saudita</v>
      </c>
      <c r="D203" s="9" t="str">
        <f ca="1">+WORLDCUP!BD67</f>
        <v>Argelia</v>
      </c>
      <c r="E203" s="9" t="str">
        <f ca="1">+WORLDCUP!BD66</f>
        <v>Senegal</v>
      </c>
      <c r="F203" s="9" t="str">
        <f ca="1">+WORLDCUP!BD60</f>
        <v>Marruecos</v>
      </c>
      <c r="G203" s="9" t="str">
        <f ca="1">+WORLDCUP!BD58</f>
        <v>República Checa</v>
      </c>
      <c r="H203" s="9" t="str">
        <f ca="1">+WORLDCUP!BD64</f>
        <v>Egipto</v>
      </c>
      <c r="I203" s="9" t="str">
        <f ca="1">+WORLDCUP!BD69</f>
        <v>Ghana</v>
      </c>
      <c r="J203" s="9" t="str">
        <f ca="1">+WORLDCUP!BD68</f>
        <v>RD Congo</v>
      </c>
      <c r="N203" s="9" t="s">
        <v>1034</v>
      </c>
      <c r="O203" s="9">
        <v>202</v>
      </c>
      <c r="P203" s="9" t="s">
        <v>436</v>
      </c>
      <c r="Q203" s="9" t="s">
        <v>441</v>
      </c>
      <c r="R203" s="9" t="s">
        <v>440</v>
      </c>
      <c r="S203" s="9" t="s">
        <v>91</v>
      </c>
      <c r="T203" s="9" t="s">
        <v>89</v>
      </c>
      <c r="U203" s="9" t="s">
        <v>435</v>
      </c>
      <c r="V203" s="9" t="s">
        <v>443</v>
      </c>
      <c r="W203" s="9" t="s">
        <v>442</v>
      </c>
    </row>
    <row r="204" spans="1:23">
      <c r="A204" s="9" t="s">
        <v>1033</v>
      </c>
      <c r="B204" s="9">
        <f ca="1">+IF(A204=WORLDCUP!$BI$112,1,0)</f>
        <v>0</v>
      </c>
      <c r="C204" s="9" t="str">
        <f ca="1">+WORLDCUP!BD65</f>
        <v>Arabia Saudita</v>
      </c>
      <c r="D204" s="9" t="str">
        <f ca="1">+WORLDCUP!BD67</f>
        <v>Argelia</v>
      </c>
      <c r="E204" s="9" t="str">
        <f ca="1">+WORLDCUP!BD66</f>
        <v>Senegal</v>
      </c>
      <c r="F204" s="9" t="str">
        <f ca="1">+WORLDCUP!BD60</f>
        <v>Marruecos</v>
      </c>
      <c r="G204" s="9" t="str">
        <f ca="1">+WORLDCUP!BD58</f>
        <v>República Checa</v>
      </c>
      <c r="H204" s="9" t="str">
        <f ca="1">+WORLDCUP!BD63</f>
        <v>Suecia</v>
      </c>
      <c r="I204" s="9" t="str">
        <f ca="1">+WORLDCUP!BD69</f>
        <v>Ghana</v>
      </c>
      <c r="J204" s="9" t="str">
        <f ca="1">+WORLDCUP!BD68</f>
        <v>RD Congo</v>
      </c>
      <c r="N204" s="9" t="s">
        <v>1033</v>
      </c>
      <c r="O204" s="9">
        <v>203</v>
      </c>
      <c r="P204" s="9" t="s">
        <v>436</v>
      </c>
      <c r="Q204" s="9" t="s">
        <v>441</v>
      </c>
      <c r="R204" s="9" t="s">
        <v>440</v>
      </c>
      <c r="S204" s="9" t="s">
        <v>91</v>
      </c>
      <c r="T204" s="9" t="s">
        <v>89</v>
      </c>
      <c r="U204" s="9" t="s">
        <v>94</v>
      </c>
      <c r="V204" s="9" t="s">
        <v>443</v>
      </c>
      <c r="W204" s="9" t="s">
        <v>442</v>
      </c>
    </row>
    <row r="205" spans="1:23">
      <c r="A205" s="9" t="s">
        <v>1032</v>
      </c>
      <c r="B205" s="9">
        <f ca="1">+IF(A205=WORLDCUP!$BI$112,1,0)</f>
        <v>0</v>
      </c>
      <c r="C205" s="9" t="str">
        <f ca="1">+WORLDCUP!BD66</f>
        <v>Senegal</v>
      </c>
      <c r="D205" s="9" t="str">
        <f ca="1">+WORLDCUP!BD64</f>
        <v>Egipto</v>
      </c>
      <c r="E205" s="9" t="str">
        <f ca="1">+WORLDCUP!BD67</f>
        <v>Argelia</v>
      </c>
      <c r="F205" s="9" t="str">
        <f ca="1">+WORLDCUP!BD60</f>
        <v>Marruecos</v>
      </c>
      <c r="G205" s="9" t="str">
        <f ca="1">+WORLDCUP!BD58</f>
        <v>República Checa</v>
      </c>
      <c r="H205" s="9" t="str">
        <f ca="1">+WORLDCUP!BD63</f>
        <v>Suecia</v>
      </c>
      <c r="I205" s="9" t="str">
        <f ca="1">+WORLDCUP!BD69</f>
        <v>Ghana</v>
      </c>
      <c r="J205" s="9" t="str">
        <f ca="1">+WORLDCUP!BD68</f>
        <v>RD Congo</v>
      </c>
      <c r="N205" s="9" t="s">
        <v>1032</v>
      </c>
      <c r="O205" s="9">
        <v>204</v>
      </c>
      <c r="P205" s="9" t="s">
        <v>440</v>
      </c>
      <c r="Q205" s="9" t="s">
        <v>435</v>
      </c>
      <c r="R205" s="9" t="s">
        <v>441</v>
      </c>
      <c r="S205" s="9" t="s">
        <v>91</v>
      </c>
      <c r="T205" s="9" t="s">
        <v>89</v>
      </c>
      <c r="U205" s="9" t="s">
        <v>94</v>
      </c>
      <c r="V205" s="9" t="s">
        <v>443</v>
      </c>
      <c r="W205" s="9" t="s">
        <v>442</v>
      </c>
    </row>
    <row r="206" spans="1:23">
      <c r="A206" s="9" t="s">
        <v>1031</v>
      </c>
      <c r="B206" s="9">
        <f ca="1">+IF(A206=WORLDCUP!$BI$112,1,0)</f>
        <v>0</v>
      </c>
      <c r="C206" s="9" t="str">
        <f ca="1">+WORLDCUP!BD65</f>
        <v>Arabia Saudita</v>
      </c>
      <c r="D206" s="9" t="str">
        <f ca="1">+WORLDCUP!BD64</f>
        <v>Egipto</v>
      </c>
      <c r="E206" s="9" t="str">
        <f ca="1">+WORLDCUP!BD67</f>
        <v>Argelia</v>
      </c>
      <c r="F206" s="9" t="str">
        <f ca="1">+WORLDCUP!BD60</f>
        <v>Marruecos</v>
      </c>
      <c r="G206" s="9" t="str">
        <f ca="1">+WORLDCUP!BD58</f>
        <v>República Checa</v>
      </c>
      <c r="H206" s="9" t="str">
        <f ca="1">+WORLDCUP!BD63</f>
        <v>Suecia</v>
      </c>
      <c r="I206" s="9" t="str">
        <f ca="1">+WORLDCUP!BD69</f>
        <v>Ghana</v>
      </c>
      <c r="J206" s="9" t="str">
        <f ca="1">+WORLDCUP!BD68</f>
        <v>RD Congo</v>
      </c>
      <c r="N206" s="9" t="s">
        <v>1031</v>
      </c>
      <c r="O206" s="9">
        <v>205</v>
      </c>
      <c r="P206" s="9" t="s">
        <v>436</v>
      </c>
      <c r="Q206" s="9" t="s">
        <v>435</v>
      </c>
      <c r="R206" s="9" t="s">
        <v>441</v>
      </c>
      <c r="S206" s="9" t="s">
        <v>91</v>
      </c>
      <c r="T206" s="9" t="s">
        <v>89</v>
      </c>
      <c r="U206" s="9" t="s">
        <v>94</v>
      </c>
      <c r="V206" s="9" t="s">
        <v>443</v>
      </c>
      <c r="W206" s="9" t="s">
        <v>442</v>
      </c>
    </row>
    <row r="207" spans="1:23">
      <c r="A207" s="9" t="s">
        <v>1030</v>
      </c>
      <c r="B207" s="9">
        <f ca="1">+IF(A207=WORLDCUP!$BI$112,1,0)</f>
        <v>0</v>
      </c>
      <c r="C207" s="9" t="str">
        <f ca="1">+WORLDCUP!BD65</f>
        <v>Arabia Saudita</v>
      </c>
      <c r="D207" s="9" t="str">
        <f ca="1">+WORLDCUP!BD64</f>
        <v>Egipto</v>
      </c>
      <c r="E207" s="9" t="str">
        <f ca="1">+WORLDCUP!BD66</f>
        <v>Senegal</v>
      </c>
      <c r="F207" s="9" t="str">
        <f ca="1">+WORLDCUP!BD60</f>
        <v>Marruecos</v>
      </c>
      <c r="G207" s="9" t="str">
        <f ca="1">+WORLDCUP!BD58</f>
        <v>República Checa</v>
      </c>
      <c r="H207" s="9" t="str">
        <f ca="1">+WORLDCUP!BD63</f>
        <v>Suecia</v>
      </c>
      <c r="I207" s="9" t="str">
        <f ca="1">+WORLDCUP!BD69</f>
        <v>Ghana</v>
      </c>
      <c r="J207" s="9" t="str">
        <f ca="1">+WORLDCUP!BD68</f>
        <v>RD Congo</v>
      </c>
      <c r="N207" s="9" t="s">
        <v>1030</v>
      </c>
      <c r="O207" s="9">
        <v>206</v>
      </c>
      <c r="P207" s="9" t="s">
        <v>436</v>
      </c>
      <c r="Q207" s="9" t="s">
        <v>435</v>
      </c>
      <c r="R207" s="9" t="s">
        <v>440</v>
      </c>
      <c r="S207" s="9" t="s">
        <v>91</v>
      </c>
      <c r="T207" s="9" t="s">
        <v>89</v>
      </c>
      <c r="U207" s="9" t="s">
        <v>94</v>
      </c>
      <c r="V207" s="9" t="s">
        <v>443</v>
      </c>
      <c r="W207" s="9" t="s">
        <v>442</v>
      </c>
    </row>
    <row r="208" spans="1:23">
      <c r="A208" s="9" t="s">
        <v>1029</v>
      </c>
      <c r="B208" s="9">
        <f ca="1">+IF(A208=WORLDCUP!$BI$112,1,0)</f>
        <v>0</v>
      </c>
      <c r="C208" s="9" t="str">
        <f ca="1">+WORLDCUP!BD65</f>
        <v>Arabia Saudita</v>
      </c>
      <c r="D208" s="9" t="str">
        <f ca="1">+WORLDCUP!BD64</f>
        <v>Egipto</v>
      </c>
      <c r="E208" s="9" t="str">
        <f ca="1">+WORLDCUP!BD67</f>
        <v>Argelia</v>
      </c>
      <c r="F208" s="9" t="str">
        <f ca="1">+WORLDCUP!BD60</f>
        <v>Marruecos</v>
      </c>
      <c r="G208" s="9" t="str">
        <f ca="1">+WORLDCUP!BD58</f>
        <v>República Checa</v>
      </c>
      <c r="H208" s="9" t="str">
        <f ca="1">+WORLDCUP!BD63</f>
        <v>Suecia</v>
      </c>
      <c r="I208" s="9" t="str">
        <f ca="1">+WORLDCUP!BD69</f>
        <v>Ghana</v>
      </c>
      <c r="J208" s="9" t="str">
        <f ca="1">+WORLDCUP!BD66</f>
        <v>Senegal</v>
      </c>
      <c r="N208" s="9" t="s">
        <v>1029</v>
      </c>
      <c r="O208" s="9">
        <v>207</v>
      </c>
      <c r="P208" s="9" t="s">
        <v>436</v>
      </c>
      <c r="Q208" s="9" t="s">
        <v>435</v>
      </c>
      <c r="R208" s="9" t="s">
        <v>441</v>
      </c>
      <c r="S208" s="9" t="s">
        <v>91</v>
      </c>
      <c r="T208" s="9" t="s">
        <v>89</v>
      </c>
      <c r="U208" s="9" t="s">
        <v>94</v>
      </c>
      <c r="V208" s="9" t="s">
        <v>443</v>
      </c>
      <c r="W208" s="9" t="s">
        <v>440</v>
      </c>
    </row>
    <row r="209" spans="1:23">
      <c r="A209" s="9" t="s">
        <v>1028</v>
      </c>
      <c r="B209" s="9">
        <f ca="1">+IF(A209=WORLDCUP!$BI$112,1,0)</f>
        <v>0</v>
      </c>
      <c r="C209" s="9" t="str">
        <f ca="1">+WORLDCUP!BD65</f>
        <v>Arabia Saudita</v>
      </c>
      <c r="D209" s="9" t="str">
        <f ca="1">+WORLDCUP!BD64</f>
        <v>Egipto</v>
      </c>
      <c r="E209" s="9" t="str">
        <f ca="1">+WORLDCUP!BD67</f>
        <v>Argelia</v>
      </c>
      <c r="F209" s="9" t="str">
        <f ca="1">+WORLDCUP!BD60</f>
        <v>Marruecos</v>
      </c>
      <c r="G209" s="9" t="str">
        <f ca="1">+WORLDCUP!BD58</f>
        <v>República Checa</v>
      </c>
      <c r="H209" s="9" t="str">
        <f ca="1">+WORLDCUP!BD63</f>
        <v>Suecia</v>
      </c>
      <c r="I209" s="9" t="str">
        <f ca="1">+WORLDCUP!BD66</f>
        <v>Senegal</v>
      </c>
      <c r="J209" s="9" t="str">
        <f ca="1">+WORLDCUP!BD68</f>
        <v>RD Congo</v>
      </c>
      <c r="N209" s="9" t="s">
        <v>1028</v>
      </c>
      <c r="O209" s="9">
        <v>208</v>
      </c>
      <c r="P209" s="9" t="s">
        <v>436</v>
      </c>
      <c r="Q209" s="9" t="s">
        <v>435</v>
      </c>
      <c r="R209" s="9" t="s">
        <v>441</v>
      </c>
      <c r="S209" s="9" t="s">
        <v>91</v>
      </c>
      <c r="T209" s="9" t="s">
        <v>89</v>
      </c>
      <c r="U209" s="9" t="s">
        <v>94</v>
      </c>
      <c r="V209" s="9" t="s">
        <v>440</v>
      </c>
      <c r="W209" s="9" t="s">
        <v>442</v>
      </c>
    </row>
    <row r="210" spans="1:23">
      <c r="A210" s="9" t="s">
        <v>1027</v>
      </c>
      <c r="B210" s="9">
        <f ca="1">+IF(A210=WORLDCUP!$BI$112,1,0)</f>
        <v>0</v>
      </c>
      <c r="C210" s="9" t="str">
        <f ca="1">+WORLDCUP!BD62</f>
        <v>Ecuador</v>
      </c>
      <c r="D210" s="9" t="str">
        <f ca="1">+WORLDCUP!BD67</f>
        <v>Argelia</v>
      </c>
      <c r="E210" s="9" t="str">
        <f ca="1">+WORLDCUP!BD66</f>
        <v>Senegal</v>
      </c>
      <c r="F210" s="9" t="str">
        <f ca="1">+WORLDCUP!BD60</f>
        <v>Marruecos</v>
      </c>
      <c r="G210" s="9" t="str">
        <f ca="1">+WORLDCUP!BD58</f>
        <v>República Checa</v>
      </c>
      <c r="H210" s="9" t="str">
        <f ca="1">+WORLDCUP!BD65</f>
        <v>Arabia Saudita</v>
      </c>
      <c r="I210" s="9" t="str">
        <f ca="1">+WORLDCUP!BD69</f>
        <v>Ghana</v>
      </c>
      <c r="J210" s="9" t="str">
        <f ca="1">+WORLDCUP!BD68</f>
        <v>RD Congo</v>
      </c>
      <c r="N210" s="9" t="s">
        <v>1027</v>
      </c>
      <c r="O210" s="9">
        <v>209</v>
      </c>
      <c r="P210" s="9" t="s">
        <v>93</v>
      </c>
      <c r="Q210" s="9" t="s">
        <v>441</v>
      </c>
      <c r="R210" s="9" t="s">
        <v>440</v>
      </c>
      <c r="S210" s="9" t="s">
        <v>91</v>
      </c>
      <c r="T210" s="9" t="s">
        <v>89</v>
      </c>
      <c r="U210" s="9" t="s">
        <v>436</v>
      </c>
      <c r="V210" s="9" t="s">
        <v>443</v>
      </c>
      <c r="W210" s="9" t="s">
        <v>442</v>
      </c>
    </row>
    <row r="211" spans="1:23">
      <c r="A211" s="9" t="s">
        <v>1026</v>
      </c>
      <c r="B211" s="9">
        <f ca="1">+IF(A211=WORLDCUP!$BI$112,1,0)</f>
        <v>0</v>
      </c>
      <c r="C211" s="9" t="str">
        <f ca="1">+WORLDCUP!BD62</f>
        <v>Ecuador</v>
      </c>
      <c r="D211" s="9" t="str">
        <f ca="1">+WORLDCUP!BD67</f>
        <v>Argelia</v>
      </c>
      <c r="E211" s="9" t="str">
        <f ca="1">+WORLDCUP!BD66</f>
        <v>Senegal</v>
      </c>
      <c r="F211" s="9" t="str">
        <f ca="1">+WORLDCUP!BD60</f>
        <v>Marruecos</v>
      </c>
      <c r="G211" s="9" t="str">
        <f ca="1">+WORLDCUP!BD58</f>
        <v>República Checa</v>
      </c>
      <c r="H211" s="9" t="str">
        <f ca="1">+WORLDCUP!BD64</f>
        <v>Egipto</v>
      </c>
      <c r="I211" s="9" t="str">
        <f ca="1">+WORLDCUP!BD69</f>
        <v>Ghana</v>
      </c>
      <c r="J211" s="9" t="str">
        <f ca="1">+WORLDCUP!BD68</f>
        <v>RD Congo</v>
      </c>
      <c r="N211" s="9" t="s">
        <v>1026</v>
      </c>
      <c r="O211" s="9">
        <v>210</v>
      </c>
      <c r="P211" s="9" t="s">
        <v>93</v>
      </c>
      <c r="Q211" s="9" t="s">
        <v>441</v>
      </c>
      <c r="R211" s="9" t="s">
        <v>440</v>
      </c>
      <c r="S211" s="9" t="s">
        <v>91</v>
      </c>
      <c r="T211" s="9" t="s">
        <v>89</v>
      </c>
      <c r="U211" s="9" t="s">
        <v>435</v>
      </c>
      <c r="V211" s="9" t="s">
        <v>443</v>
      </c>
      <c r="W211" s="9" t="s">
        <v>442</v>
      </c>
    </row>
    <row r="212" spans="1:23">
      <c r="A212" s="9" t="s">
        <v>1025</v>
      </c>
      <c r="B212" s="9">
        <f ca="1">+IF(A212=WORLDCUP!$BI$112,1,0)</f>
        <v>0</v>
      </c>
      <c r="C212" s="9" t="str">
        <f ca="1">+WORLDCUP!BD62</f>
        <v>Ecuador</v>
      </c>
      <c r="D212" s="9" t="str">
        <f ca="1">+WORLDCUP!BD64</f>
        <v>Egipto</v>
      </c>
      <c r="E212" s="9" t="str">
        <f ca="1">+WORLDCUP!BD67</f>
        <v>Argelia</v>
      </c>
      <c r="F212" s="9" t="str">
        <f ca="1">+WORLDCUP!BD60</f>
        <v>Marruecos</v>
      </c>
      <c r="G212" s="9" t="str">
        <f ca="1">+WORLDCUP!BD58</f>
        <v>República Checa</v>
      </c>
      <c r="H212" s="9" t="str">
        <f ca="1">+WORLDCUP!BD65</f>
        <v>Arabia Saudita</v>
      </c>
      <c r="I212" s="9" t="str">
        <f ca="1">+WORLDCUP!BD69</f>
        <v>Ghana</v>
      </c>
      <c r="J212" s="9" t="str">
        <f ca="1">+WORLDCUP!BD68</f>
        <v>RD Congo</v>
      </c>
      <c r="N212" s="9" t="s">
        <v>1025</v>
      </c>
      <c r="O212" s="9">
        <v>211</v>
      </c>
      <c r="P212" s="9" t="s">
        <v>93</v>
      </c>
      <c r="Q212" s="9" t="s">
        <v>435</v>
      </c>
      <c r="R212" s="9" t="s">
        <v>441</v>
      </c>
      <c r="S212" s="9" t="s">
        <v>91</v>
      </c>
      <c r="T212" s="9" t="s">
        <v>89</v>
      </c>
      <c r="U212" s="9" t="s">
        <v>436</v>
      </c>
      <c r="V212" s="9" t="s">
        <v>443</v>
      </c>
      <c r="W212" s="9" t="s">
        <v>442</v>
      </c>
    </row>
    <row r="213" spans="1:23">
      <c r="A213" s="9" t="s">
        <v>1024</v>
      </c>
      <c r="B213" s="9">
        <f ca="1">+IF(A213=WORLDCUP!$BI$112,1,0)</f>
        <v>0</v>
      </c>
      <c r="C213" s="9" t="str">
        <f ca="1">+WORLDCUP!BD62</f>
        <v>Ecuador</v>
      </c>
      <c r="D213" s="9" t="str">
        <f ca="1">+WORLDCUP!BD64</f>
        <v>Egipto</v>
      </c>
      <c r="E213" s="9" t="str">
        <f ca="1">+WORLDCUP!BD66</f>
        <v>Senegal</v>
      </c>
      <c r="F213" s="9" t="str">
        <f ca="1">+WORLDCUP!BD60</f>
        <v>Marruecos</v>
      </c>
      <c r="G213" s="9" t="str">
        <f ca="1">+WORLDCUP!BD58</f>
        <v>República Checa</v>
      </c>
      <c r="H213" s="9" t="str">
        <f ca="1">+WORLDCUP!BD65</f>
        <v>Arabia Saudita</v>
      </c>
      <c r="I213" s="9" t="str">
        <f ca="1">+WORLDCUP!BD69</f>
        <v>Ghana</v>
      </c>
      <c r="J213" s="9" t="str">
        <f ca="1">+WORLDCUP!BD68</f>
        <v>RD Congo</v>
      </c>
      <c r="N213" s="9" t="s">
        <v>1024</v>
      </c>
      <c r="O213" s="9">
        <v>212</v>
      </c>
      <c r="P213" s="9" t="s">
        <v>93</v>
      </c>
      <c r="Q213" s="9" t="s">
        <v>435</v>
      </c>
      <c r="R213" s="9" t="s">
        <v>440</v>
      </c>
      <c r="S213" s="9" t="s">
        <v>91</v>
      </c>
      <c r="T213" s="9" t="s">
        <v>89</v>
      </c>
      <c r="U213" s="9" t="s">
        <v>436</v>
      </c>
      <c r="V213" s="9" t="s">
        <v>443</v>
      </c>
      <c r="W213" s="9" t="s">
        <v>442</v>
      </c>
    </row>
    <row r="214" spans="1:23">
      <c r="A214" s="9" t="s">
        <v>1023</v>
      </c>
      <c r="B214" s="9">
        <f ca="1">+IF(A214=WORLDCUP!$BI$112,1,0)</f>
        <v>0</v>
      </c>
      <c r="C214" s="9" t="str">
        <f ca="1">+WORLDCUP!BD62</f>
        <v>Ecuador</v>
      </c>
      <c r="D214" s="9" t="str">
        <f ca="1">+WORLDCUP!BD64</f>
        <v>Egipto</v>
      </c>
      <c r="E214" s="9" t="str">
        <f ca="1">+WORLDCUP!BD67</f>
        <v>Argelia</v>
      </c>
      <c r="F214" s="9" t="str">
        <f ca="1">+WORLDCUP!BD60</f>
        <v>Marruecos</v>
      </c>
      <c r="G214" s="9" t="str">
        <f ca="1">+WORLDCUP!BD58</f>
        <v>República Checa</v>
      </c>
      <c r="H214" s="9" t="str">
        <f ca="1">+WORLDCUP!BD65</f>
        <v>Arabia Saudita</v>
      </c>
      <c r="I214" s="9" t="str">
        <f ca="1">+WORLDCUP!BD69</f>
        <v>Ghana</v>
      </c>
      <c r="J214" s="9" t="str">
        <f ca="1">+WORLDCUP!BD66</f>
        <v>Senegal</v>
      </c>
      <c r="N214" s="9" t="s">
        <v>1023</v>
      </c>
      <c r="O214" s="9">
        <v>213</v>
      </c>
      <c r="P214" s="9" t="s">
        <v>93</v>
      </c>
      <c r="Q214" s="9" t="s">
        <v>435</v>
      </c>
      <c r="R214" s="9" t="s">
        <v>441</v>
      </c>
      <c r="S214" s="9" t="s">
        <v>91</v>
      </c>
      <c r="T214" s="9" t="s">
        <v>89</v>
      </c>
      <c r="U214" s="9" t="s">
        <v>436</v>
      </c>
      <c r="V214" s="9" t="s">
        <v>443</v>
      </c>
      <c r="W214" s="9" t="s">
        <v>440</v>
      </c>
    </row>
    <row r="215" spans="1:23">
      <c r="A215" s="9" t="s">
        <v>1022</v>
      </c>
      <c r="B215" s="9">
        <f ca="1">+IF(A215=WORLDCUP!$BI$112,1,0)</f>
        <v>0</v>
      </c>
      <c r="C215" s="9" t="str">
        <f ca="1">+WORLDCUP!BD62</f>
        <v>Ecuador</v>
      </c>
      <c r="D215" s="9" t="str">
        <f ca="1">+WORLDCUP!BD64</f>
        <v>Egipto</v>
      </c>
      <c r="E215" s="9" t="str">
        <f ca="1">+WORLDCUP!BD67</f>
        <v>Argelia</v>
      </c>
      <c r="F215" s="9" t="str">
        <f ca="1">+WORLDCUP!BD60</f>
        <v>Marruecos</v>
      </c>
      <c r="G215" s="9" t="str">
        <f ca="1">+WORLDCUP!BD58</f>
        <v>República Checa</v>
      </c>
      <c r="H215" s="9" t="str">
        <f ca="1">+WORLDCUP!BD65</f>
        <v>Arabia Saudita</v>
      </c>
      <c r="I215" s="9" t="str">
        <f ca="1">+WORLDCUP!BD66</f>
        <v>Senegal</v>
      </c>
      <c r="J215" s="9" t="str">
        <f ca="1">+WORLDCUP!BD68</f>
        <v>RD Congo</v>
      </c>
      <c r="N215" s="9" t="s">
        <v>1022</v>
      </c>
      <c r="O215" s="9">
        <v>214</v>
      </c>
      <c r="P215" s="9" t="s">
        <v>93</v>
      </c>
      <c r="Q215" s="9" t="s">
        <v>435</v>
      </c>
      <c r="R215" s="9" t="s">
        <v>441</v>
      </c>
      <c r="S215" s="9" t="s">
        <v>91</v>
      </c>
      <c r="T215" s="9" t="s">
        <v>89</v>
      </c>
      <c r="U215" s="9" t="s">
        <v>436</v>
      </c>
      <c r="V215" s="9" t="s">
        <v>440</v>
      </c>
      <c r="W215" s="9" t="s">
        <v>442</v>
      </c>
    </row>
    <row r="216" spans="1:23">
      <c r="A216" s="9" t="s">
        <v>1021</v>
      </c>
      <c r="B216" s="9">
        <f ca="1">+IF(A216=WORLDCUP!$BI$112,1,0)</f>
        <v>0</v>
      </c>
      <c r="C216" s="9" t="str">
        <f ca="1">+WORLDCUP!BD62</f>
        <v>Ecuador</v>
      </c>
      <c r="D216" s="9" t="str">
        <f ca="1">+WORLDCUP!BD67</f>
        <v>Argelia</v>
      </c>
      <c r="E216" s="9" t="str">
        <f ca="1">+WORLDCUP!BD66</f>
        <v>Senegal</v>
      </c>
      <c r="F216" s="9" t="str">
        <f ca="1">+WORLDCUP!BD60</f>
        <v>Marruecos</v>
      </c>
      <c r="G216" s="9" t="str">
        <f ca="1">+WORLDCUP!BD58</f>
        <v>República Checa</v>
      </c>
      <c r="H216" s="9" t="str">
        <f ca="1">+WORLDCUP!BD63</f>
        <v>Suecia</v>
      </c>
      <c r="I216" s="9" t="str">
        <f ca="1">+WORLDCUP!BD69</f>
        <v>Ghana</v>
      </c>
      <c r="J216" s="9" t="str">
        <f ca="1">+WORLDCUP!BD68</f>
        <v>RD Congo</v>
      </c>
      <c r="N216" s="9" t="s">
        <v>1021</v>
      </c>
      <c r="O216" s="9">
        <v>215</v>
      </c>
      <c r="P216" s="9" t="s">
        <v>93</v>
      </c>
      <c r="Q216" s="9" t="s">
        <v>441</v>
      </c>
      <c r="R216" s="9" t="s">
        <v>440</v>
      </c>
      <c r="S216" s="9" t="s">
        <v>91</v>
      </c>
      <c r="T216" s="9" t="s">
        <v>89</v>
      </c>
      <c r="U216" s="9" t="s">
        <v>94</v>
      </c>
      <c r="V216" s="9" t="s">
        <v>443</v>
      </c>
      <c r="W216" s="9" t="s">
        <v>442</v>
      </c>
    </row>
    <row r="217" spans="1:23">
      <c r="A217" s="9" t="s">
        <v>1020</v>
      </c>
      <c r="B217" s="9">
        <f ca="1">+IF(A217=WORLDCUP!$BI$112,1,0)</f>
        <v>0</v>
      </c>
      <c r="C217" s="9" t="str">
        <f ca="1">+WORLDCUP!BD65</f>
        <v>Arabia Saudita</v>
      </c>
      <c r="D217" s="9" t="str">
        <f ca="1">+WORLDCUP!BD67</f>
        <v>Argelia</v>
      </c>
      <c r="E217" s="9" t="str">
        <f ca="1">+WORLDCUP!BD62</f>
        <v>Ecuador</v>
      </c>
      <c r="F217" s="9" t="str">
        <f ca="1">+WORLDCUP!BD60</f>
        <v>Marruecos</v>
      </c>
      <c r="G217" s="9" t="str">
        <f ca="1">+WORLDCUP!BD58</f>
        <v>República Checa</v>
      </c>
      <c r="H217" s="9" t="str">
        <f ca="1">+WORLDCUP!BD63</f>
        <v>Suecia</v>
      </c>
      <c r="I217" s="9" t="str">
        <f ca="1">+WORLDCUP!BD69</f>
        <v>Ghana</v>
      </c>
      <c r="J217" s="9" t="str">
        <f ca="1">+WORLDCUP!BD68</f>
        <v>RD Congo</v>
      </c>
      <c r="N217" s="9" t="s">
        <v>1020</v>
      </c>
      <c r="O217" s="9">
        <v>216</v>
      </c>
      <c r="P217" s="9" t="s">
        <v>436</v>
      </c>
      <c r="Q217" s="9" t="s">
        <v>441</v>
      </c>
      <c r="R217" s="9" t="s">
        <v>93</v>
      </c>
      <c r="S217" s="9" t="s">
        <v>91</v>
      </c>
      <c r="T217" s="9" t="s">
        <v>89</v>
      </c>
      <c r="U217" s="9" t="s">
        <v>94</v>
      </c>
      <c r="V217" s="9" t="s">
        <v>443</v>
      </c>
      <c r="W217" s="9" t="s">
        <v>442</v>
      </c>
    </row>
    <row r="218" spans="1:23">
      <c r="A218" s="9" t="s">
        <v>1019</v>
      </c>
      <c r="B218" s="9">
        <f ca="1">+IF(A218=WORLDCUP!$BI$112,1,0)</f>
        <v>0</v>
      </c>
      <c r="C218" s="9" t="str">
        <f ca="1">+WORLDCUP!BD65</f>
        <v>Arabia Saudita</v>
      </c>
      <c r="D218" s="9" t="str">
        <f ca="1">+WORLDCUP!BD62</f>
        <v>Ecuador</v>
      </c>
      <c r="E218" s="9" t="str">
        <f ca="1">+WORLDCUP!BD66</f>
        <v>Senegal</v>
      </c>
      <c r="F218" s="9" t="str">
        <f ca="1">+WORLDCUP!BD60</f>
        <v>Marruecos</v>
      </c>
      <c r="G218" s="9" t="str">
        <f ca="1">+WORLDCUP!BD58</f>
        <v>República Checa</v>
      </c>
      <c r="H218" s="9" t="str">
        <f ca="1">+WORLDCUP!BD63</f>
        <v>Suecia</v>
      </c>
      <c r="I218" s="9" t="str">
        <f ca="1">+WORLDCUP!BD69</f>
        <v>Ghana</v>
      </c>
      <c r="J218" s="9" t="str">
        <f ca="1">+WORLDCUP!BD68</f>
        <v>RD Congo</v>
      </c>
      <c r="N218" s="9" t="s">
        <v>1019</v>
      </c>
      <c r="O218" s="9">
        <v>217</v>
      </c>
      <c r="P218" s="9" t="s">
        <v>436</v>
      </c>
      <c r="Q218" s="9" t="s">
        <v>93</v>
      </c>
      <c r="R218" s="9" t="s">
        <v>440</v>
      </c>
      <c r="S218" s="9" t="s">
        <v>91</v>
      </c>
      <c r="T218" s="9" t="s">
        <v>89</v>
      </c>
      <c r="U218" s="9" t="s">
        <v>94</v>
      </c>
      <c r="V218" s="9" t="s">
        <v>443</v>
      </c>
      <c r="W218" s="9" t="s">
        <v>442</v>
      </c>
    </row>
    <row r="219" spans="1:23">
      <c r="A219" s="9" t="s">
        <v>1018</v>
      </c>
      <c r="B219" s="9">
        <f ca="1">+IF(A219=WORLDCUP!$BI$112,1,0)</f>
        <v>0</v>
      </c>
      <c r="C219" s="9" t="str">
        <f ca="1">+WORLDCUP!BD65</f>
        <v>Arabia Saudita</v>
      </c>
      <c r="D219" s="9" t="str">
        <f ca="1">+WORLDCUP!BD67</f>
        <v>Argelia</v>
      </c>
      <c r="E219" s="9" t="str">
        <f ca="1">+WORLDCUP!BD62</f>
        <v>Ecuador</v>
      </c>
      <c r="F219" s="9" t="str">
        <f ca="1">+WORLDCUP!BD60</f>
        <v>Marruecos</v>
      </c>
      <c r="G219" s="9" t="str">
        <f ca="1">+WORLDCUP!BD58</f>
        <v>República Checa</v>
      </c>
      <c r="H219" s="9" t="str">
        <f ca="1">+WORLDCUP!BD63</f>
        <v>Suecia</v>
      </c>
      <c r="I219" s="9" t="str">
        <f ca="1">+WORLDCUP!BD69</f>
        <v>Ghana</v>
      </c>
      <c r="J219" s="9" t="str">
        <f ca="1">+WORLDCUP!BD66</f>
        <v>Senegal</v>
      </c>
      <c r="N219" s="9" t="s">
        <v>1018</v>
      </c>
      <c r="O219" s="9">
        <v>218</v>
      </c>
      <c r="P219" s="9" t="s">
        <v>436</v>
      </c>
      <c r="Q219" s="9" t="s">
        <v>441</v>
      </c>
      <c r="R219" s="9" t="s">
        <v>93</v>
      </c>
      <c r="S219" s="9" t="s">
        <v>91</v>
      </c>
      <c r="T219" s="9" t="s">
        <v>89</v>
      </c>
      <c r="U219" s="9" t="s">
        <v>94</v>
      </c>
      <c r="V219" s="9" t="s">
        <v>443</v>
      </c>
      <c r="W219" s="9" t="s">
        <v>440</v>
      </c>
    </row>
    <row r="220" spans="1:23">
      <c r="A220" s="9" t="s">
        <v>1017</v>
      </c>
      <c r="B220" s="9">
        <f ca="1">+IF(A220=WORLDCUP!$BI$112,1,0)</f>
        <v>0</v>
      </c>
      <c r="C220" s="9" t="str">
        <f ca="1">+WORLDCUP!BD65</f>
        <v>Arabia Saudita</v>
      </c>
      <c r="D220" s="9" t="str">
        <f ca="1">+WORLDCUP!BD67</f>
        <v>Argelia</v>
      </c>
      <c r="E220" s="9" t="str">
        <f ca="1">+WORLDCUP!BD62</f>
        <v>Ecuador</v>
      </c>
      <c r="F220" s="9" t="str">
        <f ca="1">+WORLDCUP!BD60</f>
        <v>Marruecos</v>
      </c>
      <c r="G220" s="9" t="str">
        <f ca="1">+WORLDCUP!BD58</f>
        <v>República Checa</v>
      </c>
      <c r="H220" s="9" t="str">
        <f ca="1">+WORLDCUP!BD63</f>
        <v>Suecia</v>
      </c>
      <c r="I220" s="9" t="str">
        <f ca="1">+WORLDCUP!BD66</f>
        <v>Senegal</v>
      </c>
      <c r="J220" s="9" t="str">
        <f ca="1">+WORLDCUP!BD68</f>
        <v>RD Congo</v>
      </c>
      <c r="N220" s="9" t="s">
        <v>1017</v>
      </c>
      <c r="O220" s="9">
        <v>219</v>
      </c>
      <c r="P220" s="9" t="s">
        <v>436</v>
      </c>
      <c r="Q220" s="9" t="s">
        <v>441</v>
      </c>
      <c r="R220" s="9" t="s">
        <v>93</v>
      </c>
      <c r="S220" s="9" t="s">
        <v>91</v>
      </c>
      <c r="T220" s="9" t="s">
        <v>89</v>
      </c>
      <c r="U220" s="9" t="s">
        <v>94</v>
      </c>
      <c r="V220" s="9" t="s">
        <v>440</v>
      </c>
      <c r="W220" s="9" t="s">
        <v>442</v>
      </c>
    </row>
    <row r="221" spans="1:23">
      <c r="A221" s="9" t="s">
        <v>1016</v>
      </c>
      <c r="B221" s="9">
        <f ca="1">+IF(A221=WORLDCUP!$BI$112,1,0)</f>
        <v>0</v>
      </c>
      <c r="C221" s="9" t="str">
        <f ca="1">+WORLDCUP!BD62</f>
        <v>Ecuador</v>
      </c>
      <c r="D221" s="9" t="str">
        <f ca="1">+WORLDCUP!BD64</f>
        <v>Egipto</v>
      </c>
      <c r="E221" s="9" t="str">
        <f ca="1">+WORLDCUP!BD67</f>
        <v>Argelia</v>
      </c>
      <c r="F221" s="9" t="str">
        <f ca="1">+WORLDCUP!BD60</f>
        <v>Marruecos</v>
      </c>
      <c r="G221" s="9" t="str">
        <f ca="1">+WORLDCUP!BD58</f>
        <v>República Checa</v>
      </c>
      <c r="H221" s="9" t="str">
        <f ca="1">+WORLDCUP!BD63</f>
        <v>Suecia</v>
      </c>
      <c r="I221" s="9" t="str">
        <f ca="1">+WORLDCUP!BD69</f>
        <v>Ghana</v>
      </c>
      <c r="J221" s="9" t="str">
        <f ca="1">+WORLDCUP!BD68</f>
        <v>RD Congo</v>
      </c>
      <c r="N221" s="9" t="s">
        <v>1016</v>
      </c>
      <c r="O221" s="9">
        <v>220</v>
      </c>
      <c r="P221" s="9" t="s">
        <v>93</v>
      </c>
      <c r="Q221" s="9" t="s">
        <v>435</v>
      </c>
      <c r="R221" s="9" t="s">
        <v>441</v>
      </c>
      <c r="S221" s="9" t="s">
        <v>91</v>
      </c>
      <c r="T221" s="9" t="s">
        <v>89</v>
      </c>
      <c r="U221" s="9" t="s">
        <v>94</v>
      </c>
      <c r="V221" s="9" t="s">
        <v>443</v>
      </c>
      <c r="W221" s="9" t="s">
        <v>442</v>
      </c>
    </row>
    <row r="222" spans="1:23">
      <c r="A222" s="9" t="s">
        <v>1015</v>
      </c>
      <c r="B222" s="9">
        <f ca="1">+IF(A222=WORLDCUP!$BI$112,1,0)</f>
        <v>0</v>
      </c>
      <c r="C222" s="9" t="str">
        <f ca="1">+WORLDCUP!BD62</f>
        <v>Ecuador</v>
      </c>
      <c r="D222" s="9" t="str">
        <f ca="1">+WORLDCUP!BD64</f>
        <v>Egipto</v>
      </c>
      <c r="E222" s="9" t="str">
        <f ca="1">+WORLDCUP!BD66</f>
        <v>Senegal</v>
      </c>
      <c r="F222" s="9" t="str">
        <f ca="1">+WORLDCUP!BD60</f>
        <v>Marruecos</v>
      </c>
      <c r="G222" s="9" t="str">
        <f ca="1">+WORLDCUP!BD58</f>
        <v>República Checa</v>
      </c>
      <c r="H222" s="9" t="str">
        <f ca="1">+WORLDCUP!BD63</f>
        <v>Suecia</v>
      </c>
      <c r="I222" s="9" t="str">
        <f ca="1">+WORLDCUP!BD69</f>
        <v>Ghana</v>
      </c>
      <c r="J222" s="9" t="str">
        <f ca="1">+WORLDCUP!BD68</f>
        <v>RD Congo</v>
      </c>
      <c r="N222" s="9" t="s">
        <v>1015</v>
      </c>
      <c r="O222" s="9">
        <v>221</v>
      </c>
      <c r="P222" s="9" t="s">
        <v>93</v>
      </c>
      <c r="Q222" s="9" t="s">
        <v>435</v>
      </c>
      <c r="R222" s="9" t="s">
        <v>440</v>
      </c>
      <c r="S222" s="9" t="s">
        <v>91</v>
      </c>
      <c r="T222" s="9" t="s">
        <v>89</v>
      </c>
      <c r="U222" s="9" t="s">
        <v>94</v>
      </c>
      <c r="V222" s="9" t="s">
        <v>443</v>
      </c>
      <c r="W222" s="9" t="s">
        <v>442</v>
      </c>
    </row>
    <row r="223" spans="1:23">
      <c r="A223" s="9" t="s">
        <v>1014</v>
      </c>
      <c r="B223" s="9">
        <f ca="1">+IF(A223=WORLDCUP!$BI$112,1,0)</f>
        <v>0</v>
      </c>
      <c r="C223" s="9" t="str">
        <f ca="1">+WORLDCUP!BD62</f>
        <v>Ecuador</v>
      </c>
      <c r="D223" s="9" t="str">
        <f ca="1">+WORLDCUP!BD64</f>
        <v>Egipto</v>
      </c>
      <c r="E223" s="9" t="str">
        <f ca="1">+WORLDCUP!BD67</f>
        <v>Argelia</v>
      </c>
      <c r="F223" s="9" t="str">
        <f ca="1">+WORLDCUP!BD60</f>
        <v>Marruecos</v>
      </c>
      <c r="G223" s="9" t="str">
        <f ca="1">+WORLDCUP!BD58</f>
        <v>República Checa</v>
      </c>
      <c r="H223" s="9" t="str">
        <f ca="1">+WORLDCUP!BD63</f>
        <v>Suecia</v>
      </c>
      <c r="I223" s="9" t="str">
        <f ca="1">+WORLDCUP!BD69</f>
        <v>Ghana</v>
      </c>
      <c r="J223" s="9" t="str">
        <f ca="1">+WORLDCUP!BD66</f>
        <v>Senegal</v>
      </c>
      <c r="N223" s="9" t="s">
        <v>1014</v>
      </c>
      <c r="O223" s="9">
        <v>222</v>
      </c>
      <c r="P223" s="9" t="s">
        <v>93</v>
      </c>
      <c r="Q223" s="9" t="s">
        <v>435</v>
      </c>
      <c r="R223" s="9" t="s">
        <v>441</v>
      </c>
      <c r="S223" s="9" t="s">
        <v>91</v>
      </c>
      <c r="T223" s="9" t="s">
        <v>89</v>
      </c>
      <c r="U223" s="9" t="s">
        <v>94</v>
      </c>
      <c r="V223" s="9" t="s">
        <v>443</v>
      </c>
      <c r="W223" s="9" t="s">
        <v>440</v>
      </c>
    </row>
    <row r="224" spans="1:23">
      <c r="A224" s="9" t="s">
        <v>1013</v>
      </c>
      <c r="B224" s="9">
        <f ca="1">+IF(A224=WORLDCUP!$BI$112,1,0)</f>
        <v>0</v>
      </c>
      <c r="C224" s="9" t="str">
        <f ca="1">+WORLDCUP!BD62</f>
        <v>Ecuador</v>
      </c>
      <c r="D224" s="9" t="str">
        <f ca="1">+WORLDCUP!BD64</f>
        <v>Egipto</v>
      </c>
      <c r="E224" s="9" t="str">
        <f ca="1">+WORLDCUP!BD67</f>
        <v>Argelia</v>
      </c>
      <c r="F224" s="9" t="str">
        <f ca="1">+WORLDCUP!BD60</f>
        <v>Marruecos</v>
      </c>
      <c r="G224" s="9" t="str">
        <f ca="1">+WORLDCUP!BD58</f>
        <v>República Checa</v>
      </c>
      <c r="H224" s="9" t="str">
        <f ca="1">+WORLDCUP!BD63</f>
        <v>Suecia</v>
      </c>
      <c r="I224" s="9" t="str">
        <f ca="1">+WORLDCUP!BD66</f>
        <v>Senegal</v>
      </c>
      <c r="J224" s="9" t="str">
        <f ca="1">+WORLDCUP!BD68</f>
        <v>RD Congo</v>
      </c>
      <c r="N224" s="9" t="s">
        <v>1013</v>
      </c>
      <c r="O224" s="9">
        <v>223</v>
      </c>
      <c r="P224" s="9" t="s">
        <v>93</v>
      </c>
      <c r="Q224" s="9" t="s">
        <v>435</v>
      </c>
      <c r="R224" s="9" t="s">
        <v>441</v>
      </c>
      <c r="S224" s="9" t="s">
        <v>91</v>
      </c>
      <c r="T224" s="9" t="s">
        <v>89</v>
      </c>
      <c r="U224" s="9" t="s">
        <v>94</v>
      </c>
      <c r="V224" s="9" t="s">
        <v>440</v>
      </c>
      <c r="W224" s="9" t="s">
        <v>442</v>
      </c>
    </row>
    <row r="225" spans="1:23">
      <c r="A225" s="9" t="s">
        <v>1012</v>
      </c>
      <c r="B225" s="9">
        <f ca="1">+IF(A225=WORLDCUP!$BI$112,1,0)</f>
        <v>0</v>
      </c>
      <c r="C225" s="9" t="str">
        <f ca="1">+WORLDCUP!BD65</f>
        <v>Arabia Saudita</v>
      </c>
      <c r="D225" s="9" t="str">
        <f ca="1">+WORLDCUP!BD64</f>
        <v>Egipto</v>
      </c>
      <c r="E225" s="9" t="str">
        <f ca="1">+WORLDCUP!BD62</f>
        <v>Ecuador</v>
      </c>
      <c r="F225" s="9" t="str">
        <f ca="1">+WORLDCUP!BD60</f>
        <v>Marruecos</v>
      </c>
      <c r="G225" s="9" t="str">
        <f ca="1">+WORLDCUP!BD58</f>
        <v>República Checa</v>
      </c>
      <c r="H225" s="9" t="str">
        <f ca="1">+WORLDCUP!BD63</f>
        <v>Suecia</v>
      </c>
      <c r="I225" s="9" t="str">
        <f ca="1">+WORLDCUP!BD69</f>
        <v>Ghana</v>
      </c>
      <c r="J225" s="9" t="str">
        <f ca="1">+WORLDCUP!BD68</f>
        <v>RD Congo</v>
      </c>
      <c r="N225" s="9" t="s">
        <v>1012</v>
      </c>
      <c r="O225" s="9">
        <v>224</v>
      </c>
      <c r="P225" s="9" t="s">
        <v>436</v>
      </c>
      <c r="Q225" s="9" t="s">
        <v>435</v>
      </c>
      <c r="R225" s="9" t="s">
        <v>93</v>
      </c>
      <c r="S225" s="9" t="s">
        <v>91</v>
      </c>
      <c r="T225" s="9" t="s">
        <v>89</v>
      </c>
      <c r="U225" s="9" t="s">
        <v>94</v>
      </c>
      <c r="V225" s="9" t="s">
        <v>443</v>
      </c>
      <c r="W225" s="9" t="s">
        <v>442</v>
      </c>
    </row>
    <row r="226" spans="1:23">
      <c r="A226" s="9" t="s">
        <v>1011</v>
      </c>
      <c r="B226" s="9">
        <f ca="1">+IF(A226=WORLDCUP!$BI$112,1,0)</f>
        <v>0</v>
      </c>
      <c r="C226" s="9" t="str">
        <f ca="1">+WORLDCUP!BD65</f>
        <v>Arabia Saudita</v>
      </c>
      <c r="D226" s="9" t="str">
        <f ca="1">+WORLDCUP!BD64</f>
        <v>Egipto</v>
      </c>
      <c r="E226" s="9" t="str">
        <f ca="1">+WORLDCUP!BD67</f>
        <v>Argelia</v>
      </c>
      <c r="F226" s="9" t="str">
        <f ca="1">+WORLDCUP!BD60</f>
        <v>Marruecos</v>
      </c>
      <c r="G226" s="9" t="str">
        <f ca="1">+WORLDCUP!BD58</f>
        <v>República Checa</v>
      </c>
      <c r="H226" s="9" t="str">
        <f ca="1">+WORLDCUP!BD63</f>
        <v>Suecia</v>
      </c>
      <c r="I226" s="9" t="str">
        <f ca="1">+WORLDCUP!BD69</f>
        <v>Ghana</v>
      </c>
      <c r="J226" s="9" t="str">
        <f ca="1">+WORLDCUP!BD62</f>
        <v>Ecuador</v>
      </c>
      <c r="N226" s="9" t="s">
        <v>1011</v>
      </c>
      <c r="O226" s="9">
        <v>225</v>
      </c>
      <c r="P226" s="9" t="s">
        <v>436</v>
      </c>
      <c r="Q226" s="9" t="s">
        <v>435</v>
      </c>
      <c r="R226" s="9" t="s">
        <v>441</v>
      </c>
      <c r="S226" s="9" t="s">
        <v>91</v>
      </c>
      <c r="T226" s="9" t="s">
        <v>89</v>
      </c>
      <c r="U226" s="9" t="s">
        <v>94</v>
      </c>
      <c r="V226" s="9" t="s">
        <v>443</v>
      </c>
      <c r="W226" s="9" t="s">
        <v>93</v>
      </c>
    </row>
    <row r="227" spans="1:23">
      <c r="A227" s="9" t="s">
        <v>1010</v>
      </c>
      <c r="B227" s="9">
        <f ca="1">+IF(A227=WORLDCUP!$BI$112,1,0)</f>
        <v>0</v>
      </c>
      <c r="C227" s="9" t="str">
        <f ca="1">+WORLDCUP!BD65</f>
        <v>Arabia Saudita</v>
      </c>
      <c r="D227" s="9" t="str">
        <f ca="1">+WORLDCUP!BD64</f>
        <v>Egipto</v>
      </c>
      <c r="E227" s="9" t="str">
        <f ca="1">+WORLDCUP!BD67</f>
        <v>Argelia</v>
      </c>
      <c r="F227" s="9" t="str">
        <f ca="1">+WORLDCUP!BD60</f>
        <v>Marruecos</v>
      </c>
      <c r="G227" s="9" t="str">
        <f ca="1">+WORLDCUP!BD58</f>
        <v>República Checa</v>
      </c>
      <c r="H227" s="9" t="str">
        <f ca="1">+WORLDCUP!BD63</f>
        <v>Suecia</v>
      </c>
      <c r="I227" s="9" t="str">
        <f ca="1">+WORLDCUP!BD62</f>
        <v>Ecuador</v>
      </c>
      <c r="J227" s="9" t="str">
        <f ca="1">+WORLDCUP!BD68</f>
        <v>RD Congo</v>
      </c>
      <c r="N227" s="9" t="s">
        <v>1010</v>
      </c>
      <c r="O227" s="9">
        <v>226</v>
      </c>
      <c r="P227" s="9" t="s">
        <v>436</v>
      </c>
      <c r="Q227" s="9" t="s">
        <v>435</v>
      </c>
      <c r="R227" s="9" t="s">
        <v>441</v>
      </c>
      <c r="S227" s="9" t="s">
        <v>91</v>
      </c>
      <c r="T227" s="9" t="s">
        <v>89</v>
      </c>
      <c r="U227" s="9" t="s">
        <v>94</v>
      </c>
      <c r="V227" s="9" t="s">
        <v>93</v>
      </c>
      <c r="W227" s="9" t="s">
        <v>442</v>
      </c>
    </row>
    <row r="228" spans="1:23">
      <c r="A228" s="9" t="s">
        <v>1009</v>
      </c>
      <c r="B228" s="9">
        <f ca="1">+IF(A228=WORLDCUP!$BI$112,1,0)</f>
        <v>0</v>
      </c>
      <c r="C228" s="9" t="str">
        <f ca="1">+WORLDCUP!BD65</f>
        <v>Arabia Saudita</v>
      </c>
      <c r="D228" s="9" t="str">
        <f ca="1">+WORLDCUP!BD64</f>
        <v>Egipto</v>
      </c>
      <c r="E228" s="9" t="str">
        <f ca="1">+WORLDCUP!BD62</f>
        <v>Ecuador</v>
      </c>
      <c r="F228" s="9" t="str">
        <f ca="1">+WORLDCUP!BD60</f>
        <v>Marruecos</v>
      </c>
      <c r="G228" s="9" t="str">
        <f ca="1">+WORLDCUP!BD58</f>
        <v>República Checa</v>
      </c>
      <c r="H228" s="9" t="str">
        <f ca="1">+WORLDCUP!BD63</f>
        <v>Suecia</v>
      </c>
      <c r="I228" s="9" t="str">
        <f ca="1">+WORLDCUP!BD69</f>
        <v>Ghana</v>
      </c>
      <c r="J228" s="9" t="str">
        <f ca="1">+WORLDCUP!BD66</f>
        <v>Senegal</v>
      </c>
      <c r="N228" s="9" t="s">
        <v>1009</v>
      </c>
      <c r="O228" s="9">
        <v>227</v>
      </c>
      <c r="P228" s="9" t="s">
        <v>436</v>
      </c>
      <c r="Q228" s="9" t="s">
        <v>435</v>
      </c>
      <c r="R228" s="9" t="s">
        <v>93</v>
      </c>
      <c r="S228" s="9" t="s">
        <v>91</v>
      </c>
      <c r="T228" s="9" t="s">
        <v>89</v>
      </c>
      <c r="U228" s="9" t="s">
        <v>94</v>
      </c>
      <c r="V228" s="9" t="s">
        <v>443</v>
      </c>
      <c r="W228" s="9" t="s">
        <v>440</v>
      </c>
    </row>
    <row r="229" spans="1:23">
      <c r="A229" s="9" t="s">
        <v>1008</v>
      </c>
      <c r="B229" s="9">
        <f ca="1">+IF(A229=WORLDCUP!$BI$112,1,0)</f>
        <v>0</v>
      </c>
      <c r="C229" s="9" t="str">
        <f ca="1">+WORLDCUP!BD65</f>
        <v>Arabia Saudita</v>
      </c>
      <c r="D229" s="9" t="str">
        <f ca="1">+WORLDCUP!BD64</f>
        <v>Egipto</v>
      </c>
      <c r="E229" s="9" t="str">
        <f ca="1">+WORLDCUP!BD62</f>
        <v>Ecuador</v>
      </c>
      <c r="F229" s="9" t="str">
        <f ca="1">+WORLDCUP!BD60</f>
        <v>Marruecos</v>
      </c>
      <c r="G229" s="9" t="str">
        <f ca="1">+WORLDCUP!BD58</f>
        <v>República Checa</v>
      </c>
      <c r="H229" s="9" t="str">
        <f ca="1">+WORLDCUP!BD63</f>
        <v>Suecia</v>
      </c>
      <c r="I229" s="9" t="str">
        <f ca="1">+WORLDCUP!BD66</f>
        <v>Senegal</v>
      </c>
      <c r="J229" s="9" t="str">
        <f ca="1">+WORLDCUP!BD68</f>
        <v>RD Congo</v>
      </c>
      <c r="N229" s="9" t="s">
        <v>1008</v>
      </c>
      <c r="O229" s="9">
        <v>228</v>
      </c>
      <c r="P229" s="9" t="s">
        <v>436</v>
      </c>
      <c r="Q229" s="9" t="s">
        <v>435</v>
      </c>
      <c r="R229" s="9" t="s">
        <v>93</v>
      </c>
      <c r="S229" s="9" t="s">
        <v>91</v>
      </c>
      <c r="T229" s="9" t="s">
        <v>89</v>
      </c>
      <c r="U229" s="9" t="s">
        <v>94</v>
      </c>
      <c r="V229" s="9" t="s">
        <v>440</v>
      </c>
      <c r="W229" s="9" t="s">
        <v>442</v>
      </c>
    </row>
    <row r="230" spans="1:23">
      <c r="A230" s="9" t="s">
        <v>1007</v>
      </c>
      <c r="B230" s="9">
        <f ca="1">+IF(A230=WORLDCUP!$BI$112,1,0)</f>
        <v>0</v>
      </c>
      <c r="C230" s="9" t="str">
        <f ca="1">+WORLDCUP!BD65</f>
        <v>Arabia Saudita</v>
      </c>
      <c r="D230" s="9" t="str">
        <f ca="1">+WORLDCUP!BD64</f>
        <v>Egipto</v>
      </c>
      <c r="E230" s="9" t="str">
        <f ca="1">+WORLDCUP!BD67</f>
        <v>Argelia</v>
      </c>
      <c r="F230" s="9" t="str">
        <f ca="1">+WORLDCUP!BD60</f>
        <v>Marruecos</v>
      </c>
      <c r="G230" s="9" t="str">
        <f ca="1">+WORLDCUP!BD58</f>
        <v>República Checa</v>
      </c>
      <c r="H230" s="9" t="str">
        <f ca="1">+WORLDCUP!BD63</f>
        <v>Suecia</v>
      </c>
      <c r="I230" s="9" t="str">
        <f ca="1">+WORLDCUP!BD62</f>
        <v>Ecuador</v>
      </c>
      <c r="J230" s="9" t="str">
        <f ca="1">+WORLDCUP!BD66</f>
        <v>Senegal</v>
      </c>
      <c r="N230" s="9" t="s">
        <v>1007</v>
      </c>
      <c r="O230" s="9">
        <v>229</v>
      </c>
      <c r="P230" s="9" t="s">
        <v>436</v>
      </c>
      <c r="Q230" s="9" t="s">
        <v>435</v>
      </c>
      <c r="R230" s="9" t="s">
        <v>441</v>
      </c>
      <c r="S230" s="9" t="s">
        <v>91</v>
      </c>
      <c r="T230" s="9" t="s">
        <v>89</v>
      </c>
      <c r="U230" s="9" t="s">
        <v>94</v>
      </c>
      <c r="V230" s="9" t="s">
        <v>93</v>
      </c>
      <c r="W230" s="9" t="s">
        <v>440</v>
      </c>
    </row>
    <row r="231" spans="1:23">
      <c r="A231" s="9" t="s">
        <v>1006</v>
      </c>
      <c r="B231" s="9">
        <f ca="1">+IF(A231=WORLDCUP!$BI$112,1,0)</f>
        <v>0</v>
      </c>
      <c r="C231" s="9" t="str">
        <f ca="1">+WORLDCUP!BD65</f>
        <v>Arabia Saudita</v>
      </c>
      <c r="D231" s="9" t="str">
        <f ca="1">+WORLDCUP!BD67</f>
        <v>Argelia</v>
      </c>
      <c r="E231" s="9" t="str">
        <f ca="1">+WORLDCUP!BD66</f>
        <v>Senegal</v>
      </c>
      <c r="F231" s="9" t="str">
        <f ca="1">+WORLDCUP!BD60</f>
        <v>Marruecos</v>
      </c>
      <c r="G231" s="9" t="str">
        <f ca="1">+WORLDCUP!BD58</f>
        <v>República Checa</v>
      </c>
      <c r="H231" s="9" t="str">
        <f ca="1">+WORLDCUP!BD61</f>
        <v>Paraguay</v>
      </c>
      <c r="I231" s="9" t="str">
        <f ca="1">+WORLDCUP!BD69</f>
        <v>Ghana</v>
      </c>
      <c r="J231" s="9" t="str">
        <f ca="1">+WORLDCUP!BD68</f>
        <v>RD Congo</v>
      </c>
      <c r="N231" s="9" t="s">
        <v>1006</v>
      </c>
      <c r="O231" s="9">
        <v>230</v>
      </c>
      <c r="P231" s="9" t="s">
        <v>436</v>
      </c>
      <c r="Q231" s="9" t="s">
        <v>441</v>
      </c>
      <c r="R231" s="9" t="s">
        <v>440</v>
      </c>
      <c r="S231" s="9" t="s">
        <v>91</v>
      </c>
      <c r="T231" s="9" t="s">
        <v>89</v>
      </c>
      <c r="U231" s="9" t="s">
        <v>92</v>
      </c>
      <c r="V231" s="9" t="s">
        <v>443</v>
      </c>
      <c r="W231" s="9" t="s">
        <v>442</v>
      </c>
    </row>
    <row r="232" spans="1:23">
      <c r="A232" s="9" t="s">
        <v>1005</v>
      </c>
      <c r="B232" s="9">
        <f ca="1">+IF(A232=WORLDCUP!$BI$112,1,0)</f>
        <v>0</v>
      </c>
      <c r="C232" s="9" t="str">
        <f ca="1">+WORLDCUP!BD66</f>
        <v>Senegal</v>
      </c>
      <c r="D232" s="9" t="str">
        <f ca="1">+WORLDCUP!BD64</f>
        <v>Egipto</v>
      </c>
      <c r="E232" s="9" t="str">
        <f ca="1">+WORLDCUP!BD67</f>
        <v>Argelia</v>
      </c>
      <c r="F232" s="9" t="str">
        <f ca="1">+WORLDCUP!BD60</f>
        <v>Marruecos</v>
      </c>
      <c r="G232" s="9" t="str">
        <f ca="1">+WORLDCUP!BD58</f>
        <v>República Checa</v>
      </c>
      <c r="H232" s="9" t="str">
        <f ca="1">+WORLDCUP!BD61</f>
        <v>Paraguay</v>
      </c>
      <c r="I232" s="9" t="str">
        <f ca="1">+WORLDCUP!BD69</f>
        <v>Ghana</v>
      </c>
      <c r="J232" s="9" t="str">
        <f ca="1">+WORLDCUP!BD68</f>
        <v>RD Congo</v>
      </c>
      <c r="N232" s="9" t="s">
        <v>1005</v>
      </c>
      <c r="O232" s="9">
        <v>231</v>
      </c>
      <c r="P232" s="9" t="s">
        <v>440</v>
      </c>
      <c r="Q232" s="9" t="s">
        <v>435</v>
      </c>
      <c r="R232" s="9" t="s">
        <v>441</v>
      </c>
      <c r="S232" s="9" t="s">
        <v>91</v>
      </c>
      <c r="T232" s="9" t="s">
        <v>89</v>
      </c>
      <c r="U232" s="9" t="s">
        <v>92</v>
      </c>
      <c r="V232" s="9" t="s">
        <v>443</v>
      </c>
      <c r="W232" s="9" t="s">
        <v>442</v>
      </c>
    </row>
    <row r="233" spans="1:23">
      <c r="A233" s="9" t="s">
        <v>1004</v>
      </c>
      <c r="B233" s="9">
        <f ca="1">+IF(A233=WORLDCUP!$BI$112,1,0)</f>
        <v>0</v>
      </c>
      <c r="C233" s="9" t="str">
        <f ca="1">+WORLDCUP!BD65</f>
        <v>Arabia Saudita</v>
      </c>
      <c r="D233" s="9" t="str">
        <f ca="1">+WORLDCUP!BD64</f>
        <v>Egipto</v>
      </c>
      <c r="E233" s="9" t="str">
        <f ca="1">+WORLDCUP!BD67</f>
        <v>Argelia</v>
      </c>
      <c r="F233" s="9" t="str">
        <f ca="1">+WORLDCUP!BD60</f>
        <v>Marruecos</v>
      </c>
      <c r="G233" s="9" t="str">
        <f ca="1">+WORLDCUP!BD58</f>
        <v>República Checa</v>
      </c>
      <c r="H233" s="9" t="str">
        <f ca="1">+WORLDCUP!BD61</f>
        <v>Paraguay</v>
      </c>
      <c r="I233" s="9" t="str">
        <f ca="1">+WORLDCUP!BD69</f>
        <v>Ghana</v>
      </c>
      <c r="J233" s="9" t="str">
        <f ca="1">+WORLDCUP!BD68</f>
        <v>RD Congo</v>
      </c>
      <c r="N233" s="9" t="s">
        <v>1004</v>
      </c>
      <c r="O233" s="9">
        <v>232</v>
      </c>
      <c r="P233" s="9" t="s">
        <v>436</v>
      </c>
      <c r="Q233" s="9" t="s">
        <v>435</v>
      </c>
      <c r="R233" s="9" t="s">
        <v>441</v>
      </c>
      <c r="S233" s="9" t="s">
        <v>91</v>
      </c>
      <c r="T233" s="9" t="s">
        <v>89</v>
      </c>
      <c r="U233" s="9" t="s">
        <v>92</v>
      </c>
      <c r="V233" s="9" t="s">
        <v>443</v>
      </c>
      <c r="W233" s="9" t="s">
        <v>442</v>
      </c>
    </row>
    <row r="234" spans="1:23">
      <c r="A234" s="9" t="s">
        <v>1003</v>
      </c>
      <c r="B234" s="9">
        <f ca="1">+IF(A234=WORLDCUP!$BI$112,1,0)</f>
        <v>0</v>
      </c>
      <c r="C234" s="9" t="str">
        <f ca="1">+WORLDCUP!BD65</f>
        <v>Arabia Saudita</v>
      </c>
      <c r="D234" s="9" t="str">
        <f ca="1">+WORLDCUP!BD64</f>
        <v>Egipto</v>
      </c>
      <c r="E234" s="9" t="str">
        <f ca="1">+WORLDCUP!BD66</f>
        <v>Senegal</v>
      </c>
      <c r="F234" s="9" t="str">
        <f ca="1">+WORLDCUP!BD60</f>
        <v>Marruecos</v>
      </c>
      <c r="G234" s="9" t="str">
        <f ca="1">+WORLDCUP!BD58</f>
        <v>República Checa</v>
      </c>
      <c r="H234" s="9" t="str">
        <f ca="1">+WORLDCUP!BD61</f>
        <v>Paraguay</v>
      </c>
      <c r="I234" s="9" t="str">
        <f ca="1">+WORLDCUP!BD69</f>
        <v>Ghana</v>
      </c>
      <c r="J234" s="9" t="str">
        <f ca="1">+WORLDCUP!BD68</f>
        <v>RD Congo</v>
      </c>
      <c r="N234" s="9" t="s">
        <v>1003</v>
      </c>
      <c r="O234" s="9">
        <v>233</v>
      </c>
      <c r="P234" s="9" t="s">
        <v>436</v>
      </c>
      <c r="Q234" s="9" t="s">
        <v>435</v>
      </c>
      <c r="R234" s="9" t="s">
        <v>440</v>
      </c>
      <c r="S234" s="9" t="s">
        <v>91</v>
      </c>
      <c r="T234" s="9" t="s">
        <v>89</v>
      </c>
      <c r="U234" s="9" t="s">
        <v>92</v>
      </c>
      <c r="V234" s="9" t="s">
        <v>443</v>
      </c>
      <c r="W234" s="9" t="s">
        <v>442</v>
      </c>
    </row>
    <row r="235" spans="1:23">
      <c r="A235" s="9" t="s">
        <v>1002</v>
      </c>
      <c r="B235" s="9">
        <f ca="1">+IF(A235=WORLDCUP!$BI$112,1,0)</f>
        <v>0</v>
      </c>
      <c r="C235" s="9" t="str">
        <f ca="1">+WORLDCUP!BD65</f>
        <v>Arabia Saudita</v>
      </c>
      <c r="D235" s="9" t="str">
        <f ca="1">+WORLDCUP!BD64</f>
        <v>Egipto</v>
      </c>
      <c r="E235" s="9" t="str">
        <f ca="1">+WORLDCUP!BD67</f>
        <v>Argelia</v>
      </c>
      <c r="F235" s="9" t="str">
        <f ca="1">+WORLDCUP!BD60</f>
        <v>Marruecos</v>
      </c>
      <c r="G235" s="9" t="str">
        <f ca="1">+WORLDCUP!BD58</f>
        <v>República Checa</v>
      </c>
      <c r="H235" s="9" t="str">
        <f ca="1">+WORLDCUP!BD61</f>
        <v>Paraguay</v>
      </c>
      <c r="I235" s="9" t="str">
        <f ca="1">+WORLDCUP!BD69</f>
        <v>Ghana</v>
      </c>
      <c r="J235" s="9" t="str">
        <f ca="1">+WORLDCUP!BD66</f>
        <v>Senegal</v>
      </c>
      <c r="N235" s="9" t="s">
        <v>1002</v>
      </c>
      <c r="O235" s="9">
        <v>234</v>
      </c>
      <c r="P235" s="9" t="s">
        <v>436</v>
      </c>
      <c r="Q235" s="9" t="s">
        <v>435</v>
      </c>
      <c r="R235" s="9" t="s">
        <v>441</v>
      </c>
      <c r="S235" s="9" t="s">
        <v>91</v>
      </c>
      <c r="T235" s="9" t="s">
        <v>89</v>
      </c>
      <c r="U235" s="9" t="s">
        <v>92</v>
      </c>
      <c r="V235" s="9" t="s">
        <v>443</v>
      </c>
      <c r="W235" s="9" t="s">
        <v>440</v>
      </c>
    </row>
    <row r="236" spans="1:23">
      <c r="A236" s="9" t="s">
        <v>1001</v>
      </c>
      <c r="B236" s="9">
        <f ca="1">+IF(A236=WORLDCUP!$BI$112,1,0)</f>
        <v>0</v>
      </c>
      <c r="C236" s="9" t="str">
        <f ca="1">+WORLDCUP!BD65</f>
        <v>Arabia Saudita</v>
      </c>
      <c r="D236" s="9" t="str">
        <f ca="1">+WORLDCUP!BD64</f>
        <v>Egipto</v>
      </c>
      <c r="E236" s="9" t="str">
        <f ca="1">+WORLDCUP!BD67</f>
        <v>Argelia</v>
      </c>
      <c r="F236" s="9" t="str">
        <f ca="1">+WORLDCUP!BD60</f>
        <v>Marruecos</v>
      </c>
      <c r="G236" s="9" t="str">
        <f ca="1">+WORLDCUP!BD58</f>
        <v>República Checa</v>
      </c>
      <c r="H236" s="9" t="str">
        <f ca="1">+WORLDCUP!BD61</f>
        <v>Paraguay</v>
      </c>
      <c r="I236" s="9" t="str">
        <f ca="1">+WORLDCUP!BD66</f>
        <v>Senegal</v>
      </c>
      <c r="J236" s="9" t="str">
        <f ca="1">+WORLDCUP!BD68</f>
        <v>RD Congo</v>
      </c>
      <c r="N236" s="9" t="s">
        <v>1001</v>
      </c>
      <c r="O236" s="9">
        <v>235</v>
      </c>
      <c r="P236" s="9" t="s">
        <v>436</v>
      </c>
      <c r="Q236" s="9" t="s">
        <v>435</v>
      </c>
      <c r="R236" s="9" t="s">
        <v>441</v>
      </c>
      <c r="S236" s="9" t="s">
        <v>91</v>
      </c>
      <c r="T236" s="9" t="s">
        <v>89</v>
      </c>
      <c r="U236" s="9" t="s">
        <v>92</v>
      </c>
      <c r="V236" s="9" t="s">
        <v>440</v>
      </c>
      <c r="W236" s="9" t="s">
        <v>442</v>
      </c>
    </row>
    <row r="237" spans="1:23">
      <c r="A237" s="9" t="s">
        <v>1000</v>
      </c>
      <c r="B237" s="9">
        <f ca="1">+IF(A237=WORLDCUP!$BI$112,1,0)</f>
        <v>0</v>
      </c>
      <c r="C237" s="9" t="str">
        <f ca="1">+WORLDCUP!BD60</f>
        <v>Marruecos</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9" t="s">
        <v>1000</v>
      </c>
      <c r="O237" s="9">
        <v>236</v>
      </c>
      <c r="P237" s="9" t="s">
        <v>91</v>
      </c>
      <c r="Q237" s="9" t="s">
        <v>441</v>
      </c>
      <c r="R237" s="9" t="s">
        <v>440</v>
      </c>
      <c r="S237" s="9" t="s">
        <v>92</v>
      </c>
      <c r="T237" s="9" t="s">
        <v>89</v>
      </c>
      <c r="U237" s="9" t="s">
        <v>94</v>
      </c>
      <c r="V237" s="9" t="s">
        <v>443</v>
      </c>
      <c r="W237" s="9" t="s">
        <v>442</v>
      </c>
    </row>
    <row r="238" spans="1:23">
      <c r="A238" s="9" t="s">
        <v>999</v>
      </c>
      <c r="B238" s="9">
        <f ca="1">+IF(A238=WORLDCUP!$BI$112,1,0)</f>
        <v>0</v>
      </c>
      <c r="C238" s="9" t="str">
        <f ca="1">+WORLDCUP!BD65</f>
        <v>Arabia Saudita</v>
      </c>
      <c r="D238" s="9" t="str">
        <f ca="1">+WORLDCUP!BD67</f>
        <v>Argelia</v>
      </c>
      <c r="E238" s="9" t="str">
        <f ca="1">+WORLDCUP!BD63</f>
        <v>Suecia</v>
      </c>
      <c r="F238" s="9" t="str">
        <f ca="1">+WORLDCUP!BD60</f>
        <v>Marruecos</v>
      </c>
      <c r="G238" s="9" t="str">
        <f ca="1">+WORLDCUP!BD58</f>
        <v>República Checa</v>
      </c>
      <c r="H238" s="9" t="str">
        <f ca="1">+WORLDCUP!BD61</f>
        <v>Paraguay</v>
      </c>
      <c r="I238" s="9" t="str">
        <f ca="1">+WORLDCUP!BD69</f>
        <v>Ghana</v>
      </c>
      <c r="J238" s="9" t="str">
        <f ca="1">+WORLDCUP!BD68</f>
        <v>RD Congo</v>
      </c>
      <c r="N238" s="9" t="s">
        <v>999</v>
      </c>
      <c r="O238" s="9">
        <v>237</v>
      </c>
      <c r="P238" s="9" t="s">
        <v>436</v>
      </c>
      <c r="Q238" s="9" t="s">
        <v>441</v>
      </c>
      <c r="R238" s="9" t="s">
        <v>94</v>
      </c>
      <c r="S238" s="9" t="s">
        <v>91</v>
      </c>
      <c r="T238" s="9" t="s">
        <v>89</v>
      </c>
      <c r="U238" s="9" t="s">
        <v>92</v>
      </c>
      <c r="V238" s="9" t="s">
        <v>443</v>
      </c>
      <c r="W238" s="9" t="s">
        <v>442</v>
      </c>
    </row>
    <row r="239" spans="1:23">
      <c r="A239" s="9" t="s">
        <v>998</v>
      </c>
      <c r="B239" s="9">
        <f ca="1">+IF(A239=WORLDCUP!$BI$112,1,0)</f>
        <v>0</v>
      </c>
      <c r="C239" s="9" t="str">
        <f ca="1">+WORLDCUP!BD65</f>
        <v>Arabia Saudita</v>
      </c>
      <c r="D239" s="9" t="str">
        <f ca="1">+WORLDCUP!BD63</f>
        <v>Suecia</v>
      </c>
      <c r="E239" s="9" t="str">
        <f ca="1">+WORLDCUP!BD66</f>
        <v>Senegal</v>
      </c>
      <c r="F239" s="9" t="str">
        <f ca="1">+WORLDCUP!BD60</f>
        <v>Marruecos</v>
      </c>
      <c r="G239" s="9" t="str">
        <f ca="1">+WORLDCUP!BD58</f>
        <v>República Checa</v>
      </c>
      <c r="H239" s="9" t="str">
        <f ca="1">+WORLDCUP!BD61</f>
        <v>Paraguay</v>
      </c>
      <c r="I239" s="9" t="str">
        <f ca="1">+WORLDCUP!BD69</f>
        <v>Ghana</v>
      </c>
      <c r="J239" s="9" t="str">
        <f ca="1">+WORLDCUP!BD68</f>
        <v>RD Congo</v>
      </c>
      <c r="N239" s="9" t="s">
        <v>998</v>
      </c>
      <c r="O239" s="9">
        <v>238</v>
      </c>
      <c r="P239" s="9" t="s">
        <v>436</v>
      </c>
      <c r="Q239" s="9" t="s">
        <v>94</v>
      </c>
      <c r="R239" s="9" t="s">
        <v>440</v>
      </c>
      <c r="S239" s="9" t="s">
        <v>91</v>
      </c>
      <c r="T239" s="9" t="s">
        <v>89</v>
      </c>
      <c r="U239" s="9" t="s">
        <v>92</v>
      </c>
      <c r="V239" s="9" t="s">
        <v>443</v>
      </c>
      <c r="W239" s="9" t="s">
        <v>442</v>
      </c>
    </row>
    <row r="240" spans="1:23">
      <c r="A240" s="9" t="s">
        <v>997</v>
      </c>
      <c r="B240" s="9">
        <f ca="1">+IF(A240=WORLDCUP!$BI$112,1,0)</f>
        <v>0</v>
      </c>
      <c r="C240" s="9" t="str">
        <f ca="1">+WORLDCUP!BD65</f>
        <v>Arabia Saudita</v>
      </c>
      <c r="D240" s="9" t="str">
        <f ca="1">+WORLDCUP!BD67</f>
        <v>Argelia</v>
      </c>
      <c r="E240" s="9" t="str">
        <f ca="1">+WORLDCUP!BD63</f>
        <v>Suecia</v>
      </c>
      <c r="F240" s="9" t="str">
        <f ca="1">+WORLDCUP!BD60</f>
        <v>Marruecos</v>
      </c>
      <c r="G240" s="9" t="str">
        <f ca="1">+WORLDCUP!BD58</f>
        <v>República Checa</v>
      </c>
      <c r="H240" s="9" t="str">
        <f ca="1">+WORLDCUP!BD61</f>
        <v>Paraguay</v>
      </c>
      <c r="I240" s="9" t="str">
        <f ca="1">+WORLDCUP!BD69</f>
        <v>Ghana</v>
      </c>
      <c r="J240" s="9" t="str">
        <f ca="1">+WORLDCUP!BD66</f>
        <v>Senegal</v>
      </c>
      <c r="N240" s="9" t="s">
        <v>997</v>
      </c>
      <c r="O240" s="9">
        <v>239</v>
      </c>
      <c r="P240" s="9" t="s">
        <v>436</v>
      </c>
      <c r="Q240" s="9" t="s">
        <v>441</v>
      </c>
      <c r="R240" s="9" t="s">
        <v>94</v>
      </c>
      <c r="S240" s="9" t="s">
        <v>91</v>
      </c>
      <c r="T240" s="9" t="s">
        <v>89</v>
      </c>
      <c r="U240" s="9" t="s">
        <v>92</v>
      </c>
      <c r="V240" s="9" t="s">
        <v>443</v>
      </c>
      <c r="W240" s="9" t="s">
        <v>440</v>
      </c>
    </row>
    <row r="241" spans="1:23">
      <c r="A241" s="9" t="s">
        <v>996</v>
      </c>
      <c r="B241" s="9">
        <f ca="1">+IF(A241=WORLDCUP!$BI$112,1,0)</f>
        <v>0</v>
      </c>
      <c r="C241" s="9" t="str">
        <f ca="1">+WORLDCUP!BD65</f>
        <v>Arabia Saudita</v>
      </c>
      <c r="D241" s="9" t="str">
        <f ca="1">+WORLDCUP!BD67</f>
        <v>Argelia</v>
      </c>
      <c r="E241" s="9" t="str">
        <f ca="1">+WORLDCUP!BD63</f>
        <v>Suecia</v>
      </c>
      <c r="F241" s="9" t="str">
        <f ca="1">+WORLDCUP!BD60</f>
        <v>Marruecos</v>
      </c>
      <c r="G241" s="9" t="str">
        <f ca="1">+WORLDCUP!BD58</f>
        <v>República Checa</v>
      </c>
      <c r="H241" s="9" t="str">
        <f ca="1">+WORLDCUP!BD61</f>
        <v>Paraguay</v>
      </c>
      <c r="I241" s="9" t="str">
        <f ca="1">+WORLDCUP!BD66</f>
        <v>Senegal</v>
      </c>
      <c r="J241" s="9" t="str">
        <f ca="1">+WORLDCUP!BD68</f>
        <v>RD Congo</v>
      </c>
      <c r="N241" s="9" t="s">
        <v>996</v>
      </c>
      <c r="O241" s="9">
        <v>240</v>
      </c>
      <c r="P241" s="9" t="s">
        <v>436</v>
      </c>
      <c r="Q241" s="9" t="s">
        <v>441</v>
      </c>
      <c r="R241" s="9" t="s">
        <v>94</v>
      </c>
      <c r="S241" s="9" t="s">
        <v>91</v>
      </c>
      <c r="T241" s="9" t="s">
        <v>89</v>
      </c>
      <c r="U241" s="9" t="s">
        <v>92</v>
      </c>
      <c r="V241" s="9" t="s">
        <v>440</v>
      </c>
      <c r="W241" s="9" t="s">
        <v>442</v>
      </c>
    </row>
    <row r="242" spans="1:23">
      <c r="A242" s="9" t="s">
        <v>995</v>
      </c>
      <c r="B242" s="9">
        <f ca="1">+IF(A242=WORLDCUP!$BI$112,1,0)</f>
        <v>0</v>
      </c>
      <c r="C242" s="9" t="str">
        <f ca="1">+WORLDCUP!BD60</f>
        <v>Marruecos</v>
      </c>
      <c r="D242" s="9" t="str">
        <f ca="1">+WORLDCUP!BD64</f>
        <v>Egipto</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9" t="s">
        <v>995</v>
      </c>
      <c r="O242" s="9">
        <v>241</v>
      </c>
      <c r="P242" s="9" t="s">
        <v>91</v>
      </c>
      <c r="Q242" s="9" t="s">
        <v>435</v>
      </c>
      <c r="R242" s="9" t="s">
        <v>441</v>
      </c>
      <c r="S242" s="9" t="s">
        <v>92</v>
      </c>
      <c r="T242" s="9" t="s">
        <v>89</v>
      </c>
      <c r="U242" s="9" t="s">
        <v>94</v>
      </c>
      <c r="V242" s="9" t="s">
        <v>443</v>
      </c>
      <c r="W242" s="9" t="s">
        <v>442</v>
      </c>
    </row>
    <row r="243" spans="1:23">
      <c r="A243" s="9" t="s">
        <v>994</v>
      </c>
      <c r="B243" s="9">
        <f ca="1">+IF(A243=WORLDCUP!$BI$112,1,0)</f>
        <v>0</v>
      </c>
      <c r="C243" s="9" t="str">
        <f ca="1">+WORLDCUP!BD60</f>
        <v>Marruecos</v>
      </c>
      <c r="D243" s="9" t="str">
        <f ca="1">+WORLDCUP!BD64</f>
        <v>Egipto</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9" t="s">
        <v>994</v>
      </c>
      <c r="O243" s="9">
        <v>242</v>
      </c>
      <c r="P243" s="9" t="s">
        <v>91</v>
      </c>
      <c r="Q243" s="9" t="s">
        <v>435</v>
      </c>
      <c r="R243" s="9" t="s">
        <v>440</v>
      </c>
      <c r="S243" s="9" t="s">
        <v>92</v>
      </c>
      <c r="T243" s="9" t="s">
        <v>89</v>
      </c>
      <c r="U243" s="9" t="s">
        <v>94</v>
      </c>
      <c r="V243" s="9" t="s">
        <v>443</v>
      </c>
      <c r="W243" s="9" t="s">
        <v>442</v>
      </c>
    </row>
    <row r="244" spans="1:23">
      <c r="A244" s="9" t="s">
        <v>993</v>
      </c>
      <c r="B244" s="9">
        <f ca="1">+IF(A244=WORLDCUP!$BI$112,1,0)</f>
        <v>0</v>
      </c>
      <c r="C244" s="9" t="str">
        <f ca="1">+WORLDCUP!BD60</f>
        <v>Marruecos</v>
      </c>
      <c r="D244" s="9" t="str">
        <f ca="1">+WORLDCUP!BD64</f>
        <v>Egipto</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9" t="s">
        <v>993</v>
      </c>
      <c r="O244" s="9">
        <v>243</v>
      </c>
      <c r="P244" s="9" t="s">
        <v>91</v>
      </c>
      <c r="Q244" s="9" t="s">
        <v>435</v>
      </c>
      <c r="R244" s="9" t="s">
        <v>441</v>
      </c>
      <c r="S244" s="9" t="s">
        <v>92</v>
      </c>
      <c r="T244" s="9" t="s">
        <v>89</v>
      </c>
      <c r="U244" s="9" t="s">
        <v>94</v>
      </c>
      <c r="V244" s="9" t="s">
        <v>443</v>
      </c>
      <c r="W244" s="9" t="s">
        <v>440</v>
      </c>
    </row>
    <row r="245" spans="1:23">
      <c r="A245" s="9" t="s">
        <v>992</v>
      </c>
      <c r="B245" s="9">
        <f ca="1">+IF(A245=WORLDCUP!$BI$112,1,0)</f>
        <v>0</v>
      </c>
      <c r="C245" s="9" t="str">
        <f ca="1">+WORLDCUP!BD60</f>
        <v>Marruecos</v>
      </c>
      <c r="D245" s="9" t="str">
        <f ca="1">+WORLDCUP!BD64</f>
        <v>Egipto</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9" t="s">
        <v>992</v>
      </c>
      <c r="O245" s="9">
        <v>244</v>
      </c>
      <c r="P245" s="9" t="s">
        <v>91</v>
      </c>
      <c r="Q245" s="9" t="s">
        <v>435</v>
      </c>
      <c r="R245" s="9" t="s">
        <v>441</v>
      </c>
      <c r="S245" s="9" t="s">
        <v>92</v>
      </c>
      <c r="T245" s="9" t="s">
        <v>89</v>
      </c>
      <c r="U245" s="9" t="s">
        <v>94</v>
      </c>
      <c r="V245" s="9" t="s">
        <v>440</v>
      </c>
      <c r="W245" s="9" t="s">
        <v>442</v>
      </c>
    </row>
    <row r="246" spans="1:23">
      <c r="A246" s="9" t="s">
        <v>991</v>
      </c>
      <c r="B246" s="9">
        <f ca="1">+IF(A246=WORLDCUP!$BI$112,1,0)</f>
        <v>0</v>
      </c>
      <c r="C246" s="9" t="str">
        <f ca="1">+WORLDCUP!BD65</f>
        <v>Arabia Saudita</v>
      </c>
      <c r="D246" s="9" t="str">
        <f ca="1">+WORLDCUP!BD64</f>
        <v>Egipto</v>
      </c>
      <c r="E246" s="9" t="str">
        <f ca="1">+WORLDCUP!BD63</f>
        <v>Suecia</v>
      </c>
      <c r="F246" s="9" t="str">
        <f ca="1">+WORLDCUP!BD60</f>
        <v>Marruecos</v>
      </c>
      <c r="G246" s="9" t="str">
        <f ca="1">+WORLDCUP!BD58</f>
        <v>República Checa</v>
      </c>
      <c r="H246" s="9" t="str">
        <f ca="1">+WORLDCUP!BD61</f>
        <v>Paraguay</v>
      </c>
      <c r="I246" s="9" t="str">
        <f ca="1">+WORLDCUP!BD69</f>
        <v>Ghana</v>
      </c>
      <c r="J246" s="9" t="str">
        <f ca="1">+WORLDCUP!BD68</f>
        <v>RD Congo</v>
      </c>
      <c r="N246" s="9" t="s">
        <v>991</v>
      </c>
      <c r="O246" s="9">
        <v>245</v>
      </c>
      <c r="P246" s="9" t="s">
        <v>436</v>
      </c>
      <c r="Q246" s="9" t="s">
        <v>435</v>
      </c>
      <c r="R246" s="9" t="s">
        <v>94</v>
      </c>
      <c r="S246" s="9" t="s">
        <v>91</v>
      </c>
      <c r="T246" s="9" t="s">
        <v>89</v>
      </c>
      <c r="U246" s="9" t="s">
        <v>92</v>
      </c>
      <c r="V246" s="9" t="s">
        <v>443</v>
      </c>
      <c r="W246" s="9" t="s">
        <v>442</v>
      </c>
    </row>
    <row r="247" spans="1:23">
      <c r="A247" s="9" t="s">
        <v>990</v>
      </c>
      <c r="B247" s="9">
        <f ca="1">+IF(A247=WORLDCUP!$BI$112,1,0)</f>
        <v>0</v>
      </c>
      <c r="C247" s="9" t="str">
        <f ca="1">+WORLDCUP!BD60</f>
        <v>Marruecos</v>
      </c>
      <c r="D247" s="9" t="str">
        <f ca="1">+WORLDCUP!BD64</f>
        <v>Egipto</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c r="A248" s="9" t="s">
        <v>989</v>
      </c>
      <c r="B248" s="9">
        <f ca="1">+IF(A248=WORLDCUP!$BI$112,1,0)</f>
        <v>0</v>
      </c>
      <c r="C248" s="9" t="str">
        <f ca="1">+WORLDCUP!BD65</f>
        <v>Arabia Saudita</v>
      </c>
      <c r="D248" s="9" t="str">
        <f ca="1">+WORLDCUP!BD64</f>
        <v>Egipto</v>
      </c>
      <c r="E248" s="9" t="str">
        <f ca="1">+WORLDCUP!BD67</f>
        <v>Argelia</v>
      </c>
      <c r="F248" s="9" t="str">
        <f ca="1">+WORLDCUP!BD60</f>
        <v>Marruecos</v>
      </c>
      <c r="G248" s="9" t="str">
        <f ca="1">+WORLDCUP!BD58</f>
        <v>República Checa</v>
      </c>
      <c r="H248" s="9" t="str">
        <f ca="1">+WORLDCUP!BD63</f>
        <v>Suecia</v>
      </c>
      <c r="I248" s="9" t="str">
        <f ca="1">+WORLDCUP!BD61</f>
        <v>Paraguay</v>
      </c>
      <c r="J248" s="9" t="str">
        <f ca="1">+WORLDCUP!BD68</f>
        <v>RD Congo</v>
      </c>
      <c r="N248" s="9" t="s">
        <v>989</v>
      </c>
      <c r="O248" s="9">
        <v>247</v>
      </c>
      <c r="P248" s="9" t="s">
        <v>436</v>
      </c>
      <c r="Q248" s="9" t="s">
        <v>435</v>
      </c>
      <c r="R248" s="9" t="s">
        <v>441</v>
      </c>
      <c r="S248" s="9" t="s">
        <v>91</v>
      </c>
      <c r="T248" s="9" t="s">
        <v>89</v>
      </c>
      <c r="U248" s="9" t="s">
        <v>94</v>
      </c>
      <c r="V248" s="9" t="s">
        <v>92</v>
      </c>
      <c r="W248" s="9" t="s">
        <v>442</v>
      </c>
    </row>
    <row r="249" spans="1:23">
      <c r="A249" s="9" t="s">
        <v>988</v>
      </c>
      <c r="B249" s="9">
        <f ca="1">+IF(A249=WORLDCUP!$BI$112,1,0)</f>
        <v>0</v>
      </c>
      <c r="C249" s="9" t="str">
        <f ca="1">+WORLDCUP!BD65</f>
        <v>Arabia Saudita</v>
      </c>
      <c r="D249" s="9" t="str">
        <f ca="1">+WORLDCUP!BD64</f>
        <v>Egipto</v>
      </c>
      <c r="E249" s="9" t="str">
        <f ca="1">+WORLDCUP!BD63</f>
        <v>Suecia</v>
      </c>
      <c r="F249" s="9" t="str">
        <f ca="1">+WORLDCUP!BD60</f>
        <v>Marruecos</v>
      </c>
      <c r="G249" s="9" t="str">
        <f ca="1">+WORLDCUP!BD58</f>
        <v>República Checa</v>
      </c>
      <c r="H249" s="9" t="str">
        <f ca="1">+WORLDCUP!BD61</f>
        <v>Paraguay</v>
      </c>
      <c r="I249" s="9" t="str">
        <f ca="1">+WORLDCUP!BD69</f>
        <v>Ghana</v>
      </c>
      <c r="J249" s="9" t="str">
        <f ca="1">+WORLDCUP!BD66</f>
        <v>Senegal</v>
      </c>
      <c r="N249" s="9" t="s">
        <v>988</v>
      </c>
      <c r="O249" s="9">
        <v>248</v>
      </c>
      <c r="P249" s="9" t="s">
        <v>436</v>
      </c>
      <c r="Q249" s="9" t="s">
        <v>435</v>
      </c>
      <c r="R249" s="9" t="s">
        <v>94</v>
      </c>
      <c r="S249" s="9" t="s">
        <v>91</v>
      </c>
      <c r="T249" s="9" t="s">
        <v>89</v>
      </c>
      <c r="U249" s="9" t="s">
        <v>92</v>
      </c>
      <c r="V249" s="9" t="s">
        <v>443</v>
      </c>
      <c r="W249" s="9" t="s">
        <v>440</v>
      </c>
    </row>
    <row r="250" spans="1:23">
      <c r="A250" s="9" t="s">
        <v>987</v>
      </c>
      <c r="B250" s="9">
        <f ca="1">+IF(A250=WORLDCUP!$BI$112,1,0)</f>
        <v>0</v>
      </c>
      <c r="C250" s="9" t="str">
        <f ca="1">+WORLDCUP!BD65</f>
        <v>Arabia Saudita</v>
      </c>
      <c r="D250" s="9" t="str">
        <f ca="1">+WORLDCUP!BD64</f>
        <v>Egipto</v>
      </c>
      <c r="E250" s="9" t="str">
        <f ca="1">+WORLDCUP!BD63</f>
        <v>Suecia</v>
      </c>
      <c r="F250" s="9" t="str">
        <f ca="1">+WORLDCUP!BD60</f>
        <v>Marruecos</v>
      </c>
      <c r="G250" s="9" t="str">
        <f ca="1">+WORLDCUP!BD58</f>
        <v>República Checa</v>
      </c>
      <c r="H250" s="9" t="str">
        <f ca="1">+WORLDCUP!BD61</f>
        <v>Paraguay</v>
      </c>
      <c r="I250" s="9" t="str">
        <f ca="1">+WORLDCUP!BD66</f>
        <v>Senegal</v>
      </c>
      <c r="J250" s="9" t="str">
        <f ca="1">+WORLDCUP!BD68</f>
        <v>RD Congo</v>
      </c>
      <c r="N250" s="9" t="s">
        <v>987</v>
      </c>
      <c r="O250" s="9">
        <v>249</v>
      </c>
      <c r="P250" s="9" t="s">
        <v>436</v>
      </c>
      <c r="Q250" s="9" t="s">
        <v>435</v>
      </c>
      <c r="R250" s="9" t="s">
        <v>94</v>
      </c>
      <c r="S250" s="9" t="s">
        <v>91</v>
      </c>
      <c r="T250" s="9" t="s">
        <v>89</v>
      </c>
      <c r="U250" s="9" t="s">
        <v>92</v>
      </c>
      <c r="V250" s="9" t="s">
        <v>440</v>
      </c>
      <c r="W250" s="9" t="s">
        <v>442</v>
      </c>
    </row>
    <row r="251" spans="1:23">
      <c r="A251" s="9" t="s">
        <v>986</v>
      </c>
      <c r="B251" s="9">
        <f ca="1">+IF(A251=WORLDCUP!$BI$112,1,0)</f>
        <v>0</v>
      </c>
      <c r="C251" s="9" t="str">
        <f ca="1">+WORLDCUP!BD65</f>
        <v>Arabia Saudita</v>
      </c>
      <c r="D251" s="9" t="str">
        <f ca="1">+WORLDCUP!BD64</f>
        <v>Egipto</v>
      </c>
      <c r="E251" s="9" t="str">
        <f ca="1">+WORLDCUP!BD67</f>
        <v>Argelia</v>
      </c>
      <c r="F251" s="9" t="str">
        <f ca="1">+WORLDCUP!BD60</f>
        <v>Marruecos</v>
      </c>
      <c r="G251" s="9" t="str">
        <f ca="1">+WORLDCUP!BD58</f>
        <v>República Checa</v>
      </c>
      <c r="H251" s="9" t="str">
        <f ca="1">+WORLDCUP!BD63</f>
        <v>Suecia</v>
      </c>
      <c r="I251" s="9" t="str">
        <f ca="1">+WORLDCUP!BD61</f>
        <v>Paraguay</v>
      </c>
      <c r="J251" s="9" t="str">
        <f ca="1">+WORLDCUP!BD66</f>
        <v>Senegal</v>
      </c>
      <c r="N251" s="9" t="s">
        <v>986</v>
      </c>
      <c r="O251" s="9">
        <v>250</v>
      </c>
      <c r="P251" s="9" t="s">
        <v>436</v>
      </c>
      <c r="Q251" s="9" t="s">
        <v>435</v>
      </c>
      <c r="R251" s="9" t="s">
        <v>441</v>
      </c>
      <c r="S251" s="9" t="s">
        <v>91</v>
      </c>
      <c r="T251" s="9" t="s">
        <v>89</v>
      </c>
      <c r="U251" s="9" t="s">
        <v>94</v>
      </c>
      <c r="V251" s="9" t="s">
        <v>92</v>
      </c>
      <c r="W251" s="9" t="s">
        <v>440</v>
      </c>
    </row>
    <row r="252" spans="1:23">
      <c r="A252" s="9" t="s">
        <v>985</v>
      </c>
      <c r="B252" s="9">
        <f ca="1">+IF(A252=WORLDCUP!$BI$112,1,0)</f>
        <v>0</v>
      </c>
      <c r="C252" s="9" t="str">
        <f ca="1">+WORLDCUP!BD62</f>
        <v>Ecuador</v>
      </c>
      <c r="D252" s="9" t="str">
        <f ca="1">+WORLDCUP!BD67</f>
        <v>Argelia</v>
      </c>
      <c r="E252" s="9" t="str">
        <f ca="1">+WORLDCUP!BD66</f>
        <v>Senegal</v>
      </c>
      <c r="F252" s="9" t="str">
        <f ca="1">+WORLDCUP!BD60</f>
        <v>Marruecos</v>
      </c>
      <c r="G252" s="9" t="str">
        <f ca="1">+WORLDCUP!BD58</f>
        <v>República Checa</v>
      </c>
      <c r="H252" s="9" t="str">
        <f ca="1">+WORLDCUP!BD61</f>
        <v>Paraguay</v>
      </c>
      <c r="I252" s="9" t="str">
        <f ca="1">+WORLDCUP!BD69</f>
        <v>Ghana</v>
      </c>
      <c r="J252" s="9" t="str">
        <f ca="1">+WORLDCUP!BD68</f>
        <v>RD Congo</v>
      </c>
      <c r="N252" s="9" t="s">
        <v>985</v>
      </c>
      <c r="O252" s="9">
        <v>251</v>
      </c>
      <c r="P252" s="9" t="s">
        <v>93</v>
      </c>
      <c r="Q252" s="9" t="s">
        <v>441</v>
      </c>
      <c r="R252" s="9" t="s">
        <v>440</v>
      </c>
      <c r="S252" s="9" t="s">
        <v>91</v>
      </c>
      <c r="T252" s="9" t="s">
        <v>89</v>
      </c>
      <c r="U252" s="9" t="s">
        <v>92</v>
      </c>
      <c r="V252" s="9" t="s">
        <v>443</v>
      </c>
      <c r="W252" s="9" t="s">
        <v>442</v>
      </c>
    </row>
    <row r="253" spans="1:23">
      <c r="A253" s="9" t="s">
        <v>984</v>
      </c>
      <c r="B253" s="9">
        <f ca="1">+IF(A253=WORLDCUP!$BI$112,1,0)</f>
        <v>0</v>
      </c>
      <c r="C253" s="9" t="str">
        <f ca="1">+WORLDCUP!BD65</f>
        <v>Arabia Saudita</v>
      </c>
      <c r="D253" s="9" t="str">
        <f ca="1">+WORLDCUP!BD67</f>
        <v>Argelia</v>
      </c>
      <c r="E253" s="9" t="str">
        <f ca="1">+WORLDCUP!BD62</f>
        <v>Ecuador</v>
      </c>
      <c r="F253" s="9" t="str">
        <f ca="1">+WORLDCUP!BD60</f>
        <v>Marruecos</v>
      </c>
      <c r="G253" s="9" t="str">
        <f ca="1">+WORLDCUP!BD58</f>
        <v>República Checa</v>
      </c>
      <c r="H253" s="9" t="str">
        <f ca="1">+WORLDCUP!BD61</f>
        <v>Paraguay</v>
      </c>
      <c r="I253" s="9" t="str">
        <f ca="1">+WORLDCUP!BD69</f>
        <v>Ghana</v>
      </c>
      <c r="J253" s="9" t="str">
        <f ca="1">+WORLDCUP!BD68</f>
        <v>RD Congo</v>
      </c>
      <c r="N253" s="9" t="s">
        <v>984</v>
      </c>
      <c r="O253" s="9">
        <v>252</v>
      </c>
      <c r="P253" s="9" t="s">
        <v>436</v>
      </c>
      <c r="Q253" s="9" t="s">
        <v>441</v>
      </c>
      <c r="R253" s="9" t="s">
        <v>93</v>
      </c>
      <c r="S253" s="9" t="s">
        <v>91</v>
      </c>
      <c r="T253" s="9" t="s">
        <v>89</v>
      </c>
      <c r="U253" s="9" t="s">
        <v>92</v>
      </c>
      <c r="V253" s="9" t="s">
        <v>443</v>
      </c>
      <c r="W253" s="9" t="s">
        <v>442</v>
      </c>
    </row>
    <row r="254" spans="1:23">
      <c r="A254" s="9" t="s">
        <v>983</v>
      </c>
      <c r="B254" s="9">
        <f ca="1">+IF(A254=WORLDCUP!$BI$112,1,0)</f>
        <v>0</v>
      </c>
      <c r="C254" s="9" t="str">
        <f ca="1">+WORLDCUP!BD65</f>
        <v>Arabia Saudita</v>
      </c>
      <c r="D254" s="9" t="str">
        <f ca="1">+WORLDCUP!BD62</f>
        <v>Ecuador</v>
      </c>
      <c r="E254" s="9" t="str">
        <f ca="1">+WORLDCUP!BD66</f>
        <v>Senegal</v>
      </c>
      <c r="F254" s="9" t="str">
        <f ca="1">+WORLDCUP!BD60</f>
        <v>Marruecos</v>
      </c>
      <c r="G254" s="9" t="str">
        <f ca="1">+WORLDCUP!BD58</f>
        <v>República Checa</v>
      </c>
      <c r="H254" s="9" t="str">
        <f ca="1">+WORLDCUP!BD61</f>
        <v>Paraguay</v>
      </c>
      <c r="I254" s="9" t="str">
        <f ca="1">+WORLDCUP!BD69</f>
        <v>Ghana</v>
      </c>
      <c r="J254" s="9" t="str">
        <f ca="1">+WORLDCUP!BD68</f>
        <v>RD Congo</v>
      </c>
      <c r="N254" s="9" t="s">
        <v>983</v>
      </c>
      <c r="O254" s="9">
        <v>253</v>
      </c>
      <c r="P254" s="9" t="s">
        <v>436</v>
      </c>
      <c r="Q254" s="9" t="s">
        <v>93</v>
      </c>
      <c r="R254" s="9" t="s">
        <v>440</v>
      </c>
      <c r="S254" s="9" t="s">
        <v>91</v>
      </c>
      <c r="T254" s="9" t="s">
        <v>89</v>
      </c>
      <c r="U254" s="9" t="s">
        <v>92</v>
      </c>
      <c r="V254" s="9" t="s">
        <v>443</v>
      </c>
      <c r="W254" s="9" t="s">
        <v>442</v>
      </c>
    </row>
    <row r="255" spans="1:23">
      <c r="A255" s="9" t="s">
        <v>982</v>
      </c>
      <c r="B255" s="9">
        <f ca="1">+IF(A255=WORLDCUP!$BI$112,1,0)</f>
        <v>0</v>
      </c>
      <c r="C255" s="9" t="str">
        <f ca="1">+WORLDCUP!BD65</f>
        <v>Arabia Saudita</v>
      </c>
      <c r="D255" s="9" t="str">
        <f ca="1">+WORLDCUP!BD67</f>
        <v>Argelia</v>
      </c>
      <c r="E255" s="9" t="str">
        <f ca="1">+WORLDCUP!BD62</f>
        <v>Ecuador</v>
      </c>
      <c r="F255" s="9" t="str">
        <f ca="1">+WORLDCUP!BD60</f>
        <v>Marruecos</v>
      </c>
      <c r="G255" s="9" t="str">
        <f ca="1">+WORLDCUP!BD58</f>
        <v>República Checa</v>
      </c>
      <c r="H255" s="9" t="str">
        <f ca="1">+WORLDCUP!BD61</f>
        <v>Paraguay</v>
      </c>
      <c r="I255" s="9" t="str">
        <f ca="1">+WORLDCUP!BD69</f>
        <v>Ghana</v>
      </c>
      <c r="J255" s="9" t="str">
        <f ca="1">+WORLDCUP!BD66</f>
        <v>Senegal</v>
      </c>
      <c r="N255" s="9" t="s">
        <v>982</v>
      </c>
      <c r="O255" s="9">
        <v>254</v>
      </c>
      <c r="P255" s="9" t="s">
        <v>436</v>
      </c>
      <c r="Q255" s="9" t="s">
        <v>441</v>
      </c>
      <c r="R255" s="9" t="s">
        <v>93</v>
      </c>
      <c r="S255" s="9" t="s">
        <v>91</v>
      </c>
      <c r="T255" s="9" t="s">
        <v>89</v>
      </c>
      <c r="U255" s="9" t="s">
        <v>92</v>
      </c>
      <c r="V255" s="9" t="s">
        <v>443</v>
      </c>
      <c r="W255" s="9" t="s">
        <v>440</v>
      </c>
    </row>
    <row r="256" spans="1:23">
      <c r="A256" s="9" t="s">
        <v>981</v>
      </c>
      <c r="B256" s="9">
        <f ca="1">+IF(A256=WORLDCUP!$BI$112,1,0)</f>
        <v>0</v>
      </c>
      <c r="C256" s="9" t="str">
        <f ca="1">+WORLDCUP!BD65</f>
        <v>Arabia Saudita</v>
      </c>
      <c r="D256" s="9" t="str">
        <f ca="1">+WORLDCUP!BD67</f>
        <v>Argelia</v>
      </c>
      <c r="E256" s="9" t="str">
        <f ca="1">+WORLDCUP!BD62</f>
        <v>Ecuador</v>
      </c>
      <c r="F256" s="9" t="str">
        <f ca="1">+WORLDCUP!BD60</f>
        <v>Marruecos</v>
      </c>
      <c r="G256" s="9" t="str">
        <f ca="1">+WORLDCUP!BD58</f>
        <v>República Checa</v>
      </c>
      <c r="H256" s="9" t="str">
        <f ca="1">+WORLDCUP!BD61</f>
        <v>Paraguay</v>
      </c>
      <c r="I256" s="9" t="str">
        <f ca="1">+WORLDCUP!BD66</f>
        <v>Senegal</v>
      </c>
      <c r="J256" s="9" t="str">
        <f ca="1">+WORLDCUP!BD68</f>
        <v>RD Congo</v>
      </c>
      <c r="N256" s="9" t="s">
        <v>981</v>
      </c>
      <c r="O256" s="9">
        <v>255</v>
      </c>
      <c r="P256" s="9" t="s">
        <v>436</v>
      </c>
      <c r="Q256" s="9" t="s">
        <v>441</v>
      </c>
      <c r="R256" s="9" t="s">
        <v>93</v>
      </c>
      <c r="S256" s="9" t="s">
        <v>91</v>
      </c>
      <c r="T256" s="9" t="s">
        <v>89</v>
      </c>
      <c r="U256" s="9" t="s">
        <v>92</v>
      </c>
      <c r="V256" s="9" t="s">
        <v>440</v>
      </c>
      <c r="W256" s="9" t="s">
        <v>442</v>
      </c>
    </row>
    <row r="257" spans="1:23">
      <c r="A257" s="9" t="s">
        <v>980</v>
      </c>
      <c r="B257" s="9">
        <f ca="1">+IF(A257=WORLDCUP!$BI$112,1,0)</f>
        <v>0</v>
      </c>
      <c r="C257" s="9" t="str">
        <f ca="1">+WORLDCUP!BD62</f>
        <v>Ecuador</v>
      </c>
      <c r="D257" s="9" t="str">
        <f ca="1">+WORLDCUP!BD64</f>
        <v>Egipto</v>
      </c>
      <c r="E257" s="9" t="str">
        <f ca="1">+WORLDCUP!BD67</f>
        <v>Argelia</v>
      </c>
      <c r="F257" s="9" t="str">
        <f ca="1">+WORLDCUP!BD60</f>
        <v>Marruecos</v>
      </c>
      <c r="G257" s="9" t="str">
        <f ca="1">+WORLDCUP!BD58</f>
        <v>República Checa</v>
      </c>
      <c r="H257" s="9" t="str">
        <f ca="1">+WORLDCUP!BD61</f>
        <v>Paraguay</v>
      </c>
      <c r="I257" s="9" t="str">
        <f ca="1">+WORLDCUP!BD69</f>
        <v>Ghana</v>
      </c>
      <c r="J257" s="9" t="str">
        <f ca="1">+WORLDCUP!BD68</f>
        <v>RD Congo</v>
      </c>
      <c r="N257" s="9" t="s">
        <v>980</v>
      </c>
      <c r="O257" s="9">
        <v>256</v>
      </c>
      <c r="P257" s="9" t="s">
        <v>93</v>
      </c>
      <c r="Q257" s="9" t="s">
        <v>435</v>
      </c>
      <c r="R257" s="9" t="s">
        <v>441</v>
      </c>
      <c r="S257" s="9" t="s">
        <v>91</v>
      </c>
      <c r="T257" s="9" t="s">
        <v>89</v>
      </c>
      <c r="U257" s="9" t="s">
        <v>92</v>
      </c>
      <c r="V257" s="9" t="s">
        <v>443</v>
      </c>
      <c r="W257" s="9" t="s">
        <v>442</v>
      </c>
    </row>
    <row r="258" spans="1:23">
      <c r="A258" s="9" t="s">
        <v>979</v>
      </c>
      <c r="B258" s="9">
        <f ca="1">+IF(A258=WORLDCUP!$BI$112,1,0)</f>
        <v>0</v>
      </c>
      <c r="C258" s="9" t="str">
        <f ca="1">+WORLDCUP!BD62</f>
        <v>Ecuador</v>
      </c>
      <c r="D258" s="9" t="str">
        <f ca="1">+WORLDCUP!BD64</f>
        <v>Egipto</v>
      </c>
      <c r="E258" s="9" t="str">
        <f ca="1">+WORLDCUP!BD66</f>
        <v>Senegal</v>
      </c>
      <c r="F258" s="9" t="str">
        <f ca="1">+WORLDCUP!BD60</f>
        <v>Marruecos</v>
      </c>
      <c r="G258" s="9" t="str">
        <f ca="1">+WORLDCUP!BD58</f>
        <v>República Checa</v>
      </c>
      <c r="H258" s="9" t="str">
        <f ca="1">+WORLDCUP!BD61</f>
        <v>Paraguay</v>
      </c>
      <c r="I258" s="9" t="str">
        <f ca="1">+WORLDCUP!BD69</f>
        <v>Ghana</v>
      </c>
      <c r="J258" s="9" t="str">
        <f ca="1">+WORLDCUP!BD68</f>
        <v>RD Congo</v>
      </c>
      <c r="N258" s="9" t="s">
        <v>979</v>
      </c>
      <c r="O258" s="9">
        <v>257</v>
      </c>
      <c r="P258" s="9" t="s">
        <v>93</v>
      </c>
      <c r="Q258" s="9" t="s">
        <v>435</v>
      </c>
      <c r="R258" s="9" t="s">
        <v>440</v>
      </c>
      <c r="S258" s="9" t="s">
        <v>91</v>
      </c>
      <c r="T258" s="9" t="s">
        <v>89</v>
      </c>
      <c r="U258" s="9" t="s">
        <v>92</v>
      </c>
      <c r="V258" s="9" t="s">
        <v>443</v>
      </c>
      <c r="W258" s="9" t="s">
        <v>442</v>
      </c>
    </row>
    <row r="259" spans="1:23">
      <c r="A259" s="9" t="s">
        <v>978</v>
      </c>
      <c r="B259" s="9">
        <f ca="1">+IF(A259=WORLDCUP!$BI$112,1,0)</f>
        <v>0</v>
      </c>
      <c r="C259" s="9" t="str">
        <f ca="1">+WORLDCUP!BD62</f>
        <v>Ecuador</v>
      </c>
      <c r="D259" s="9" t="str">
        <f ca="1">+WORLDCUP!BD64</f>
        <v>Egipto</v>
      </c>
      <c r="E259" s="9" t="str">
        <f ca="1">+WORLDCUP!BD67</f>
        <v>Argelia</v>
      </c>
      <c r="F259" s="9" t="str">
        <f ca="1">+WORLDCUP!BD60</f>
        <v>Marruecos</v>
      </c>
      <c r="G259" s="9" t="str">
        <f ca="1">+WORLDCUP!BD58</f>
        <v>República Checa</v>
      </c>
      <c r="H259" s="9" t="str">
        <f ca="1">+WORLDCUP!BD61</f>
        <v>Paraguay</v>
      </c>
      <c r="I259" s="9" t="str">
        <f ca="1">+WORLDCUP!BD69</f>
        <v>Ghana</v>
      </c>
      <c r="J259" s="9" t="str">
        <f ca="1">+WORLDCUP!BD66</f>
        <v>Senegal</v>
      </c>
      <c r="N259" s="9" t="s">
        <v>978</v>
      </c>
      <c r="O259" s="9">
        <v>258</v>
      </c>
      <c r="P259" s="9" t="s">
        <v>93</v>
      </c>
      <c r="Q259" s="9" t="s">
        <v>435</v>
      </c>
      <c r="R259" s="9" t="s">
        <v>441</v>
      </c>
      <c r="S259" s="9" t="s">
        <v>91</v>
      </c>
      <c r="T259" s="9" t="s">
        <v>89</v>
      </c>
      <c r="U259" s="9" t="s">
        <v>92</v>
      </c>
      <c r="V259" s="9" t="s">
        <v>443</v>
      </c>
      <c r="W259" s="9" t="s">
        <v>440</v>
      </c>
    </row>
    <row r="260" spans="1:23">
      <c r="A260" s="9" t="s">
        <v>977</v>
      </c>
      <c r="B260" s="9">
        <f ca="1">+IF(A260=WORLDCUP!$BI$112,1,0)</f>
        <v>0</v>
      </c>
      <c r="C260" s="9" t="str">
        <f ca="1">+WORLDCUP!BD62</f>
        <v>Ecuador</v>
      </c>
      <c r="D260" s="9" t="str">
        <f ca="1">+WORLDCUP!BD64</f>
        <v>Egipto</v>
      </c>
      <c r="E260" s="9" t="str">
        <f ca="1">+WORLDCUP!BD67</f>
        <v>Argelia</v>
      </c>
      <c r="F260" s="9" t="str">
        <f ca="1">+WORLDCUP!BD60</f>
        <v>Marruecos</v>
      </c>
      <c r="G260" s="9" t="str">
        <f ca="1">+WORLDCUP!BD58</f>
        <v>República Checa</v>
      </c>
      <c r="H260" s="9" t="str">
        <f ca="1">+WORLDCUP!BD61</f>
        <v>Paraguay</v>
      </c>
      <c r="I260" s="9" t="str">
        <f ca="1">+WORLDCUP!BD66</f>
        <v>Senegal</v>
      </c>
      <c r="J260" s="9" t="str">
        <f ca="1">+WORLDCUP!BD68</f>
        <v>RD Congo</v>
      </c>
      <c r="N260" s="9" t="s">
        <v>977</v>
      </c>
      <c r="O260" s="9">
        <v>259</v>
      </c>
      <c r="P260" s="9" t="s">
        <v>93</v>
      </c>
      <c r="Q260" s="9" t="s">
        <v>435</v>
      </c>
      <c r="R260" s="9" t="s">
        <v>441</v>
      </c>
      <c r="S260" s="9" t="s">
        <v>91</v>
      </c>
      <c r="T260" s="9" t="s">
        <v>89</v>
      </c>
      <c r="U260" s="9" t="s">
        <v>92</v>
      </c>
      <c r="V260" s="9" t="s">
        <v>440</v>
      </c>
      <c r="W260" s="9" t="s">
        <v>442</v>
      </c>
    </row>
    <row r="261" spans="1:23">
      <c r="A261" s="9" t="s">
        <v>976</v>
      </c>
      <c r="B261" s="9">
        <f ca="1">+IF(A261=WORLDCUP!$BI$112,1,0)</f>
        <v>0</v>
      </c>
      <c r="C261" s="9" t="str">
        <f ca="1">+WORLDCUP!BD65</f>
        <v>Arabia Saudita</v>
      </c>
      <c r="D261" s="9" t="str">
        <f ca="1">+WORLDCUP!BD64</f>
        <v>Egipto</v>
      </c>
      <c r="E261" s="9" t="str">
        <f ca="1">+WORLDCUP!BD62</f>
        <v>Ecuador</v>
      </c>
      <c r="F261" s="9" t="str">
        <f ca="1">+WORLDCUP!BD60</f>
        <v>Marruecos</v>
      </c>
      <c r="G261" s="9" t="str">
        <f ca="1">+WORLDCUP!BD58</f>
        <v>República Checa</v>
      </c>
      <c r="H261" s="9" t="str">
        <f ca="1">+WORLDCUP!BD61</f>
        <v>Paraguay</v>
      </c>
      <c r="I261" s="9" t="str">
        <f ca="1">+WORLDCUP!BD69</f>
        <v>Ghana</v>
      </c>
      <c r="J261" s="9" t="str">
        <f ca="1">+WORLDCUP!BD68</f>
        <v>RD Congo</v>
      </c>
      <c r="N261" s="9" t="s">
        <v>976</v>
      </c>
      <c r="O261" s="9">
        <v>260</v>
      </c>
      <c r="P261" s="9" t="s">
        <v>436</v>
      </c>
      <c r="Q261" s="9" t="s">
        <v>435</v>
      </c>
      <c r="R261" s="9" t="s">
        <v>93</v>
      </c>
      <c r="S261" s="9" t="s">
        <v>91</v>
      </c>
      <c r="T261" s="9" t="s">
        <v>89</v>
      </c>
      <c r="U261" s="9" t="s">
        <v>92</v>
      </c>
      <c r="V261" s="9" t="s">
        <v>443</v>
      </c>
      <c r="W261" s="9" t="s">
        <v>442</v>
      </c>
    </row>
    <row r="262" spans="1:23">
      <c r="A262" s="9" t="s">
        <v>975</v>
      </c>
      <c r="B262" s="9">
        <f ca="1">+IF(A262=WORLDCUP!$BI$112,1,0)</f>
        <v>0</v>
      </c>
      <c r="C262" s="9" t="str">
        <f ca="1">+WORLDCUP!BD65</f>
        <v>Arabia Saudita</v>
      </c>
      <c r="D262" s="9" t="str">
        <f ca="1">+WORLDCUP!BD64</f>
        <v>Egipto</v>
      </c>
      <c r="E262" s="9" t="str">
        <f ca="1">+WORLDCUP!BD67</f>
        <v>Argelia</v>
      </c>
      <c r="F262" s="9" t="str">
        <f ca="1">+WORLDCUP!BD60</f>
        <v>Marruecos</v>
      </c>
      <c r="G262" s="9" t="str">
        <f ca="1">+WORLDCUP!BD58</f>
        <v>República Checa</v>
      </c>
      <c r="H262" s="9" t="str">
        <f ca="1">+WORLDCUP!BD61</f>
        <v>Paraguay</v>
      </c>
      <c r="I262" s="9" t="str">
        <f ca="1">+WORLDCUP!BD69</f>
        <v>Ghana</v>
      </c>
      <c r="J262" s="9" t="str">
        <f ca="1">+WORLDCUP!BD62</f>
        <v>Ecuador</v>
      </c>
      <c r="N262" s="9" t="s">
        <v>975</v>
      </c>
      <c r="O262" s="9">
        <v>261</v>
      </c>
      <c r="P262" s="9" t="s">
        <v>436</v>
      </c>
      <c r="Q262" s="9" t="s">
        <v>435</v>
      </c>
      <c r="R262" s="9" t="s">
        <v>441</v>
      </c>
      <c r="S262" s="9" t="s">
        <v>91</v>
      </c>
      <c r="T262" s="9" t="s">
        <v>89</v>
      </c>
      <c r="U262" s="9" t="s">
        <v>92</v>
      </c>
      <c r="V262" s="9" t="s">
        <v>443</v>
      </c>
      <c r="W262" s="9" t="s">
        <v>93</v>
      </c>
    </row>
    <row r="263" spans="1:23">
      <c r="A263" s="9" t="s">
        <v>974</v>
      </c>
      <c r="B263" s="9">
        <f ca="1">+IF(A263=WORLDCUP!$BI$112,1,0)</f>
        <v>0</v>
      </c>
      <c r="C263" s="9" t="str">
        <f ca="1">+WORLDCUP!BD65</f>
        <v>Arabia Saudita</v>
      </c>
      <c r="D263" s="9" t="str">
        <f ca="1">+WORLDCUP!BD64</f>
        <v>Egipto</v>
      </c>
      <c r="E263" s="9" t="str">
        <f ca="1">+WORLDCUP!BD67</f>
        <v>Argelia</v>
      </c>
      <c r="F263" s="9" t="str">
        <f ca="1">+WORLDCUP!BD60</f>
        <v>Marruecos</v>
      </c>
      <c r="G263" s="9" t="str">
        <f ca="1">+WORLDCUP!BD58</f>
        <v>República Checa</v>
      </c>
      <c r="H263" s="9" t="str">
        <f ca="1">+WORLDCUP!BD61</f>
        <v>Paraguay</v>
      </c>
      <c r="I263" s="9" t="str">
        <f ca="1">+WORLDCUP!BD62</f>
        <v>Ecuador</v>
      </c>
      <c r="J263" s="9" t="str">
        <f ca="1">+WORLDCUP!BD68</f>
        <v>RD Congo</v>
      </c>
      <c r="N263" s="9" t="s">
        <v>974</v>
      </c>
      <c r="O263" s="9">
        <v>262</v>
      </c>
      <c r="P263" s="9" t="s">
        <v>436</v>
      </c>
      <c r="Q263" s="9" t="s">
        <v>435</v>
      </c>
      <c r="R263" s="9" t="s">
        <v>441</v>
      </c>
      <c r="S263" s="9" t="s">
        <v>91</v>
      </c>
      <c r="T263" s="9" t="s">
        <v>89</v>
      </c>
      <c r="U263" s="9" t="s">
        <v>92</v>
      </c>
      <c r="V263" s="9" t="s">
        <v>93</v>
      </c>
      <c r="W263" s="9" t="s">
        <v>442</v>
      </c>
    </row>
    <row r="264" spans="1:23">
      <c r="A264" s="9" t="s">
        <v>973</v>
      </c>
      <c r="B264" s="9">
        <f ca="1">+IF(A264=WORLDCUP!$BI$112,1,0)</f>
        <v>0</v>
      </c>
      <c r="C264" s="9" t="str">
        <f ca="1">+WORLDCUP!BD65</f>
        <v>Arabia Saudita</v>
      </c>
      <c r="D264" s="9" t="str">
        <f ca="1">+WORLDCUP!BD64</f>
        <v>Egipto</v>
      </c>
      <c r="E264" s="9" t="str">
        <f ca="1">+WORLDCUP!BD62</f>
        <v>Ecuador</v>
      </c>
      <c r="F264" s="9" t="str">
        <f ca="1">+WORLDCUP!BD60</f>
        <v>Marruecos</v>
      </c>
      <c r="G264" s="9" t="str">
        <f ca="1">+WORLDCUP!BD58</f>
        <v>República Checa</v>
      </c>
      <c r="H264" s="9" t="str">
        <f ca="1">+WORLDCUP!BD61</f>
        <v>Paraguay</v>
      </c>
      <c r="I264" s="9" t="str">
        <f ca="1">+WORLDCUP!BD69</f>
        <v>Ghana</v>
      </c>
      <c r="J264" s="9" t="str">
        <f ca="1">+WORLDCUP!BD66</f>
        <v>Senegal</v>
      </c>
      <c r="N264" s="9" t="s">
        <v>973</v>
      </c>
      <c r="O264" s="9">
        <v>263</v>
      </c>
      <c r="P264" s="9" t="s">
        <v>436</v>
      </c>
      <c r="Q264" s="9" t="s">
        <v>435</v>
      </c>
      <c r="R264" s="9" t="s">
        <v>93</v>
      </c>
      <c r="S264" s="9" t="s">
        <v>91</v>
      </c>
      <c r="T264" s="9" t="s">
        <v>89</v>
      </c>
      <c r="U264" s="9" t="s">
        <v>92</v>
      </c>
      <c r="V264" s="9" t="s">
        <v>443</v>
      </c>
      <c r="W264" s="9" t="s">
        <v>440</v>
      </c>
    </row>
    <row r="265" spans="1:23">
      <c r="A265" s="9" t="s">
        <v>972</v>
      </c>
      <c r="B265" s="9">
        <f ca="1">+IF(A265=WORLDCUP!$BI$112,1,0)</f>
        <v>0</v>
      </c>
      <c r="C265" s="9" t="str">
        <f ca="1">+WORLDCUP!BD65</f>
        <v>Arabia Saudita</v>
      </c>
      <c r="D265" s="9" t="str">
        <f ca="1">+WORLDCUP!BD64</f>
        <v>Egipto</v>
      </c>
      <c r="E265" s="9" t="str">
        <f ca="1">+WORLDCUP!BD62</f>
        <v>Ecuador</v>
      </c>
      <c r="F265" s="9" t="str">
        <f ca="1">+WORLDCUP!BD60</f>
        <v>Marruecos</v>
      </c>
      <c r="G265" s="9" t="str">
        <f ca="1">+WORLDCUP!BD58</f>
        <v>República Checa</v>
      </c>
      <c r="H265" s="9" t="str">
        <f ca="1">+WORLDCUP!BD61</f>
        <v>Paraguay</v>
      </c>
      <c r="I265" s="9" t="str">
        <f ca="1">+WORLDCUP!BD66</f>
        <v>Senegal</v>
      </c>
      <c r="J265" s="9" t="str">
        <f ca="1">+WORLDCUP!BD68</f>
        <v>RD Congo</v>
      </c>
      <c r="N265" s="9" t="s">
        <v>972</v>
      </c>
      <c r="O265" s="9">
        <v>264</v>
      </c>
      <c r="P265" s="9" t="s">
        <v>436</v>
      </c>
      <c r="Q265" s="9" t="s">
        <v>435</v>
      </c>
      <c r="R265" s="9" t="s">
        <v>93</v>
      </c>
      <c r="S265" s="9" t="s">
        <v>91</v>
      </c>
      <c r="T265" s="9" t="s">
        <v>89</v>
      </c>
      <c r="U265" s="9" t="s">
        <v>92</v>
      </c>
      <c r="V265" s="9" t="s">
        <v>440</v>
      </c>
      <c r="W265" s="9" t="s">
        <v>442</v>
      </c>
    </row>
    <row r="266" spans="1:23">
      <c r="A266" s="9" t="s">
        <v>971</v>
      </c>
      <c r="B266" s="9">
        <f ca="1">+IF(A266=WORLDCUP!$BI$112,1,0)</f>
        <v>0</v>
      </c>
      <c r="C266" s="9" t="str">
        <f ca="1">+WORLDCUP!BD65</f>
        <v>Arabia Saudita</v>
      </c>
      <c r="D266" s="9" t="str">
        <f ca="1">+WORLDCUP!BD64</f>
        <v>Egipto</v>
      </c>
      <c r="E266" s="9" t="str">
        <f ca="1">+WORLDCUP!BD67</f>
        <v>Argelia</v>
      </c>
      <c r="F266" s="9" t="str">
        <f ca="1">+WORLDCUP!BD60</f>
        <v>Marruecos</v>
      </c>
      <c r="G266" s="9" t="str">
        <f ca="1">+WORLDCUP!BD58</f>
        <v>República Checa</v>
      </c>
      <c r="H266" s="9" t="str">
        <f ca="1">+WORLDCUP!BD61</f>
        <v>Paraguay</v>
      </c>
      <c r="I266" s="9" t="str">
        <f ca="1">+WORLDCUP!BD62</f>
        <v>Ecuador</v>
      </c>
      <c r="J266" s="9" t="str">
        <f ca="1">+WORLDCUP!BD66</f>
        <v>Senegal</v>
      </c>
      <c r="N266" s="9" t="s">
        <v>971</v>
      </c>
      <c r="O266" s="9">
        <v>265</v>
      </c>
      <c r="P266" s="9" t="s">
        <v>436</v>
      </c>
      <c r="Q266" s="9" t="s">
        <v>435</v>
      </c>
      <c r="R266" s="9" t="s">
        <v>441</v>
      </c>
      <c r="S266" s="9" t="s">
        <v>91</v>
      </c>
      <c r="T266" s="9" t="s">
        <v>89</v>
      </c>
      <c r="U266" s="9" t="s">
        <v>92</v>
      </c>
      <c r="V266" s="9" t="s">
        <v>93</v>
      </c>
      <c r="W266" s="9" t="s">
        <v>440</v>
      </c>
    </row>
    <row r="267" spans="1:23">
      <c r="A267" s="9" t="s">
        <v>970</v>
      </c>
      <c r="B267" s="9">
        <f ca="1">+IF(A267=WORLDCUP!$BI$112,1,0)</f>
        <v>0</v>
      </c>
      <c r="C267" s="9" t="str">
        <f ca="1">+WORLDCUP!BD60</f>
        <v>Marruecos</v>
      </c>
      <c r="D267" s="9" t="str">
        <f ca="1">+WORLDCUP!BD67</f>
        <v>Argelia</v>
      </c>
      <c r="E267" s="9" t="str">
        <f ca="1">+WORLDCUP!BD62</f>
        <v>Ecuador</v>
      </c>
      <c r="F267" s="9" t="str">
        <f ca="1">+WORLDCUP!BD61</f>
        <v>Paraguay</v>
      </c>
      <c r="G267" s="9" t="str">
        <f ca="1">+WORLDCUP!BD58</f>
        <v>República Checa</v>
      </c>
      <c r="H267" s="9" t="str">
        <f ca="1">+WORLDCUP!BD63</f>
        <v>Suecia</v>
      </c>
      <c r="I267" s="9" t="str">
        <f ca="1">+WORLDCUP!BD69</f>
        <v>Ghana</v>
      </c>
      <c r="J267" s="9" t="str">
        <f ca="1">+WORLDCUP!BD68</f>
        <v>RD Congo</v>
      </c>
      <c r="N267" s="9" t="s">
        <v>970</v>
      </c>
      <c r="O267" s="9">
        <v>266</v>
      </c>
      <c r="P267" s="9" t="s">
        <v>91</v>
      </c>
      <c r="Q267" s="9" t="s">
        <v>441</v>
      </c>
      <c r="R267" s="9" t="s">
        <v>93</v>
      </c>
      <c r="S267" s="9" t="s">
        <v>92</v>
      </c>
      <c r="T267" s="9" t="s">
        <v>89</v>
      </c>
      <c r="U267" s="9" t="s">
        <v>94</v>
      </c>
      <c r="V267" s="9" t="s">
        <v>443</v>
      </c>
      <c r="W267" s="9" t="s">
        <v>442</v>
      </c>
    </row>
    <row r="268" spans="1:23">
      <c r="A268" s="9" t="s">
        <v>969</v>
      </c>
      <c r="B268" s="9">
        <f ca="1">+IF(A268=WORLDCUP!$BI$112,1,0)</f>
        <v>1</v>
      </c>
      <c r="C268" s="9" t="str">
        <f ca="1">+WORLDCUP!BD60</f>
        <v>Marruecos</v>
      </c>
      <c r="D268" s="9" t="str">
        <f ca="1">+WORLDCUP!BD62</f>
        <v>Ecuador</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9" t="s">
        <v>969</v>
      </c>
      <c r="O268" s="9">
        <v>267</v>
      </c>
      <c r="P268" s="9" t="s">
        <v>91</v>
      </c>
      <c r="Q268" s="9" t="s">
        <v>93</v>
      </c>
      <c r="R268" s="9" t="s">
        <v>440</v>
      </c>
      <c r="S268" s="9" t="s">
        <v>92</v>
      </c>
      <c r="T268" s="9" t="s">
        <v>89</v>
      </c>
      <c r="U268" s="9" t="s">
        <v>94</v>
      </c>
      <c r="V268" s="9" t="s">
        <v>443</v>
      </c>
      <c r="W268" s="9" t="s">
        <v>442</v>
      </c>
    </row>
    <row r="269" spans="1:23">
      <c r="A269" s="9" t="s">
        <v>968</v>
      </c>
      <c r="B269" s="9">
        <f ca="1">+IF(A269=WORLDCUP!$BI$112,1,0)</f>
        <v>0</v>
      </c>
      <c r="C269" s="9" t="str">
        <f ca="1">+WORLDCUP!BD60</f>
        <v>Marruecos</v>
      </c>
      <c r="D269" s="9" t="str">
        <f ca="1">+WORLDCUP!BD67</f>
        <v>Argelia</v>
      </c>
      <c r="E269" s="9" t="str">
        <f ca="1">+WORLDCUP!BD62</f>
        <v>Ecuador</v>
      </c>
      <c r="F269" s="9" t="str">
        <f ca="1">+WORLDCUP!BD61</f>
        <v>Paraguay</v>
      </c>
      <c r="G269" s="9" t="str">
        <f ca="1">+WORLDCUP!BD58</f>
        <v>República Checa</v>
      </c>
      <c r="H269" s="9" t="str">
        <f ca="1">+WORLDCUP!BD63</f>
        <v>Suecia</v>
      </c>
      <c r="I269" s="9" t="str">
        <f ca="1">+WORLDCUP!BD69</f>
        <v>Ghana</v>
      </c>
      <c r="J269" s="9" t="str">
        <f ca="1">+WORLDCUP!BD66</f>
        <v>Senegal</v>
      </c>
      <c r="N269" s="9" t="s">
        <v>968</v>
      </c>
      <c r="O269" s="9">
        <v>268</v>
      </c>
      <c r="P269" s="9" t="s">
        <v>91</v>
      </c>
      <c r="Q269" s="9" t="s">
        <v>441</v>
      </c>
      <c r="R269" s="9" t="s">
        <v>93</v>
      </c>
      <c r="S269" s="9" t="s">
        <v>92</v>
      </c>
      <c r="T269" s="9" t="s">
        <v>89</v>
      </c>
      <c r="U269" s="9" t="s">
        <v>94</v>
      </c>
      <c r="V269" s="9" t="s">
        <v>443</v>
      </c>
      <c r="W269" s="9" t="s">
        <v>440</v>
      </c>
    </row>
    <row r="270" spans="1:23">
      <c r="A270" s="9" t="s">
        <v>967</v>
      </c>
      <c r="B270" s="9">
        <f ca="1">+IF(A270=WORLDCUP!$BI$112,1,0)</f>
        <v>0</v>
      </c>
      <c r="C270" s="9" t="str">
        <f ca="1">+WORLDCUP!BD60</f>
        <v>Marruecos</v>
      </c>
      <c r="D270" s="9" t="str">
        <f ca="1">+WORLDCUP!BD67</f>
        <v>Argelia</v>
      </c>
      <c r="E270" s="9" t="str">
        <f ca="1">+WORLDCUP!BD62</f>
        <v>Ecuador</v>
      </c>
      <c r="F270" s="9" t="str">
        <f ca="1">+WORLDCUP!BD61</f>
        <v>Paraguay</v>
      </c>
      <c r="G270" s="9" t="str">
        <f ca="1">+WORLDCUP!BD58</f>
        <v>República Checa</v>
      </c>
      <c r="H270" s="9" t="str">
        <f ca="1">+WORLDCUP!BD63</f>
        <v>Suecia</v>
      </c>
      <c r="I270" s="9" t="str">
        <f ca="1">+WORLDCUP!BD66</f>
        <v>Senegal</v>
      </c>
      <c r="J270" s="9" t="str">
        <f ca="1">+WORLDCUP!BD68</f>
        <v>RD Congo</v>
      </c>
      <c r="N270" s="9" t="s">
        <v>967</v>
      </c>
      <c r="O270" s="9">
        <v>269</v>
      </c>
      <c r="P270" s="9" t="s">
        <v>91</v>
      </c>
      <c r="Q270" s="9" t="s">
        <v>441</v>
      </c>
      <c r="R270" s="9" t="s">
        <v>93</v>
      </c>
      <c r="S270" s="9" t="s">
        <v>92</v>
      </c>
      <c r="T270" s="9" t="s">
        <v>89</v>
      </c>
      <c r="U270" s="9" t="s">
        <v>94</v>
      </c>
      <c r="V270" s="9" t="s">
        <v>440</v>
      </c>
      <c r="W270" s="9" t="s">
        <v>442</v>
      </c>
    </row>
    <row r="271" spans="1:23">
      <c r="A271" s="9" t="s">
        <v>966</v>
      </c>
      <c r="B271" s="9">
        <f ca="1">+IF(A271=WORLDCUP!$BI$112,1,0)</f>
        <v>0</v>
      </c>
      <c r="C271" s="9" t="str">
        <f ca="1">+WORLDCUP!BD65</f>
        <v>Arabia Saudita</v>
      </c>
      <c r="D271" s="9" t="str">
        <f ca="1">+WORLDCUP!BD62</f>
        <v>Ecuador</v>
      </c>
      <c r="E271" s="9" t="str">
        <f ca="1">+WORLDCUP!BD63</f>
        <v>Suecia</v>
      </c>
      <c r="F271" s="9" t="str">
        <f ca="1">+WORLDCUP!BD60</f>
        <v>Marruecos</v>
      </c>
      <c r="G271" s="9" t="str">
        <f ca="1">+WORLDCUP!BD58</f>
        <v>República Checa</v>
      </c>
      <c r="H271" s="9" t="str">
        <f ca="1">+WORLDCUP!BD61</f>
        <v>Paraguay</v>
      </c>
      <c r="I271" s="9" t="str">
        <f ca="1">+WORLDCUP!BD69</f>
        <v>Ghana</v>
      </c>
      <c r="J271" s="9" t="str">
        <f ca="1">+WORLDCUP!BD68</f>
        <v>RD Congo</v>
      </c>
      <c r="N271" s="9" t="s">
        <v>966</v>
      </c>
      <c r="O271" s="9">
        <v>270</v>
      </c>
      <c r="P271" s="9" t="s">
        <v>436</v>
      </c>
      <c r="Q271" s="9" t="s">
        <v>93</v>
      </c>
      <c r="R271" s="9" t="s">
        <v>94</v>
      </c>
      <c r="S271" s="9" t="s">
        <v>91</v>
      </c>
      <c r="T271" s="9" t="s">
        <v>89</v>
      </c>
      <c r="U271" s="9" t="s">
        <v>92</v>
      </c>
      <c r="V271" s="9" t="s">
        <v>443</v>
      </c>
      <c r="W271" s="9" t="s">
        <v>442</v>
      </c>
    </row>
    <row r="272" spans="1:23">
      <c r="A272" s="9" t="s">
        <v>965</v>
      </c>
      <c r="B272" s="9">
        <f ca="1">+IF(A272=WORLDCUP!$BI$112,1,0)</f>
        <v>0</v>
      </c>
      <c r="C272" s="9" t="str">
        <f ca="1">+WORLDCUP!BD65</f>
        <v>Arabia Saudita</v>
      </c>
      <c r="D272" s="9" t="str">
        <f ca="1">+WORLDCUP!BD67</f>
        <v>Argelia</v>
      </c>
      <c r="E272" s="9" t="str">
        <f ca="1">+WORLDCUP!BD63</f>
        <v>Suecia</v>
      </c>
      <c r="F272" s="9" t="str">
        <f ca="1">+WORLDCUP!BD60</f>
        <v>Marruecos</v>
      </c>
      <c r="G272" s="9" t="str">
        <f ca="1">+WORLDCUP!BD58</f>
        <v>República Checa</v>
      </c>
      <c r="H272" s="9" t="str">
        <f ca="1">+WORLDCUP!BD61</f>
        <v>Paraguay</v>
      </c>
      <c r="I272" s="9" t="str">
        <f ca="1">+WORLDCUP!BD69</f>
        <v>Ghana</v>
      </c>
      <c r="J272" s="9" t="str">
        <f ca="1">+WORLDCUP!BD62</f>
        <v>Ecuador</v>
      </c>
      <c r="N272" s="9" t="s">
        <v>965</v>
      </c>
      <c r="O272" s="9">
        <v>271</v>
      </c>
      <c r="P272" s="9" t="s">
        <v>436</v>
      </c>
      <c r="Q272" s="9" t="s">
        <v>441</v>
      </c>
      <c r="R272" s="9" t="s">
        <v>94</v>
      </c>
      <c r="S272" s="9" t="s">
        <v>91</v>
      </c>
      <c r="T272" s="9" t="s">
        <v>89</v>
      </c>
      <c r="U272" s="9" t="s">
        <v>92</v>
      </c>
      <c r="V272" s="9" t="s">
        <v>443</v>
      </c>
      <c r="W272" s="9" t="s">
        <v>93</v>
      </c>
    </row>
    <row r="273" spans="1:23">
      <c r="A273" s="9" t="s">
        <v>964</v>
      </c>
      <c r="B273" s="9">
        <f ca="1">+IF(A273=WORLDCUP!$BI$112,1,0)</f>
        <v>0</v>
      </c>
      <c r="C273" s="9" t="str">
        <f ca="1">+WORLDCUP!BD65</f>
        <v>Arabia Saudita</v>
      </c>
      <c r="D273" s="9" t="str">
        <f ca="1">+WORLDCUP!BD67</f>
        <v>Argelia</v>
      </c>
      <c r="E273" s="9" t="str">
        <f ca="1">+WORLDCUP!BD62</f>
        <v>Ecuador</v>
      </c>
      <c r="F273" s="9" t="str">
        <f ca="1">+WORLDCUP!BD60</f>
        <v>Marruecos</v>
      </c>
      <c r="G273" s="9" t="str">
        <f ca="1">+WORLDCUP!BD58</f>
        <v>República Checa</v>
      </c>
      <c r="H273" s="9" t="str">
        <f ca="1">+WORLDCUP!BD63</f>
        <v>Suecia</v>
      </c>
      <c r="I273" s="9" t="str">
        <f ca="1">+WORLDCUP!BD61</f>
        <v>Paraguay</v>
      </c>
      <c r="J273" s="9" t="str">
        <f ca="1">+WORLDCUP!BD68</f>
        <v>RD Congo</v>
      </c>
      <c r="N273" s="9" t="s">
        <v>964</v>
      </c>
      <c r="O273" s="9">
        <v>272</v>
      </c>
      <c r="P273" s="9" t="s">
        <v>436</v>
      </c>
      <c r="Q273" s="9" t="s">
        <v>441</v>
      </c>
      <c r="R273" s="9" t="s">
        <v>93</v>
      </c>
      <c r="S273" s="9" t="s">
        <v>91</v>
      </c>
      <c r="T273" s="9" t="s">
        <v>89</v>
      </c>
      <c r="U273" s="9" t="s">
        <v>94</v>
      </c>
      <c r="V273" s="9" t="s">
        <v>92</v>
      </c>
      <c r="W273" s="9" t="s">
        <v>442</v>
      </c>
    </row>
    <row r="274" spans="1:23">
      <c r="A274" s="9" t="s">
        <v>963</v>
      </c>
      <c r="B274" s="9">
        <f ca="1">+IF(A274=WORLDCUP!$BI$112,1,0)</f>
        <v>0</v>
      </c>
      <c r="C274" s="9" t="str">
        <f ca="1">+WORLDCUP!BD65</f>
        <v>Arabia Saudita</v>
      </c>
      <c r="D274" s="9" t="str">
        <f ca="1">+WORLDCUP!BD62</f>
        <v>Ecuador</v>
      </c>
      <c r="E274" s="9" t="str">
        <f ca="1">+WORLDCUP!BD63</f>
        <v>Suecia</v>
      </c>
      <c r="F274" s="9" t="str">
        <f ca="1">+WORLDCUP!BD60</f>
        <v>Marruecos</v>
      </c>
      <c r="G274" s="9" t="str">
        <f ca="1">+WORLDCUP!BD58</f>
        <v>República Checa</v>
      </c>
      <c r="H274" s="9" t="str">
        <f ca="1">+WORLDCUP!BD61</f>
        <v>Paraguay</v>
      </c>
      <c r="I274" s="9" t="str">
        <f ca="1">+WORLDCUP!BD69</f>
        <v>Ghana</v>
      </c>
      <c r="J274" s="9" t="str">
        <f ca="1">+WORLDCUP!BD66</f>
        <v>Senegal</v>
      </c>
      <c r="N274" s="9" t="s">
        <v>963</v>
      </c>
      <c r="O274" s="9">
        <v>273</v>
      </c>
      <c r="P274" s="9" t="s">
        <v>436</v>
      </c>
      <c r="Q274" s="9" t="s">
        <v>93</v>
      </c>
      <c r="R274" s="9" t="s">
        <v>94</v>
      </c>
      <c r="S274" s="9" t="s">
        <v>91</v>
      </c>
      <c r="T274" s="9" t="s">
        <v>89</v>
      </c>
      <c r="U274" s="9" t="s">
        <v>92</v>
      </c>
      <c r="V274" s="9" t="s">
        <v>443</v>
      </c>
      <c r="W274" s="9" t="s">
        <v>440</v>
      </c>
    </row>
    <row r="275" spans="1:23">
      <c r="A275" s="9" t="s">
        <v>962</v>
      </c>
      <c r="B275" s="9">
        <f ca="1">+IF(A275=WORLDCUP!$BI$112,1,0)</f>
        <v>0</v>
      </c>
      <c r="C275" s="9" t="str">
        <f ca="1">+WORLDCUP!BD65</f>
        <v>Arabia Saudita</v>
      </c>
      <c r="D275" s="9" t="str">
        <f ca="1">+WORLDCUP!BD62</f>
        <v>Ecuador</v>
      </c>
      <c r="E275" s="9" t="str">
        <f ca="1">+WORLDCUP!BD63</f>
        <v>Suecia</v>
      </c>
      <c r="F275" s="9" t="str">
        <f ca="1">+WORLDCUP!BD60</f>
        <v>Marruecos</v>
      </c>
      <c r="G275" s="9" t="str">
        <f ca="1">+WORLDCUP!BD58</f>
        <v>República Checa</v>
      </c>
      <c r="H275" s="9" t="str">
        <f ca="1">+WORLDCUP!BD61</f>
        <v>Paraguay</v>
      </c>
      <c r="I275" s="9" t="str">
        <f ca="1">+WORLDCUP!BD66</f>
        <v>Senegal</v>
      </c>
      <c r="J275" s="9" t="str">
        <f ca="1">+WORLDCUP!BD68</f>
        <v>RD Congo</v>
      </c>
      <c r="N275" s="9" t="s">
        <v>962</v>
      </c>
      <c r="O275" s="9">
        <v>274</v>
      </c>
      <c r="P275" s="9" t="s">
        <v>436</v>
      </c>
      <c r="Q275" s="9" t="s">
        <v>93</v>
      </c>
      <c r="R275" s="9" t="s">
        <v>94</v>
      </c>
      <c r="S275" s="9" t="s">
        <v>91</v>
      </c>
      <c r="T275" s="9" t="s">
        <v>89</v>
      </c>
      <c r="U275" s="9" t="s">
        <v>92</v>
      </c>
      <c r="V275" s="9" t="s">
        <v>440</v>
      </c>
      <c r="W275" s="9" t="s">
        <v>442</v>
      </c>
    </row>
    <row r="276" spans="1:23">
      <c r="A276" s="9" t="s">
        <v>961</v>
      </c>
      <c r="B276" s="9">
        <f ca="1">+IF(A276=WORLDCUP!$BI$112,1,0)</f>
        <v>0</v>
      </c>
      <c r="C276" s="9" t="str">
        <f ca="1">+WORLDCUP!BD65</f>
        <v>Arabia Saudita</v>
      </c>
      <c r="D276" s="9" t="str">
        <f ca="1">+WORLDCUP!BD67</f>
        <v>Argelia</v>
      </c>
      <c r="E276" s="9" t="str">
        <f ca="1">+WORLDCUP!BD62</f>
        <v>Ecuador</v>
      </c>
      <c r="F276" s="9" t="str">
        <f ca="1">+WORLDCUP!BD60</f>
        <v>Marruecos</v>
      </c>
      <c r="G276" s="9" t="str">
        <f ca="1">+WORLDCUP!BD58</f>
        <v>República Checa</v>
      </c>
      <c r="H276" s="9" t="str">
        <f ca="1">+WORLDCUP!BD63</f>
        <v>Suecia</v>
      </c>
      <c r="I276" s="9" t="str">
        <f ca="1">+WORLDCUP!BD61</f>
        <v>Paraguay</v>
      </c>
      <c r="J276" s="9" t="str">
        <f ca="1">+WORLDCUP!BD66</f>
        <v>Senegal</v>
      </c>
      <c r="N276" s="9" t="s">
        <v>961</v>
      </c>
      <c r="O276" s="9">
        <v>275</v>
      </c>
      <c r="P276" s="9" t="s">
        <v>436</v>
      </c>
      <c r="Q276" s="9" t="s">
        <v>441</v>
      </c>
      <c r="R276" s="9" t="s">
        <v>93</v>
      </c>
      <c r="S276" s="9" t="s">
        <v>91</v>
      </c>
      <c r="T276" s="9" t="s">
        <v>89</v>
      </c>
      <c r="U276" s="9" t="s">
        <v>94</v>
      </c>
      <c r="V276" s="9" t="s">
        <v>92</v>
      </c>
      <c r="W276" s="9" t="s">
        <v>440</v>
      </c>
    </row>
    <row r="277" spans="1:23">
      <c r="A277" s="9" t="s">
        <v>960</v>
      </c>
      <c r="B277" s="9">
        <f ca="1">+IF(A277=WORLDCUP!$BI$112,1,0)</f>
        <v>0</v>
      </c>
      <c r="C277" s="9" t="str">
        <f ca="1">+WORLDCUP!BD60</f>
        <v>Marruecos</v>
      </c>
      <c r="D277" s="9" t="str">
        <f ca="1">+WORLDCUP!BD64</f>
        <v>Egipto</v>
      </c>
      <c r="E277" s="9" t="str">
        <f ca="1">+WORLDCUP!BD62</f>
        <v>Ecuador</v>
      </c>
      <c r="F277" s="9" t="str">
        <f ca="1">+WORLDCUP!BD61</f>
        <v>Paraguay</v>
      </c>
      <c r="G277" s="9" t="str">
        <f ca="1">+WORLDCUP!BD58</f>
        <v>República Checa</v>
      </c>
      <c r="H277" s="9" t="str">
        <f ca="1">+WORLDCUP!BD63</f>
        <v>Suecia</v>
      </c>
      <c r="I277" s="9" t="str">
        <f ca="1">+WORLDCUP!BD69</f>
        <v>Ghana</v>
      </c>
      <c r="J277" s="9" t="str">
        <f ca="1">+WORLDCUP!BD68</f>
        <v>RD Congo</v>
      </c>
      <c r="N277" s="9" t="s">
        <v>960</v>
      </c>
      <c r="O277" s="9">
        <v>276</v>
      </c>
      <c r="P277" s="9" t="s">
        <v>91</v>
      </c>
      <c r="Q277" s="9" t="s">
        <v>435</v>
      </c>
      <c r="R277" s="9" t="s">
        <v>93</v>
      </c>
      <c r="S277" s="9" t="s">
        <v>92</v>
      </c>
      <c r="T277" s="9" t="s">
        <v>89</v>
      </c>
      <c r="U277" s="9" t="s">
        <v>94</v>
      </c>
      <c r="V277" s="9" t="s">
        <v>443</v>
      </c>
      <c r="W277" s="9" t="s">
        <v>442</v>
      </c>
    </row>
    <row r="278" spans="1:23">
      <c r="A278" s="9" t="s">
        <v>586</v>
      </c>
      <c r="B278" s="9">
        <f ca="1">+IF(A278=WORLDCUP!$BI$112,1,0)</f>
        <v>0</v>
      </c>
      <c r="C278" s="9" t="str">
        <f ca="1">+WORLDCUP!BD60</f>
        <v>Marruecos</v>
      </c>
      <c r="D278" s="9" t="str">
        <f ca="1">+WORLDCUP!BD64</f>
        <v>Egipto</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Ecuador</v>
      </c>
      <c r="N278" s="9" t="s">
        <v>586</v>
      </c>
      <c r="O278" s="9">
        <v>277</v>
      </c>
      <c r="P278" s="9" t="s">
        <v>91</v>
      </c>
      <c r="Q278" s="9" t="s">
        <v>435</v>
      </c>
      <c r="R278" s="9" t="s">
        <v>441</v>
      </c>
      <c r="S278" s="9" t="s">
        <v>92</v>
      </c>
      <c r="T278" s="9" t="s">
        <v>89</v>
      </c>
      <c r="U278" s="9" t="s">
        <v>94</v>
      </c>
      <c r="V278" s="9" t="s">
        <v>443</v>
      </c>
      <c r="W278" s="9" t="s">
        <v>93</v>
      </c>
    </row>
    <row r="279" spans="1:23">
      <c r="A279" s="9" t="s">
        <v>585</v>
      </c>
      <c r="B279" s="9">
        <f ca="1">+IF(A279=WORLDCUP!$BI$112,1,0)</f>
        <v>0</v>
      </c>
      <c r="C279" s="9" t="str">
        <f ca="1">+WORLDCUP!BD60</f>
        <v>Marruecos</v>
      </c>
      <c r="D279" s="9" t="str">
        <f ca="1">+WORLDCUP!BD64</f>
        <v>Egipto</v>
      </c>
      <c r="E279" s="9" t="str">
        <f ca="1">+WORLDCUP!BD67</f>
        <v>Argelia</v>
      </c>
      <c r="F279" s="9" t="str">
        <f ca="1">+WORLDCUP!BD61</f>
        <v>Paraguay</v>
      </c>
      <c r="G279" s="9" t="str">
        <f ca="1">+WORLDCUP!BD58</f>
        <v>República Checa</v>
      </c>
      <c r="H279" s="9" t="str">
        <f ca="1">+WORLDCUP!BD63</f>
        <v>Suecia</v>
      </c>
      <c r="I279" s="9" t="str">
        <f ca="1">+WORLDCUP!BD62</f>
        <v>Ecuador</v>
      </c>
      <c r="J279" s="9" t="str">
        <f ca="1">+WORLDCUP!BD68</f>
        <v>RD Congo</v>
      </c>
      <c r="N279" s="9" t="s">
        <v>585</v>
      </c>
      <c r="O279" s="9">
        <v>278</v>
      </c>
      <c r="P279" s="9" t="s">
        <v>91</v>
      </c>
      <c r="Q279" s="9" t="s">
        <v>435</v>
      </c>
      <c r="R279" s="9" t="s">
        <v>441</v>
      </c>
      <c r="S279" s="9" t="s">
        <v>92</v>
      </c>
      <c r="T279" s="9" t="s">
        <v>89</v>
      </c>
      <c r="U279" s="9" t="s">
        <v>94</v>
      </c>
      <c r="V279" s="9" t="s">
        <v>93</v>
      </c>
      <c r="W279" s="9" t="s">
        <v>442</v>
      </c>
    </row>
    <row r="280" spans="1:23">
      <c r="A280" s="9" t="s">
        <v>584</v>
      </c>
      <c r="B280" s="9">
        <f ca="1">+IF(A280=WORLDCUP!$BI$112,1,0)</f>
        <v>0</v>
      </c>
      <c r="C280" s="9" t="str">
        <f ca="1">+WORLDCUP!BD60</f>
        <v>Marruecos</v>
      </c>
      <c r="D280" s="9" t="str">
        <f ca="1">+WORLDCUP!BD64</f>
        <v>Egipto</v>
      </c>
      <c r="E280" s="9" t="str">
        <f ca="1">+WORLDCUP!BD62</f>
        <v>Ecuador</v>
      </c>
      <c r="F280" s="9" t="str">
        <f ca="1">+WORLDCUP!BD61</f>
        <v>Paraguay</v>
      </c>
      <c r="G280" s="9" t="str">
        <f ca="1">+WORLDCUP!BD58</f>
        <v>República Checa</v>
      </c>
      <c r="H280" s="9" t="str">
        <f ca="1">+WORLDCUP!BD63</f>
        <v>Suecia</v>
      </c>
      <c r="I280" s="9" t="str">
        <f ca="1">+WORLDCUP!BD69</f>
        <v>Ghana</v>
      </c>
      <c r="J280" s="9" t="str">
        <f ca="1">+WORLDCUP!BD66</f>
        <v>Senegal</v>
      </c>
      <c r="N280" s="9" t="s">
        <v>584</v>
      </c>
      <c r="O280" s="9">
        <v>279</v>
      </c>
      <c r="P280" s="9" t="s">
        <v>91</v>
      </c>
      <c r="Q280" s="9" t="s">
        <v>435</v>
      </c>
      <c r="R280" s="9" t="s">
        <v>93</v>
      </c>
      <c r="S280" s="9" t="s">
        <v>92</v>
      </c>
      <c r="T280" s="9" t="s">
        <v>89</v>
      </c>
      <c r="U280" s="9" t="s">
        <v>94</v>
      </c>
      <c r="V280" s="9" t="s">
        <v>443</v>
      </c>
      <c r="W280" s="9" t="s">
        <v>440</v>
      </c>
    </row>
    <row r="281" spans="1:23">
      <c r="A281" s="9" t="s">
        <v>583</v>
      </c>
      <c r="B281" s="9">
        <f ca="1">+IF(A281=WORLDCUP!$BI$112,1,0)</f>
        <v>0</v>
      </c>
      <c r="C281" s="9" t="str">
        <f ca="1">+WORLDCUP!BD60</f>
        <v>Marruecos</v>
      </c>
      <c r="D281" s="9" t="str">
        <f ca="1">+WORLDCUP!BD64</f>
        <v>Egipto</v>
      </c>
      <c r="E281" s="9" t="str">
        <f ca="1">+WORLDCUP!BD62</f>
        <v>Ecuador</v>
      </c>
      <c r="F281" s="9" t="str">
        <f ca="1">+WORLDCUP!BD61</f>
        <v>Paraguay</v>
      </c>
      <c r="G281" s="9" t="str">
        <f ca="1">+WORLDCUP!BD58</f>
        <v>República Checa</v>
      </c>
      <c r="H281" s="9" t="str">
        <f ca="1">+WORLDCUP!BD63</f>
        <v>Suecia</v>
      </c>
      <c r="I281" s="9" t="str">
        <f ca="1">+WORLDCUP!BD66</f>
        <v>Senegal</v>
      </c>
      <c r="J281" s="9" t="str">
        <f ca="1">+WORLDCUP!BD68</f>
        <v>RD Congo</v>
      </c>
      <c r="N281" s="9" t="s">
        <v>583</v>
      </c>
      <c r="O281" s="9">
        <v>280</v>
      </c>
      <c r="P281" s="9" t="s">
        <v>91</v>
      </c>
      <c r="Q281" s="9" t="s">
        <v>435</v>
      </c>
      <c r="R281" s="9" t="s">
        <v>93</v>
      </c>
      <c r="S281" s="9" t="s">
        <v>92</v>
      </c>
      <c r="T281" s="9" t="s">
        <v>89</v>
      </c>
      <c r="U281" s="9" t="s">
        <v>94</v>
      </c>
      <c r="V281" s="9" t="s">
        <v>440</v>
      </c>
      <c r="W281" s="9" t="s">
        <v>442</v>
      </c>
    </row>
    <row r="282" spans="1:23">
      <c r="A282" s="9" t="s">
        <v>582</v>
      </c>
      <c r="B282" s="9">
        <f ca="1">+IF(A282=WORLDCUP!$BI$112,1,0)</f>
        <v>0</v>
      </c>
      <c r="C282" s="9" t="str">
        <f ca="1">+WORLDCUP!BD60</f>
        <v>Marruecos</v>
      </c>
      <c r="D282" s="9" t="str">
        <f ca="1">+WORLDCUP!BD64</f>
        <v>Egipto</v>
      </c>
      <c r="E282" s="9" t="str">
        <f ca="1">+WORLDCUP!BD67</f>
        <v>Argelia</v>
      </c>
      <c r="F282" s="9" t="str">
        <f ca="1">+WORLDCUP!BD61</f>
        <v>Paraguay</v>
      </c>
      <c r="G282" s="9" t="str">
        <f ca="1">+WORLDCUP!BD58</f>
        <v>República Checa</v>
      </c>
      <c r="H282" s="9" t="str">
        <f ca="1">+WORLDCUP!BD63</f>
        <v>Suecia</v>
      </c>
      <c r="I282" s="9" t="str">
        <f ca="1">+WORLDCUP!BD62</f>
        <v>Ecuador</v>
      </c>
      <c r="J282" s="9" t="str">
        <f ca="1">+WORLDCUP!BD66</f>
        <v>Senegal</v>
      </c>
      <c r="N282" s="9" t="s">
        <v>582</v>
      </c>
      <c r="O282" s="9">
        <v>281</v>
      </c>
      <c r="P282" s="9" t="s">
        <v>91</v>
      </c>
      <c r="Q282" s="9" t="s">
        <v>435</v>
      </c>
      <c r="R282" s="9" t="s">
        <v>441</v>
      </c>
      <c r="S282" s="9" t="s">
        <v>92</v>
      </c>
      <c r="T282" s="9" t="s">
        <v>89</v>
      </c>
      <c r="U282" s="9" t="s">
        <v>94</v>
      </c>
      <c r="V282" s="9" t="s">
        <v>93</v>
      </c>
      <c r="W282" s="9" t="s">
        <v>440</v>
      </c>
    </row>
    <row r="283" spans="1:23">
      <c r="A283" s="9" t="s">
        <v>581</v>
      </c>
      <c r="B283" s="9">
        <f ca="1">+IF(A283=WORLDCUP!$BI$112,1,0)</f>
        <v>0</v>
      </c>
      <c r="C283" s="9" t="str">
        <f ca="1">+WORLDCUP!BD65</f>
        <v>Arabia Saudita</v>
      </c>
      <c r="D283" s="9" t="str">
        <f ca="1">+WORLDCUP!BD64</f>
        <v>Egipto</v>
      </c>
      <c r="E283" s="9" t="str">
        <f ca="1">+WORLDCUP!BD63</f>
        <v>Suecia</v>
      </c>
      <c r="F283" s="9" t="str">
        <f ca="1">+WORLDCUP!BD60</f>
        <v>Marruecos</v>
      </c>
      <c r="G283" s="9" t="str">
        <f ca="1">+WORLDCUP!BD58</f>
        <v>República Checa</v>
      </c>
      <c r="H283" s="9" t="str">
        <f ca="1">+WORLDCUP!BD61</f>
        <v>Paraguay</v>
      </c>
      <c r="I283" s="9" t="str">
        <f ca="1">+WORLDCUP!BD69</f>
        <v>Ghana</v>
      </c>
      <c r="J283" s="9" t="str">
        <f ca="1">+WORLDCUP!BD62</f>
        <v>Ecuador</v>
      </c>
      <c r="N283" s="9" t="s">
        <v>581</v>
      </c>
      <c r="O283" s="9">
        <v>282</v>
      </c>
      <c r="P283" s="9" t="s">
        <v>436</v>
      </c>
      <c r="Q283" s="9" t="s">
        <v>435</v>
      </c>
      <c r="R283" s="9" t="s">
        <v>94</v>
      </c>
      <c r="S283" s="9" t="s">
        <v>91</v>
      </c>
      <c r="T283" s="9" t="s">
        <v>89</v>
      </c>
      <c r="U283" s="9" t="s">
        <v>92</v>
      </c>
      <c r="V283" s="9" t="s">
        <v>443</v>
      </c>
      <c r="W283" s="9" t="s">
        <v>93</v>
      </c>
    </row>
    <row r="284" spans="1:23">
      <c r="A284" s="9" t="s">
        <v>580</v>
      </c>
      <c r="B284" s="9">
        <f ca="1">+IF(A284=WORLDCUP!$BI$112,1,0)</f>
        <v>0</v>
      </c>
      <c r="C284" s="9" t="str">
        <f ca="1">+WORLDCUP!BD65</f>
        <v>Arabia Saudita</v>
      </c>
      <c r="D284" s="9" t="str">
        <f ca="1">+WORLDCUP!BD64</f>
        <v>Egipto</v>
      </c>
      <c r="E284" s="9" t="str">
        <f ca="1">+WORLDCUP!BD62</f>
        <v>Ecuador</v>
      </c>
      <c r="F284" s="9" t="str">
        <f ca="1">+WORLDCUP!BD60</f>
        <v>Marruecos</v>
      </c>
      <c r="G284" s="9" t="str">
        <f ca="1">+WORLDCUP!BD58</f>
        <v>República Checa</v>
      </c>
      <c r="H284" s="9" t="str">
        <f ca="1">+WORLDCUP!BD63</f>
        <v>Suecia</v>
      </c>
      <c r="I284" s="9" t="str">
        <f ca="1">+WORLDCUP!BD61</f>
        <v>Paraguay</v>
      </c>
      <c r="J284" s="9" t="str">
        <f ca="1">+WORLDCUP!BD68</f>
        <v>RD Congo</v>
      </c>
      <c r="N284" s="9" t="s">
        <v>580</v>
      </c>
      <c r="O284" s="9">
        <v>283</v>
      </c>
      <c r="P284" s="9" t="s">
        <v>436</v>
      </c>
      <c r="Q284" s="9" t="s">
        <v>435</v>
      </c>
      <c r="R284" s="9" t="s">
        <v>93</v>
      </c>
      <c r="S284" s="9" t="s">
        <v>91</v>
      </c>
      <c r="T284" s="9" t="s">
        <v>89</v>
      </c>
      <c r="U284" s="9" t="s">
        <v>94</v>
      </c>
      <c r="V284" s="9" t="s">
        <v>92</v>
      </c>
      <c r="W284" s="9" t="s">
        <v>442</v>
      </c>
    </row>
    <row r="285" spans="1:23">
      <c r="A285" s="9" t="s">
        <v>579</v>
      </c>
      <c r="B285" s="9">
        <f ca="1">+IF(A285=WORLDCUP!$BI$112,1,0)</f>
        <v>0</v>
      </c>
      <c r="C285" s="9" t="str">
        <f ca="1">+WORLDCUP!BD65</f>
        <v>Arabia Saudita</v>
      </c>
      <c r="D285" s="9" t="str">
        <f ca="1">+WORLDCUP!BD64</f>
        <v>Egipto</v>
      </c>
      <c r="E285" s="9" t="str">
        <f ca="1">+WORLDCUP!BD67</f>
        <v>Argelia</v>
      </c>
      <c r="F285" s="9" t="str">
        <f ca="1">+WORLDCUP!BD60</f>
        <v>Marruecos</v>
      </c>
      <c r="G285" s="9" t="str">
        <f ca="1">+WORLDCUP!BD58</f>
        <v>República Checa</v>
      </c>
      <c r="H285" s="9" t="str">
        <f ca="1">+WORLDCUP!BD63</f>
        <v>Suecia</v>
      </c>
      <c r="I285" s="9" t="str">
        <f ca="1">+WORLDCUP!BD61</f>
        <v>Paraguay</v>
      </c>
      <c r="J285" s="9" t="str">
        <f ca="1">+WORLDCUP!BD62</f>
        <v>Ecuador</v>
      </c>
      <c r="N285" s="9" t="s">
        <v>579</v>
      </c>
      <c r="O285" s="9">
        <v>284</v>
      </c>
      <c r="P285" s="9" t="s">
        <v>436</v>
      </c>
      <c r="Q285" s="9" t="s">
        <v>435</v>
      </c>
      <c r="R285" s="9" t="s">
        <v>441</v>
      </c>
      <c r="S285" s="9" t="s">
        <v>91</v>
      </c>
      <c r="T285" s="9" t="s">
        <v>89</v>
      </c>
      <c r="U285" s="9" t="s">
        <v>94</v>
      </c>
      <c r="V285" s="9" t="s">
        <v>92</v>
      </c>
      <c r="W285" s="9" t="s">
        <v>93</v>
      </c>
    </row>
    <row r="286" spans="1:23">
      <c r="A286" s="9" t="s">
        <v>578</v>
      </c>
      <c r="B286" s="9">
        <f ca="1">+IF(A286=WORLDCUP!$BI$112,1,0)</f>
        <v>0</v>
      </c>
      <c r="C286" s="9" t="str">
        <f ca="1">+WORLDCUP!BD65</f>
        <v>Arabia Saudita</v>
      </c>
      <c r="D286" s="9" t="str">
        <f ca="1">+WORLDCUP!BD64</f>
        <v>Egipto</v>
      </c>
      <c r="E286" s="9" t="str">
        <f ca="1">+WORLDCUP!BD62</f>
        <v>Ecuador</v>
      </c>
      <c r="F286" s="9" t="str">
        <f ca="1">+WORLDCUP!BD60</f>
        <v>Marruecos</v>
      </c>
      <c r="G286" s="9" t="str">
        <f ca="1">+WORLDCUP!BD58</f>
        <v>República Checa</v>
      </c>
      <c r="H286" s="9" t="str">
        <f ca="1">+WORLDCUP!BD63</f>
        <v>Suecia</v>
      </c>
      <c r="I286" s="9" t="str">
        <f ca="1">+WORLDCUP!BD61</f>
        <v>Paraguay</v>
      </c>
      <c r="J286" s="9" t="str">
        <f ca="1">+WORLDCUP!BD66</f>
        <v>Senegal</v>
      </c>
      <c r="N286" s="9" t="s">
        <v>578</v>
      </c>
      <c r="O286" s="9">
        <v>285</v>
      </c>
      <c r="P286" s="9" t="s">
        <v>436</v>
      </c>
      <c r="Q286" s="9" t="s">
        <v>435</v>
      </c>
      <c r="R286" s="9" t="s">
        <v>93</v>
      </c>
      <c r="S286" s="9" t="s">
        <v>91</v>
      </c>
      <c r="T286" s="9" t="s">
        <v>89</v>
      </c>
      <c r="U286" s="9" t="s">
        <v>94</v>
      </c>
      <c r="V286" s="9" t="s">
        <v>92</v>
      </c>
      <c r="W286" s="9" t="s">
        <v>440</v>
      </c>
    </row>
    <row r="287" spans="1:23">
      <c r="A287" s="9" t="s">
        <v>959</v>
      </c>
      <c r="B287" s="9">
        <f ca="1">+IF(A287=WORLDCUP!$BI$112,1,0)</f>
        <v>0</v>
      </c>
      <c r="C287" s="9" t="str">
        <f ca="1">+WORLDCUP!BD65</f>
        <v>Arabia Saudita</v>
      </c>
      <c r="D287" s="9" t="str">
        <f ca="1">+WORLDCUP!BD67</f>
        <v>Argelia</v>
      </c>
      <c r="E287" s="9" t="str">
        <f ca="1">+WORLDCUP!BD59</f>
        <v>Canadá</v>
      </c>
      <c r="F287" s="9" t="str">
        <f ca="1">+WORLDCUP!BD58</f>
        <v>República Checa</v>
      </c>
      <c r="G287" s="9" t="str">
        <f ca="1">+WORLDCUP!BD66</f>
        <v>Senegal</v>
      </c>
      <c r="H287" s="9" t="str">
        <f ca="1">+WORLDCUP!BD64</f>
        <v>Egipto</v>
      </c>
      <c r="I287" s="9" t="str">
        <f ca="1">+WORLDCUP!BD69</f>
        <v>Ghana</v>
      </c>
      <c r="J287" s="9" t="str">
        <f ca="1">+WORLDCUP!BD68</f>
        <v>RD Congo</v>
      </c>
      <c r="N287" s="9" t="s">
        <v>959</v>
      </c>
      <c r="O287" s="9">
        <v>286</v>
      </c>
      <c r="P287" s="9" t="s">
        <v>436</v>
      </c>
      <c r="Q287" s="9" t="s">
        <v>441</v>
      </c>
      <c r="R287" s="9" t="s">
        <v>90</v>
      </c>
      <c r="S287" s="9" t="s">
        <v>89</v>
      </c>
      <c r="T287" s="9" t="s">
        <v>440</v>
      </c>
      <c r="U287" s="9" t="s">
        <v>435</v>
      </c>
      <c r="V287" s="9" t="s">
        <v>443</v>
      </c>
      <c r="W287" s="9" t="s">
        <v>442</v>
      </c>
    </row>
    <row r="288" spans="1:23">
      <c r="A288" s="9" t="s">
        <v>958</v>
      </c>
      <c r="B288" s="9">
        <f ca="1">+IF(A288=WORLDCUP!$BI$112,1,0)</f>
        <v>0</v>
      </c>
      <c r="C288" s="9" t="str">
        <f ca="1">+WORLDCUP!BD65</f>
        <v>Arabia Saudita</v>
      </c>
      <c r="D288" s="9" t="str">
        <f ca="1">+WORLDCUP!BD67</f>
        <v>Argelia</v>
      </c>
      <c r="E288" s="9" t="str">
        <f ca="1">+WORLDCUP!BD59</f>
        <v>Canadá</v>
      </c>
      <c r="F288" s="9" t="str">
        <f ca="1">+WORLDCUP!BD58</f>
        <v>República Checa</v>
      </c>
      <c r="G288" s="9" t="str">
        <f ca="1">+WORLDCUP!BD66</f>
        <v>Senegal</v>
      </c>
      <c r="H288" s="9" t="str">
        <f ca="1">+WORLDCUP!BD63</f>
        <v>Suecia</v>
      </c>
      <c r="I288" s="9" t="str">
        <f ca="1">+WORLDCUP!BD69</f>
        <v>Ghana</v>
      </c>
      <c r="J288" s="9" t="str">
        <f ca="1">+WORLDCUP!BD68</f>
        <v>RD Congo</v>
      </c>
      <c r="N288" s="9" t="s">
        <v>958</v>
      </c>
      <c r="O288" s="9">
        <v>287</v>
      </c>
      <c r="P288" s="9" t="s">
        <v>436</v>
      </c>
      <c r="Q288" s="9" t="s">
        <v>441</v>
      </c>
      <c r="R288" s="9" t="s">
        <v>90</v>
      </c>
      <c r="S288" s="9" t="s">
        <v>89</v>
      </c>
      <c r="T288" s="9" t="s">
        <v>440</v>
      </c>
      <c r="U288" s="9" t="s">
        <v>94</v>
      </c>
      <c r="V288" s="9" t="s">
        <v>443</v>
      </c>
      <c r="W288" s="9" t="s">
        <v>442</v>
      </c>
    </row>
    <row r="289" spans="1:23">
      <c r="A289" s="9" t="s">
        <v>957</v>
      </c>
      <c r="B289" s="9">
        <f ca="1">+IF(A289=WORLDCUP!$BI$112,1,0)</f>
        <v>0</v>
      </c>
      <c r="C289" s="9" t="str">
        <f ca="1">+WORLDCUP!BD66</f>
        <v>Senegal</v>
      </c>
      <c r="D289" s="9" t="str">
        <f ca="1">+WORLDCUP!BD67</f>
        <v>Argelia</v>
      </c>
      <c r="E289" s="9" t="str">
        <f ca="1">+WORLDCUP!BD59</f>
        <v>Canadá</v>
      </c>
      <c r="F289" s="9" t="str">
        <f ca="1">+WORLDCUP!BD63</f>
        <v>Suecia</v>
      </c>
      <c r="G289" s="9" t="str">
        <f ca="1">+WORLDCUP!BD58</f>
        <v>República Checa</v>
      </c>
      <c r="H289" s="9" t="str">
        <f ca="1">+WORLDCUP!BD64</f>
        <v>Egipto</v>
      </c>
      <c r="I289" s="9" t="str">
        <f ca="1">+WORLDCUP!BD69</f>
        <v>Ghana</v>
      </c>
      <c r="J289" s="9" t="str">
        <f ca="1">+WORLDCUP!BD68</f>
        <v>RD Congo</v>
      </c>
      <c r="N289" s="9" t="s">
        <v>957</v>
      </c>
      <c r="O289" s="9">
        <v>288</v>
      </c>
      <c r="P289" s="9" t="s">
        <v>440</v>
      </c>
      <c r="Q289" s="9" t="s">
        <v>441</v>
      </c>
      <c r="R289" s="9" t="s">
        <v>90</v>
      </c>
      <c r="S289" s="9" t="s">
        <v>94</v>
      </c>
      <c r="T289" s="9" t="s">
        <v>89</v>
      </c>
      <c r="U289" s="9" t="s">
        <v>435</v>
      </c>
      <c r="V289" s="9" t="s">
        <v>443</v>
      </c>
      <c r="W289" s="9" t="s">
        <v>442</v>
      </c>
    </row>
    <row r="290" spans="1:23">
      <c r="A290" s="9" t="s">
        <v>956</v>
      </c>
      <c r="B290" s="9">
        <f ca="1">+IF(A290=WORLDCUP!$BI$112,1,0)</f>
        <v>0</v>
      </c>
      <c r="C290" s="9" t="str">
        <f ca="1">+WORLDCUP!BD65</f>
        <v>Arabia Saudita</v>
      </c>
      <c r="D290" s="9" t="str">
        <f ca="1">+WORLDCUP!BD67</f>
        <v>Argelia</v>
      </c>
      <c r="E290" s="9" t="str">
        <f ca="1">+WORLDCUP!BD59</f>
        <v>Canadá</v>
      </c>
      <c r="F290" s="9" t="str">
        <f ca="1">+WORLDCUP!BD63</f>
        <v>Suecia</v>
      </c>
      <c r="G290" s="9" t="str">
        <f ca="1">+WORLDCUP!BD58</f>
        <v>República Checa</v>
      </c>
      <c r="H290" s="9" t="str">
        <f ca="1">+WORLDCUP!BD64</f>
        <v>Egipto</v>
      </c>
      <c r="I290" s="9" t="str">
        <f ca="1">+WORLDCUP!BD69</f>
        <v>Ghana</v>
      </c>
      <c r="J290" s="9" t="str">
        <f ca="1">+WORLDCUP!BD68</f>
        <v>RD Congo</v>
      </c>
      <c r="N290" s="9" t="s">
        <v>956</v>
      </c>
      <c r="O290" s="9">
        <v>289</v>
      </c>
      <c r="P290" s="9" t="s">
        <v>436</v>
      </c>
      <c r="Q290" s="9" t="s">
        <v>441</v>
      </c>
      <c r="R290" s="9" t="s">
        <v>90</v>
      </c>
      <c r="S290" s="9" t="s">
        <v>94</v>
      </c>
      <c r="T290" s="9" t="s">
        <v>89</v>
      </c>
      <c r="U290" s="9" t="s">
        <v>435</v>
      </c>
      <c r="V290" s="9" t="s">
        <v>443</v>
      </c>
      <c r="W290" s="9" t="s">
        <v>442</v>
      </c>
    </row>
    <row r="291" spans="1:23">
      <c r="A291" s="9" t="s">
        <v>955</v>
      </c>
      <c r="B291" s="9">
        <f ca="1">+IF(A291=WORLDCUP!$BI$112,1,0)</f>
        <v>0</v>
      </c>
      <c r="C291" s="9" t="str">
        <f ca="1">+WORLDCUP!BD65</f>
        <v>Arabia Saudita</v>
      </c>
      <c r="D291" s="9" t="str">
        <f ca="1">+WORLDCUP!BD64</f>
        <v>Egipto</v>
      </c>
      <c r="E291" s="9" t="str">
        <f ca="1">+WORLDCUP!BD59</f>
        <v>Canadá</v>
      </c>
      <c r="F291" s="9" t="str">
        <f ca="1">+WORLDCUP!BD58</f>
        <v>República Checa</v>
      </c>
      <c r="G291" s="9" t="str">
        <f ca="1">+WORLDCUP!BD66</f>
        <v>Senegal</v>
      </c>
      <c r="H291" s="9" t="str">
        <f ca="1">+WORLDCUP!BD63</f>
        <v>Suecia</v>
      </c>
      <c r="I291" s="9" t="str">
        <f ca="1">+WORLDCUP!BD69</f>
        <v>Ghana</v>
      </c>
      <c r="J291" s="9" t="str">
        <f ca="1">+WORLDCUP!BD68</f>
        <v>RD Congo</v>
      </c>
      <c r="N291" s="9" t="s">
        <v>955</v>
      </c>
      <c r="O291" s="9">
        <v>290</v>
      </c>
      <c r="P291" s="9" t="s">
        <v>436</v>
      </c>
      <c r="Q291" s="9" t="s">
        <v>435</v>
      </c>
      <c r="R291" s="9" t="s">
        <v>90</v>
      </c>
      <c r="S291" s="9" t="s">
        <v>89</v>
      </c>
      <c r="T291" s="9" t="s">
        <v>440</v>
      </c>
      <c r="U291" s="9" t="s">
        <v>94</v>
      </c>
      <c r="V291" s="9" t="s">
        <v>443</v>
      </c>
      <c r="W291" s="9" t="s">
        <v>442</v>
      </c>
    </row>
    <row r="292" spans="1:23">
      <c r="A292" s="9" t="s">
        <v>954</v>
      </c>
      <c r="B292" s="9">
        <f ca="1">+IF(A292=WORLDCUP!$BI$112,1,0)</f>
        <v>0</v>
      </c>
      <c r="C292" s="9" t="str">
        <f ca="1">+WORLDCUP!BD65</f>
        <v>Arabia Saudita</v>
      </c>
      <c r="D292" s="9" t="str">
        <f ca="1">+WORLDCUP!BD67</f>
        <v>Argelia</v>
      </c>
      <c r="E292" s="9" t="str">
        <f ca="1">+WORLDCUP!BD59</f>
        <v>Canadá</v>
      </c>
      <c r="F292" s="9" t="str">
        <f ca="1">+WORLDCUP!BD63</f>
        <v>Suecia</v>
      </c>
      <c r="G292" s="9" t="str">
        <f ca="1">+WORLDCUP!BD58</f>
        <v>República Checa</v>
      </c>
      <c r="H292" s="9" t="str">
        <f ca="1">+WORLDCUP!BD64</f>
        <v>Egipto</v>
      </c>
      <c r="I292" s="9" t="str">
        <f ca="1">+WORLDCUP!BD69</f>
        <v>Ghana</v>
      </c>
      <c r="J292" s="9" t="str">
        <f ca="1">+WORLDCUP!BD66</f>
        <v>Senegal</v>
      </c>
      <c r="N292" s="9" t="s">
        <v>954</v>
      </c>
      <c r="O292" s="9">
        <v>291</v>
      </c>
      <c r="P292" s="9" t="s">
        <v>436</v>
      </c>
      <c r="Q292" s="9" t="s">
        <v>441</v>
      </c>
      <c r="R292" s="9" t="s">
        <v>90</v>
      </c>
      <c r="S292" s="9" t="s">
        <v>94</v>
      </c>
      <c r="T292" s="9" t="s">
        <v>89</v>
      </c>
      <c r="U292" s="9" t="s">
        <v>435</v>
      </c>
      <c r="V292" s="9" t="s">
        <v>443</v>
      </c>
      <c r="W292" s="9" t="s">
        <v>440</v>
      </c>
    </row>
    <row r="293" spans="1:23">
      <c r="A293" s="9" t="s">
        <v>953</v>
      </c>
      <c r="B293" s="9">
        <f ca="1">+IF(A293=WORLDCUP!$BI$112,1,0)</f>
        <v>0</v>
      </c>
      <c r="C293" s="9" t="str">
        <f ca="1">+WORLDCUP!BD65</f>
        <v>Arabia Saudita</v>
      </c>
      <c r="D293" s="9" t="str">
        <f ca="1">+WORLDCUP!BD67</f>
        <v>Argelia</v>
      </c>
      <c r="E293" s="9" t="str">
        <f ca="1">+WORLDCUP!BD59</f>
        <v>Canadá</v>
      </c>
      <c r="F293" s="9" t="str">
        <f ca="1">+WORLDCUP!BD63</f>
        <v>Suecia</v>
      </c>
      <c r="G293" s="9" t="str">
        <f ca="1">+WORLDCUP!BD58</f>
        <v>República Checa</v>
      </c>
      <c r="H293" s="9" t="str">
        <f ca="1">+WORLDCUP!BD64</f>
        <v>Egipto</v>
      </c>
      <c r="I293" s="9" t="str">
        <f ca="1">+WORLDCUP!BD66</f>
        <v>Senegal</v>
      </c>
      <c r="J293" s="9" t="str">
        <f ca="1">+WORLDCUP!BD68</f>
        <v>RD Congo</v>
      </c>
      <c r="N293" s="9" t="s">
        <v>953</v>
      </c>
      <c r="O293" s="9">
        <v>292</v>
      </c>
      <c r="P293" s="9" t="s">
        <v>436</v>
      </c>
      <c r="Q293" s="9" t="s">
        <v>441</v>
      </c>
      <c r="R293" s="9" t="s">
        <v>90</v>
      </c>
      <c r="S293" s="9" t="s">
        <v>94</v>
      </c>
      <c r="T293" s="9" t="s">
        <v>89</v>
      </c>
      <c r="U293" s="9" t="s">
        <v>435</v>
      </c>
      <c r="V293" s="9" t="s">
        <v>440</v>
      </c>
      <c r="W293" s="9" t="s">
        <v>442</v>
      </c>
    </row>
    <row r="294" spans="1:23">
      <c r="A294" s="9" t="s">
        <v>952</v>
      </c>
      <c r="B294" s="9">
        <f ca="1">+IF(A294=WORLDCUP!$BI$112,1,0)</f>
        <v>0</v>
      </c>
      <c r="C294" s="9" t="str">
        <f ca="1">+WORLDCUP!BD62</f>
        <v>Ecuador</v>
      </c>
      <c r="D294" s="9" t="str">
        <f ca="1">+WORLDCUP!BD67</f>
        <v>Argelia</v>
      </c>
      <c r="E294" s="9" t="str">
        <f ca="1">+WORLDCUP!BD59</f>
        <v>Canadá</v>
      </c>
      <c r="F294" s="9" t="str">
        <f ca="1">+WORLDCUP!BD58</f>
        <v>República Checa</v>
      </c>
      <c r="G294" s="9" t="str">
        <f ca="1">+WORLDCUP!BD66</f>
        <v>Senegal</v>
      </c>
      <c r="H294" s="9" t="str">
        <f ca="1">+WORLDCUP!BD65</f>
        <v>Arabia Saudita</v>
      </c>
      <c r="I294" s="9" t="str">
        <f ca="1">+WORLDCUP!BD69</f>
        <v>Ghana</v>
      </c>
      <c r="J294" s="9" t="str">
        <f ca="1">+WORLDCUP!BD68</f>
        <v>RD Congo</v>
      </c>
      <c r="N294" s="9" t="s">
        <v>952</v>
      </c>
      <c r="O294" s="9">
        <v>293</v>
      </c>
      <c r="P294" s="9" t="s">
        <v>93</v>
      </c>
      <c r="Q294" s="9" t="s">
        <v>441</v>
      </c>
      <c r="R294" s="9" t="s">
        <v>90</v>
      </c>
      <c r="S294" s="9" t="s">
        <v>89</v>
      </c>
      <c r="T294" s="9" t="s">
        <v>440</v>
      </c>
      <c r="U294" s="9" t="s">
        <v>436</v>
      </c>
      <c r="V294" s="9" t="s">
        <v>443</v>
      </c>
      <c r="W294" s="9" t="s">
        <v>442</v>
      </c>
    </row>
    <row r="295" spans="1:23">
      <c r="A295" s="9" t="s">
        <v>951</v>
      </c>
      <c r="B295" s="9">
        <f ca="1">+IF(A295=WORLDCUP!$BI$112,1,0)</f>
        <v>0</v>
      </c>
      <c r="C295" s="9" t="str">
        <f ca="1">+WORLDCUP!BD62</f>
        <v>Ecuador</v>
      </c>
      <c r="D295" s="9" t="str">
        <f ca="1">+WORLDCUP!BD67</f>
        <v>Argelia</v>
      </c>
      <c r="E295" s="9" t="str">
        <f ca="1">+WORLDCUP!BD59</f>
        <v>Canadá</v>
      </c>
      <c r="F295" s="9" t="str">
        <f ca="1">+WORLDCUP!BD58</f>
        <v>República Checa</v>
      </c>
      <c r="G295" s="9" t="str">
        <f ca="1">+WORLDCUP!BD66</f>
        <v>Senegal</v>
      </c>
      <c r="H295" s="9" t="str">
        <f ca="1">+WORLDCUP!BD64</f>
        <v>Egipto</v>
      </c>
      <c r="I295" s="9" t="str">
        <f ca="1">+WORLDCUP!BD69</f>
        <v>Ghana</v>
      </c>
      <c r="J295" s="9" t="str">
        <f ca="1">+WORLDCUP!BD68</f>
        <v>RD Congo</v>
      </c>
      <c r="N295" s="9" t="s">
        <v>951</v>
      </c>
      <c r="O295" s="9">
        <v>294</v>
      </c>
      <c r="P295" s="9" t="s">
        <v>93</v>
      </c>
      <c r="Q295" s="9" t="s">
        <v>441</v>
      </c>
      <c r="R295" s="9" t="s">
        <v>90</v>
      </c>
      <c r="S295" s="9" t="s">
        <v>89</v>
      </c>
      <c r="T295" s="9" t="s">
        <v>440</v>
      </c>
      <c r="U295" s="9" t="s">
        <v>435</v>
      </c>
      <c r="V295" s="9" t="s">
        <v>443</v>
      </c>
      <c r="W295" s="9" t="s">
        <v>442</v>
      </c>
    </row>
    <row r="296" spans="1:23">
      <c r="A296" s="9" t="s">
        <v>950</v>
      </c>
      <c r="B296" s="9">
        <f ca="1">+IF(A296=WORLDCUP!$BI$112,1,0)</f>
        <v>0</v>
      </c>
      <c r="C296" s="9" t="str">
        <f ca="1">+WORLDCUP!BD62</f>
        <v>Ecuador</v>
      </c>
      <c r="D296" s="9" t="str">
        <f ca="1">+WORLDCUP!BD67</f>
        <v>Argelia</v>
      </c>
      <c r="E296" s="9" t="str">
        <f ca="1">+WORLDCUP!BD59</f>
        <v>Canadá</v>
      </c>
      <c r="F296" s="9" t="str">
        <f ca="1">+WORLDCUP!BD58</f>
        <v>República Checa</v>
      </c>
      <c r="G296" s="9" t="str">
        <f ca="1">+WORLDCUP!BD65</f>
        <v>Arabia Saudita</v>
      </c>
      <c r="H296" s="9" t="str">
        <f ca="1">+WORLDCUP!BD64</f>
        <v>Egipto</v>
      </c>
      <c r="I296" s="9" t="str">
        <f ca="1">+WORLDCUP!BD69</f>
        <v>Ghana</v>
      </c>
      <c r="J296" s="9" t="str">
        <f ca="1">+WORLDCUP!BD68</f>
        <v>RD Congo</v>
      </c>
      <c r="N296" s="9" t="s">
        <v>950</v>
      </c>
      <c r="O296" s="9">
        <v>295</v>
      </c>
      <c r="P296" s="9" t="s">
        <v>93</v>
      </c>
      <c r="Q296" s="9" t="s">
        <v>441</v>
      </c>
      <c r="R296" s="9" t="s">
        <v>90</v>
      </c>
      <c r="S296" s="9" t="s">
        <v>89</v>
      </c>
      <c r="T296" s="9" t="s">
        <v>436</v>
      </c>
      <c r="U296" s="9" t="s">
        <v>435</v>
      </c>
      <c r="V296" s="9" t="s">
        <v>443</v>
      </c>
      <c r="W296" s="9" t="s">
        <v>442</v>
      </c>
    </row>
    <row r="297" spans="1:23">
      <c r="A297" s="9" t="s">
        <v>949</v>
      </c>
      <c r="B297" s="9">
        <f ca="1">+IF(A297=WORLDCUP!$BI$112,1,0)</f>
        <v>0</v>
      </c>
      <c r="C297" s="9" t="str">
        <f ca="1">+WORLDCUP!BD62</f>
        <v>Ecuador</v>
      </c>
      <c r="D297" s="9" t="str">
        <f ca="1">+WORLDCUP!BD64</f>
        <v>Egipto</v>
      </c>
      <c r="E297" s="9" t="str">
        <f ca="1">+WORLDCUP!BD59</f>
        <v>Canadá</v>
      </c>
      <c r="F297" s="9" t="str">
        <f ca="1">+WORLDCUP!BD58</f>
        <v>República Checa</v>
      </c>
      <c r="G297" s="9" t="str">
        <f ca="1">+WORLDCUP!BD66</f>
        <v>Senegal</v>
      </c>
      <c r="H297" s="9" t="str">
        <f ca="1">+WORLDCUP!BD65</f>
        <v>Arabia Saudita</v>
      </c>
      <c r="I297" s="9" t="str">
        <f ca="1">+WORLDCUP!BD69</f>
        <v>Ghana</v>
      </c>
      <c r="J297" s="9" t="str">
        <f ca="1">+WORLDCUP!BD68</f>
        <v>RD Congo</v>
      </c>
      <c r="N297" s="9" t="s">
        <v>949</v>
      </c>
      <c r="O297" s="9">
        <v>296</v>
      </c>
      <c r="P297" s="9" t="s">
        <v>93</v>
      </c>
      <c r="Q297" s="9" t="s">
        <v>435</v>
      </c>
      <c r="R297" s="9" t="s">
        <v>90</v>
      </c>
      <c r="S297" s="9" t="s">
        <v>89</v>
      </c>
      <c r="T297" s="9" t="s">
        <v>440</v>
      </c>
      <c r="U297" s="9" t="s">
        <v>436</v>
      </c>
      <c r="V297" s="9" t="s">
        <v>443</v>
      </c>
      <c r="W297" s="9" t="s">
        <v>442</v>
      </c>
    </row>
    <row r="298" spans="1:23">
      <c r="A298" s="9" t="s">
        <v>948</v>
      </c>
      <c r="B298" s="9">
        <f ca="1">+IF(A298=WORLDCUP!$BI$112,1,0)</f>
        <v>0</v>
      </c>
      <c r="C298" s="9" t="str">
        <f ca="1">+WORLDCUP!BD62</f>
        <v>Ecuador</v>
      </c>
      <c r="D298" s="9" t="str">
        <f ca="1">+WORLDCUP!BD67</f>
        <v>Argelia</v>
      </c>
      <c r="E298" s="9" t="str">
        <f ca="1">+WORLDCUP!BD59</f>
        <v>Canadá</v>
      </c>
      <c r="F298" s="9" t="str">
        <f ca="1">+WORLDCUP!BD58</f>
        <v>República Checa</v>
      </c>
      <c r="G298" s="9" t="str">
        <f ca="1">+WORLDCUP!BD65</f>
        <v>Arabia Saudita</v>
      </c>
      <c r="H298" s="9" t="str">
        <f ca="1">+WORLDCUP!BD64</f>
        <v>Egipto</v>
      </c>
      <c r="I298" s="9" t="str">
        <f ca="1">+WORLDCUP!BD69</f>
        <v>Ghana</v>
      </c>
      <c r="J298" s="9" t="str">
        <f ca="1">+WORLDCUP!BD66</f>
        <v>Senegal</v>
      </c>
      <c r="N298" s="9" t="s">
        <v>948</v>
      </c>
      <c r="O298" s="9">
        <v>297</v>
      </c>
      <c r="P298" s="9" t="s">
        <v>93</v>
      </c>
      <c r="Q298" s="9" t="s">
        <v>441</v>
      </c>
      <c r="R298" s="9" t="s">
        <v>90</v>
      </c>
      <c r="S298" s="9" t="s">
        <v>89</v>
      </c>
      <c r="T298" s="9" t="s">
        <v>436</v>
      </c>
      <c r="U298" s="9" t="s">
        <v>435</v>
      </c>
      <c r="V298" s="9" t="s">
        <v>443</v>
      </c>
      <c r="W298" s="9" t="s">
        <v>440</v>
      </c>
    </row>
    <row r="299" spans="1:23">
      <c r="A299" s="9" t="s">
        <v>947</v>
      </c>
      <c r="B299" s="9">
        <f ca="1">+IF(A299=WORLDCUP!$BI$112,1,0)</f>
        <v>0</v>
      </c>
      <c r="C299" s="9" t="str">
        <f ca="1">+WORLDCUP!BD62</f>
        <v>Ecuador</v>
      </c>
      <c r="D299" s="9" t="str">
        <f ca="1">+WORLDCUP!BD67</f>
        <v>Argelia</v>
      </c>
      <c r="E299" s="9" t="str">
        <f ca="1">+WORLDCUP!BD59</f>
        <v>Canadá</v>
      </c>
      <c r="F299" s="9" t="str">
        <f ca="1">+WORLDCUP!BD58</f>
        <v>República Checa</v>
      </c>
      <c r="G299" s="9" t="str">
        <f ca="1">+WORLDCUP!BD65</f>
        <v>Arabia Saudita</v>
      </c>
      <c r="H299" s="9" t="str">
        <f ca="1">+WORLDCUP!BD64</f>
        <v>Egipto</v>
      </c>
      <c r="I299" s="9" t="str">
        <f ca="1">+WORLDCUP!BD66</f>
        <v>Senegal</v>
      </c>
      <c r="J299" s="9" t="str">
        <f ca="1">+WORLDCUP!BD68</f>
        <v>RD Congo</v>
      </c>
      <c r="N299" s="9" t="s">
        <v>947</v>
      </c>
      <c r="O299" s="9">
        <v>298</v>
      </c>
      <c r="P299" s="9" t="s">
        <v>93</v>
      </c>
      <c r="Q299" s="9" t="s">
        <v>441</v>
      </c>
      <c r="R299" s="9" t="s">
        <v>90</v>
      </c>
      <c r="S299" s="9" t="s">
        <v>89</v>
      </c>
      <c r="T299" s="9" t="s">
        <v>436</v>
      </c>
      <c r="U299" s="9" t="s">
        <v>435</v>
      </c>
      <c r="V299" s="9" t="s">
        <v>440</v>
      </c>
      <c r="W299" s="9" t="s">
        <v>442</v>
      </c>
    </row>
    <row r="300" spans="1:23">
      <c r="A300" s="9" t="s">
        <v>946</v>
      </c>
      <c r="B300" s="9">
        <f ca="1">+IF(A300=WORLDCUP!$BI$112,1,0)</f>
        <v>0</v>
      </c>
      <c r="C300" s="9" t="str">
        <f ca="1">+WORLDCUP!BD62</f>
        <v>Ecuador</v>
      </c>
      <c r="D300" s="9" t="str">
        <f ca="1">+WORLDCUP!BD67</f>
        <v>Argelia</v>
      </c>
      <c r="E300" s="9" t="str">
        <f ca="1">+WORLDCUP!BD59</f>
        <v>Canadá</v>
      </c>
      <c r="F300" s="9" t="str">
        <f ca="1">+WORLDCUP!BD58</f>
        <v>República Checa</v>
      </c>
      <c r="G300" s="9" t="str">
        <f ca="1">+WORLDCUP!BD66</f>
        <v>Senegal</v>
      </c>
      <c r="H300" s="9" t="str">
        <f ca="1">+WORLDCUP!BD63</f>
        <v>Suecia</v>
      </c>
      <c r="I300" s="9" t="str">
        <f ca="1">+WORLDCUP!BD69</f>
        <v>Ghana</v>
      </c>
      <c r="J300" s="9" t="str">
        <f ca="1">+WORLDCUP!BD68</f>
        <v>RD Congo</v>
      </c>
      <c r="N300" s="9" t="s">
        <v>946</v>
      </c>
      <c r="O300" s="9">
        <v>299</v>
      </c>
      <c r="P300" s="9" t="s">
        <v>93</v>
      </c>
      <c r="Q300" s="9" t="s">
        <v>441</v>
      </c>
      <c r="R300" s="9" t="s">
        <v>90</v>
      </c>
      <c r="S300" s="9" t="s">
        <v>89</v>
      </c>
      <c r="T300" s="9" t="s">
        <v>440</v>
      </c>
      <c r="U300" s="9" t="s">
        <v>94</v>
      </c>
      <c r="V300" s="9" t="s">
        <v>443</v>
      </c>
      <c r="W300" s="9" t="s">
        <v>442</v>
      </c>
    </row>
    <row r="301" spans="1:23">
      <c r="A301" s="9" t="s">
        <v>945</v>
      </c>
      <c r="B301" s="9">
        <f ca="1">+IF(A301=WORLDCUP!$BI$112,1,0)</f>
        <v>0</v>
      </c>
      <c r="C301" s="9" t="str">
        <f ca="1">+WORLDCUP!BD62</f>
        <v>Ecuador</v>
      </c>
      <c r="D301" s="9" t="str">
        <f ca="1">+WORLDCUP!BD67</f>
        <v>Argelia</v>
      </c>
      <c r="E301" s="9" t="str">
        <f ca="1">+WORLDCUP!BD59</f>
        <v>Canadá</v>
      </c>
      <c r="F301" s="9" t="str">
        <f ca="1">+WORLDCUP!BD63</f>
        <v>Suecia</v>
      </c>
      <c r="G301" s="9" t="str">
        <f ca="1">+WORLDCUP!BD58</f>
        <v>República Checa</v>
      </c>
      <c r="H301" s="9" t="str">
        <f ca="1">+WORLDCUP!BD65</f>
        <v>Arabia Saudita</v>
      </c>
      <c r="I301" s="9" t="str">
        <f ca="1">+WORLDCUP!BD69</f>
        <v>Ghana</v>
      </c>
      <c r="J301" s="9" t="str">
        <f ca="1">+WORLDCUP!BD68</f>
        <v>RD Congo</v>
      </c>
      <c r="N301" s="9" t="s">
        <v>945</v>
      </c>
      <c r="O301" s="9">
        <v>300</v>
      </c>
      <c r="P301" s="9" t="s">
        <v>93</v>
      </c>
      <c r="Q301" s="9" t="s">
        <v>441</v>
      </c>
      <c r="R301" s="9" t="s">
        <v>90</v>
      </c>
      <c r="S301" s="9" t="s">
        <v>94</v>
      </c>
      <c r="T301" s="9" t="s">
        <v>89</v>
      </c>
      <c r="U301" s="9" t="s">
        <v>436</v>
      </c>
      <c r="V301" s="9" t="s">
        <v>443</v>
      </c>
      <c r="W301" s="9" t="s">
        <v>442</v>
      </c>
    </row>
    <row r="302" spans="1:23">
      <c r="A302" s="9" t="s">
        <v>944</v>
      </c>
      <c r="B302" s="9">
        <f ca="1">+IF(A302=WORLDCUP!$BI$112,1,0)</f>
        <v>0</v>
      </c>
      <c r="C302" s="9" t="str">
        <f ca="1">+WORLDCUP!BD62</f>
        <v>Ecuador</v>
      </c>
      <c r="D302" s="9" t="str">
        <f ca="1">+WORLDCUP!BD66</f>
        <v>Senegal</v>
      </c>
      <c r="E302" s="9" t="str">
        <f ca="1">+WORLDCUP!BD59</f>
        <v>Canadá</v>
      </c>
      <c r="F302" s="9" t="str">
        <f ca="1">+WORLDCUP!BD63</f>
        <v>Suecia</v>
      </c>
      <c r="G302" s="9" t="str">
        <f ca="1">+WORLDCUP!BD58</f>
        <v>República Checa</v>
      </c>
      <c r="H302" s="9" t="str">
        <f ca="1">+WORLDCUP!BD65</f>
        <v>Arabia Saudita</v>
      </c>
      <c r="I302" s="9" t="str">
        <f ca="1">+WORLDCUP!BD69</f>
        <v>Ghana</v>
      </c>
      <c r="J302" s="9" t="str">
        <f ca="1">+WORLDCUP!BD68</f>
        <v>RD Congo</v>
      </c>
      <c r="N302" s="9" t="s">
        <v>944</v>
      </c>
      <c r="O302" s="9">
        <v>301</v>
      </c>
      <c r="P302" s="9" t="s">
        <v>93</v>
      </c>
      <c r="Q302" s="9" t="s">
        <v>440</v>
      </c>
      <c r="R302" s="9" t="s">
        <v>90</v>
      </c>
      <c r="S302" s="9" t="s">
        <v>94</v>
      </c>
      <c r="T302" s="9" t="s">
        <v>89</v>
      </c>
      <c r="U302" s="9" t="s">
        <v>436</v>
      </c>
      <c r="V302" s="9" t="s">
        <v>443</v>
      </c>
      <c r="W302" s="9" t="s">
        <v>442</v>
      </c>
    </row>
    <row r="303" spans="1:23">
      <c r="A303" s="9" t="s">
        <v>943</v>
      </c>
      <c r="B303" s="9">
        <f ca="1">+IF(A303=WORLDCUP!$BI$112,1,0)</f>
        <v>0</v>
      </c>
      <c r="C303" s="9" t="str">
        <f ca="1">+WORLDCUP!BD62</f>
        <v>Ecuador</v>
      </c>
      <c r="D303" s="9" t="str">
        <f ca="1">+WORLDCUP!BD67</f>
        <v>Argelia</v>
      </c>
      <c r="E303" s="9" t="str">
        <f ca="1">+WORLDCUP!BD59</f>
        <v>Canadá</v>
      </c>
      <c r="F303" s="9" t="str">
        <f ca="1">+WORLDCUP!BD63</f>
        <v>Suecia</v>
      </c>
      <c r="G303" s="9" t="str">
        <f ca="1">+WORLDCUP!BD58</f>
        <v>República Checa</v>
      </c>
      <c r="H303" s="9" t="str">
        <f ca="1">+WORLDCUP!BD65</f>
        <v>Arabia Saudita</v>
      </c>
      <c r="I303" s="9" t="str">
        <f ca="1">+WORLDCUP!BD69</f>
        <v>Ghana</v>
      </c>
      <c r="J303" s="9" t="str">
        <f ca="1">+WORLDCUP!BD66</f>
        <v>Senegal</v>
      </c>
      <c r="N303" s="9" t="s">
        <v>943</v>
      </c>
      <c r="O303" s="9">
        <v>302</v>
      </c>
      <c r="P303" s="9" t="s">
        <v>93</v>
      </c>
      <c r="Q303" s="9" t="s">
        <v>441</v>
      </c>
      <c r="R303" s="9" t="s">
        <v>90</v>
      </c>
      <c r="S303" s="9" t="s">
        <v>94</v>
      </c>
      <c r="T303" s="9" t="s">
        <v>89</v>
      </c>
      <c r="U303" s="9" t="s">
        <v>436</v>
      </c>
      <c r="V303" s="9" t="s">
        <v>443</v>
      </c>
      <c r="W303" s="9" t="s">
        <v>440</v>
      </c>
    </row>
    <row r="304" spans="1:23">
      <c r="A304" s="9" t="s">
        <v>942</v>
      </c>
      <c r="B304" s="9">
        <f ca="1">+IF(A304=WORLDCUP!$BI$112,1,0)</f>
        <v>0</v>
      </c>
      <c r="C304" s="9" t="str">
        <f ca="1">+WORLDCUP!BD62</f>
        <v>Ecuador</v>
      </c>
      <c r="D304" s="9" t="str">
        <f ca="1">+WORLDCUP!BD67</f>
        <v>Argelia</v>
      </c>
      <c r="E304" s="9" t="str">
        <f ca="1">+WORLDCUP!BD59</f>
        <v>Canadá</v>
      </c>
      <c r="F304" s="9" t="str">
        <f ca="1">+WORLDCUP!BD63</f>
        <v>Suecia</v>
      </c>
      <c r="G304" s="9" t="str">
        <f ca="1">+WORLDCUP!BD58</f>
        <v>República Checa</v>
      </c>
      <c r="H304" s="9" t="str">
        <f ca="1">+WORLDCUP!BD65</f>
        <v>Arabia Saudita</v>
      </c>
      <c r="I304" s="9" t="str">
        <f ca="1">+WORLDCUP!BD66</f>
        <v>Senegal</v>
      </c>
      <c r="J304" s="9" t="str">
        <f ca="1">+WORLDCUP!BD68</f>
        <v>RD Congo</v>
      </c>
      <c r="N304" s="9" t="s">
        <v>942</v>
      </c>
      <c r="O304" s="9">
        <v>303</v>
      </c>
      <c r="P304" s="9" t="s">
        <v>93</v>
      </c>
      <c r="Q304" s="9" t="s">
        <v>441</v>
      </c>
      <c r="R304" s="9" t="s">
        <v>90</v>
      </c>
      <c r="S304" s="9" t="s">
        <v>94</v>
      </c>
      <c r="T304" s="9" t="s">
        <v>89</v>
      </c>
      <c r="U304" s="9" t="s">
        <v>436</v>
      </c>
      <c r="V304" s="9" t="s">
        <v>440</v>
      </c>
      <c r="W304" s="9" t="s">
        <v>442</v>
      </c>
    </row>
    <row r="305" spans="1:23">
      <c r="A305" s="9" t="s">
        <v>941</v>
      </c>
      <c r="B305" s="9">
        <f ca="1">+IF(A305=WORLDCUP!$BI$112,1,0)</f>
        <v>0</v>
      </c>
      <c r="C305" s="9" t="str">
        <f ca="1">+WORLDCUP!BD62</f>
        <v>Ecuador</v>
      </c>
      <c r="D305" s="9" t="str">
        <f ca="1">+WORLDCUP!BD67</f>
        <v>Argelia</v>
      </c>
      <c r="E305" s="9" t="str">
        <f ca="1">+WORLDCUP!BD59</f>
        <v>Canadá</v>
      </c>
      <c r="F305" s="9" t="str">
        <f ca="1">+WORLDCUP!BD63</f>
        <v>Suecia</v>
      </c>
      <c r="G305" s="9" t="str">
        <f ca="1">+WORLDCUP!BD58</f>
        <v>República Checa</v>
      </c>
      <c r="H305" s="9" t="str">
        <f ca="1">+WORLDCUP!BD64</f>
        <v>Egipto</v>
      </c>
      <c r="I305" s="9" t="str">
        <f ca="1">+WORLDCUP!BD69</f>
        <v>Ghana</v>
      </c>
      <c r="J305" s="9" t="str">
        <f ca="1">+WORLDCUP!BD68</f>
        <v>RD Congo</v>
      </c>
      <c r="N305" s="9" t="s">
        <v>941</v>
      </c>
      <c r="O305" s="9">
        <v>304</v>
      </c>
      <c r="P305" s="9" t="s">
        <v>93</v>
      </c>
      <c r="Q305" s="9" t="s">
        <v>441</v>
      </c>
      <c r="R305" s="9" t="s">
        <v>90</v>
      </c>
      <c r="S305" s="9" t="s">
        <v>94</v>
      </c>
      <c r="T305" s="9" t="s">
        <v>89</v>
      </c>
      <c r="U305" s="9" t="s">
        <v>435</v>
      </c>
      <c r="V305" s="9" t="s">
        <v>443</v>
      </c>
      <c r="W305" s="9" t="s">
        <v>442</v>
      </c>
    </row>
    <row r="306" spans="1:23">
      <c r="A306" s="9" t="s">
        <v>940</v>
      </c>
      <c r="B306" s="9">
        <f ca="1">+IF(A306=WORLDCUP!$BI$112,1,0)</f>
        <v>0</v>
      </c>
      <c r="C306" s="9" t="str">
        <f ca="1">+WORLDCUP!BD62</f>
        <v>Ecuador</v>
      </c>
      <c r="D306" s="9" t="str">
        <f ca="1">+WORLDCUP!BD64</f>
        <v>Egipto</v>
      </c>
      <c r="E306" s="9" t="str">
        <f ca="1">+WORLDCUP!BD59</f>
        <v>Canadá</v>
      </c>
      <c r="F306" s="9" t="str">
        <f ca="1">+WORLDCUP!BD58</f>
        <v>República Checa</v>
      </c>
      <c r="G306" s="9" t="str">
        <f ca="1">+WORLDCUP!BD66</f>
        <v>Senegal</v>
      </c>
      <c r="H306" s="9" t="str">
        <f ca="1">+WORLDCUP!BD63</f>
        <v>Suecia</v>
      </c>
      <c r="I306" s="9" t="str">
        <f ca="1">+WORLDCUP!BD69</f>
        <v>Ghana</v>
      </c>
      <c r="J306" s="9" t="str">
        <f ca="1">+WORLDCUP!BD68</f>
        <v>RD Congo</v>
      </c>
      <c r="N306" s="9" t="s">
        <v>940</v>
      </c>
      <c r="O306" s="9">
        <v>305</v>
      </c>
      <c r="P306" s="9" t="s">
        <v>93</v>
      </c>
      <c r="Q306" s="9" t="s">
        <v>435</v>
      </c>
      <c r="R306" s="9" t="s">
        <v>90</v>
      </c>
      <c r="S306" s="9" t="s">
        <v>89</v>
      </c>
      <c r="T306" s="9" t="s">
        <v>440</v>
      </c>
      <c r="U306" s="9" t="s">
        <v>94</v>
      </c>
      <c r="V306" s="9" t="s">
        <v>443</v>
      </c>
      <c r="W306" s="9" t="s">
        <v>442</v>
      </c>
    </row>
    <row r="307" spans="1:23">
      <c r="A307" s="9" t="s">
        <v>939</v>
      </c>
      <c r="B307" s="9">
        <f ca="1">+IF(A307=WORLDCUP!$BI$112,1,0)</f>
        <v>0</v>
      </c>
      <c r="C307" s="9" t="str">
        <f ca="1">+WORLDCUP!BD62</f>
        <v>Ecuador</v>
      </c>
      <c r="D307" s="9" t="str">
        <f ca="1">+WORLDCUP!BD67</f>
        <v>Argelia</v>
      </c>
      <c r="E307" s="9" t="str">
        <f ca="1">+WORLDCUP!BD59</f>
        <v>Canadá</v>
      </c>
      <c r="F307" s="9" t="str">
        <f ca="1">+WORLDCUP!BD63</f>
        <v>Suecia</v>
      </c>
      <c r="G307" s="9" t="str">
        <f ca="1">+WORLDCUP!BD58</f>
        <v>República Checa</v>
      </c>
      <c r="H307" s="9" t="str">
        <f ca="1">+WORLDCUP!BD64</f>
        <v>Egipto</v>
      </c>
      <c r="I307" s="9" t="str">
        <f ca="1">+WORLDCUP!BD69</f>
        <v>Ghana</v>
      </c>
      <c r="J307" s="9" t="str">
        <f ca="1">+WORLDCUP!BD66</f>
        <v>Senegal</v>
      </c>
      <c r="N307" s="9" t="s">
        <v>939</v>
      </c>
      <c r="O307" s="9">
        <v>306</v>
      </c>
      <c r="P307" s="9" t="s">
        <v>93</v>
      </c>
      <c r="Q307" s="9" t="s">
        <v>441</v>
      </c>
      <c r="R307" s="9" t="s">
        <v>90</v>
      </c>
      <c r="S307" s="9" t="s">
        <v>94</v>
      </c>
      <c r="T307" s="9" t="s">
        <v>89</v>
      </c>
      <c r="U307" s="9" t="s">
        <v>435</v>
      </c>
      <c r="V307" s="9" t="s">
        <v>443</v>
      </c>
      <c r="W307" s="9" t="s">
        <v>440</v>
      </c>
    </row>
    <row r="308" spans="1:23">
      <c r="A308" s="9" t="s">
        <v>938</v>
      </c>
      <c r="B308" s="9">
        <f ca="1">+IF(A308=WORLDCUP!$BI$112,1,0)</f>
        <v>0</v>
      </c>
      <c r="C308" s="9" t="str">
        <f ca="1">+WORLDCUP!BD62</f>
        <v>Ecuador</v>
      </c>
      <c r="D308" s="9" t="str">
        <f ca="1">+WORLDCUP!BD67</f>
        <v>Argelia</v>
      </c>
      <c r="E308" s="9" t="str">
        <f ca="1">+WORLDCUP!BD59</f>
        <v>Canadá</v>
      </c>
      <c r="F308" s="9" t="str">
        <f ca="1">+WORLDCUP!BD63</f>
        <v>Suecia</v>
      </c>
      <c r="G308" s="9" t="str">
        <f ca="1">+WORLDCUP!BD58</f>
        <v>República Checa</v>
      </c>
      <c r="H308" s="9" t="str">
        <f ca="1">+WORLDCUP!BD64</f>
        <v>Egipto</v>
      </c>
      <c r="I308" s="9" t="str">
        <f ca="1">+WORLDCUP!BD66</f>
        <v>Senegal</v>
      </c>
      <c r="J308" s="9" t="str">
        <f ca="1">+WORLDCUP!BD68</f>
        <v>RD Congo</v>
      </c>
      <c r="N308" s="9" t="s">
        <v>938</v>
      </c>
      <c r="O308" s="9">
        <v>307</v>
      </c>
      <c r="P308" s="9" t="s">
        <v>93</v>
      </c>
      <c r="Q308" s="9" t="s">
        <v>441</v>
      </c>
      <c r="R308" s="9" t="s">
        <v>90</v>
      </c>
      <c r="S308" s="9" t="s">
        <v>94</v>
      </c>
      <c r="T308" s="9" t="s">
        <v>89</v>
      </c>
      <c r="U308" s="9" t="s">
        <v>435</v>
      </c>
      <c r="V308" s="9" t="s">
        <v>440</v>
      </c>
      <c r="W308" s="9" t="s">
        <v>442</v>
      </c>
    </row>
    <row r="309" spans="1:23">
      <c r="A309" s="9" t="s">
        <v>937</v>
      </c>
      <c r="B309" s="9">
        <f ca="1">+IF(A309=WORLDCUP!$BI$112,1,0)</f>
        <v>0</v>
      </c>
      <c r="C309" s="9" t="str">
        <f ca="1">+WORLDCUP!BD62</f>
        <v>Ecuador</v>
      </c>
      <c r="D309" s="9" t="str">
        <f ca="1">+WORLDCUP!BD64</f>
        <v>Egipto</v>
      </c>
      <c r="E309" s="9" t="str">
        <f ca="1">+WORLDCUP!BD59</f>
        <v>Canadá</v>
      </c>
      <c r="F309" s="9" t="str">
        <f ca="1">+WORLDCUP!BD63</f>
        <v>Suecia</v>
      </c>
      <c r="G309" s="9" t="str">
        <f ca="1">+WORLDCUP!BD58</f>
        <v>República Checa</v>
      </c>
      <c r="H309" s="9" t="str">
        <f ca="1">+WORLDCUP!BD65</f>
        <v>Arabia Saudita</v>
      </c>
      <c r="I309" s="9" t="str">
        <f ca="1">+WORLDCUP!BD69</f>
        <v>Ghana</v>
      </c>
      <c r="J309" s="9" t="str">
        <f ca="1">+WORLDCUP!BD68</f>
        <v>RD Congo</v>
      </c>
      <c r="N309" s="9" t="s">
        <v>937</v>
      </c>
      <c r="O309" s="9">
        <v>308</v>
      </c>
      <c r="P309" s="9" t="s">
        <v>93</v>
      </c>
      <c r="Q309" s="9" t="s">
        <v>435</v>
      </c>
      <c r="R309" s="9" t="s">
        <v>90</v>
      </c>
      <c r="S309" s="9" t="s">
        <v>94</v>
      </c>
      <c r="T309" s="9" t="s">
        <v>89</v>
      </c>
      <c r="U309" s="9" t="s">
        <v>436</v>
      </c>
      <c r="V309" s="9" t="s">
        <v>443</v>
      </c>
      <c r="W309" s="9" t="s">
        <v>442</v>
      </c>
    </row>
    <row r="310" spans="1:23">
      <c r="A310" s="9" t="s">
        <v>936</v>
      </c>
      <c r="B310" s="9">
        <f ca="1">+IF(A310=WORLDCUP!$BI$112,1,0)</f>
        <v>0</v>
      </c>
      <c r="C310" s="9" t="str">
        <f ca="1">+WORLDCUP!BD65</f>
        <v>Arabia Saudita</v>
      </c>
      <c r="D310" s="9" t="str">
        <f ca="1">+WORLDCUP!BD67</f>
        <v>Argelia</v>
      </c>
      <c r="E310" s="9" t="str">
        <f ca="1">+WORLDCUP!BD59</f>
        <v>Canadá</v>
      </c>
      <c r="F310" s="9" t="str">
        <f ca="1">+WORLDCUP!BD63</f>
        <v>Suecia</v>
      </c>
      <c r="G310" s="9" t="str">
        <f ca="1">+WORLDCUP!BD58</f>
        <v>República Checa</v>
      </c>
      <c r="H310" s="9" t="str">
        <f ca="1">+WORLDCUP!BD64</f>
        <v>Egipto</v>
      </c>
      <c r="I310" s="9" t="str">
        <f ca="1">+WORLDCUP!BD69</f>
        <v>Ghana</v>
      </c>
      <c r="J310" s="9" t="str">
        <f ca="1">+WORLDCUP!BD62</f>
        <v>Ecuador</v>
      </c>
      <c r="N310" s="9" t="s">
        <v>936</v>
      </c>
      <c r="O310" s="9">
        <v>309</v>
      </c>
      <c r="P310" s="9" t="s">
        <v>436</v>
      </c>
      <c r="Q310" s="9" t="s">
        <v>441</v>
      </c>
      <c r="R310" s="9" t="s">
        <v>90</v>
      </c>
      <c r="S310" s="9" t="s">
        <v>94</v>
      </c>
      <c r="T310" s="9" t="s">
        <v>89</v>
      </c>
      <c r="U310" s="9" t="s">
        <v>435</v>
      </c>
      <c r="V310" s="9" t="s">
        <v>443</v>
      </c>
      <c r="W310" s="9" t="s">
        <v>93</v>
      </c>
    </row>
    <row r="311" spans="1:23">
      <c r="A311" s="9" t="s">
        <v>935</v>
      </c>
      <c r="B311" s="9">
        <f ca="1">+IF(A311=WORLDCUP!$BI$112,1,0)</f>
        <v>0</v>
      </c>
      <c r="C311" s="9" t="str">
        <f ca="1">+WORLDCUP!BD65</f>
        <v>Arabia Saudita</v>
      </c>
      <c r="D311" s="9" t="str">
        <f ca="1">+WORLDCUP!BD67</f>
        <v>Argelia</v>
      </c>
      <c r="E311" s="9" t="str">
        <f ca="1">+WORLDCUP!BD59</f>
        <v>Canadá</v>
      </c>
      <c r="F311" s="9" t="str">
        <f ca="1">+WORLDCUP!BD63</f>
        <v>Suecia</v>
      </c>
      <c r="G311" s="9" t="str">
        <f ca="1">+WORLDCUP!BD58</f>
        <v>República Checa</v>
      </c>
      <c r="H311" s="9" t="str">
        <f ca="1">+WORLDCUP!BD64</f>
        <v>Egipto</v>
      </c>
      <c r="I311" s="9" t="str">
        <f ca="1">+WORLDCUP!BD62</f>
        <v>Ecuador</v>
      </c>
      <c r="J311" s="9" t="str">
        <f ca="1">+WORLDCUP!BD68</f>
        <v>RD Congo</v>
      </c>
      <c r="N311" s="9" t="s">
        <v>935</v>
      </c>
      <c r="O311" s="9">
        <v>310</v>
      </c>
      <c r="P311" s="9" t="s">
        <v>436</v>
      </c>
      <c r="Q311" s="9" t="s">
        <v>441</v>
      </c>
      <c r="R311" s="9" t="s">
        <v>90</v>
      </c>
      <c r="S311" s="9" t="s">
        <v>94</v>
      </c>
      <c r="T311" s="9" t="s">
        <v>89</v>
      </c>
      <c r="U311" s="9" t="s">
        <v>435</v>
      </c>
      <c r="V311" s="9" t="s">
        <v>93</v>
      </c>
      <c r="W311" s="9" t="s">
        <v>442</v>
      </c>
    </row>
    <row r="312" spans="1:23">
      <c r="A312" s="9" t="s">
        <v>934</v>
      </c>
      <c r="B312" s="9">
        <f ca="1">+IF(A312=WORLDCUP!$BI$112,1,0)</f>
        <v>0</v>
      </c>
      <c r="C312" s="9" t="str">
        <f ca="1">+WORLDCUP!BD62</f>
        <v>Ecuador</v>
      </c>
      <c r="D312" s="9" t="str">
        <f ca="1">+WORLDCUP!BD64</f>
        <v>Egipto</v>
      </c>
      <c r="E312" s="9" t="str">
        <f ca="1">+WORLDCUP!BD59</f>
        <v>Canadá</v>
      </c>
      <c r="F312" s="9" t="str">
        <f ca="1">+WORLDCUP!BD63</f>
        <v>Suecia</v>
      </c>
      <c r="G312" s="9" t="str">
        <f ca="1">+WORLDCUP!BD58</f>
        <v>República Checa</v>
      </c>
      <c r="H312" s="9" t="str">
        <f ca="1">+WORLDCUP!BD65</f>
        <v>Arabia Saudita</v>
      </c>
      <c r="I312" s="9" t="str">
        <f ca="1">+WORLDCUP!BD69</f>
        <v>Ghana</v>
      </c>
      <c r="J312" s="9" t="str">
        <f ca="1">+WORLDCUP!BD66</f>
        <v>Senegal</v>
      </c>
      <c r="N312" s="9" t="s">
        <v>934</v>
      </c>
      <c r="O312" s="9">
        <v>311</v>
      </c>
      <c r="P312" s="9" t="s">
        <v>93</v>
      </c>
      <c r="Q312" s="9" t="s">
        <v>435</v>
      </c>
      <c r="R312" s="9" t="s">
        <v>90</v>
      </c>
      <c r="S312" s="9" t="s">
        <v>94</v>
      </c>
      <c r="T312" s="9" t="s">
        <v>89</v>
      </c>
      <c r="U312" s="9" t="s">
        <v>436</v>
      </c>
      <c r="V312" s="9" t="s">
        <v>443</v>
      </c>
      <c r="W312" s="9" t="s">
        <v>440</v>
      </c>
    </row>
    <row r="313" spans="1:23">
      <c r="A313" s="9" t="s">
        <v>933</v>
      </c>
      <c r="B313" s="9">
        <f ca="1">+IF(A313=WORLDCUP!$BI$112,1,0)</f>
        <v>0</v>
      </c>
      <c r="C313" s="9" t="str">
        <f ca="1">+WORLDCUP!BD62</f>
        <v>Ecuador</v>
      </c>
      <c r="D313" s="9" t="str">
        <f ca="1">+WORLDCUP!BD64</f>
        <v>Egipto</v>
      </c>
      <c r="E313" s="9" t="str">
        <f ca="1">+WORLDCUP!BD59</f>
        <v>Canadá</v>
      </c>
      <c r="F313" s="9" t="str">
        <f ca="1">+WORLDCUP!BD63</f>
        <v>Suecia</v>
      </c>
      <c r="G313" s="9" t="str">
        <f ca="1">+WORLDCUP!BD58</f>
        <v>República Checa</v>
      </c>
      <c r="H313" s="9" t="str">
        <f ca="1">+WORLDCUP!BD65</f>
        <v>Arabia Saudita</v>
      </c>
      <c r="I313" s="9" t="str">
        <f ca="1">+WORLDCUP!BD66</f>
        <v>Senegal</v>
      </c>
      <c r="J313" s="9" t="str">
        <f ca="1">+WORLDCUP!BD68</f>
        <v>RD Congo</v>
      </c>
      <c r="N313" s="9" t="s">
        <v>933</v>
      </c>
      <c r="O313" s="9">
        <v>312</v>
      </c>
      <c r="P313" s="9" t="s">
        <v>93</v>
      </c>
      <c r="Q313" s="9" t="s">
        <v>435</v>
      </c>
      <c r="R313" s="9" t="s">
        <v>90</v>
      </c>
      <c r="S313" s="9" t="s">
        <v>94</v>
      </c>
      <c r="T313" s="9" t="s">
        <v>89</v>
      </c>
      <c r="U313" s="9" t="s">
        <v>436</v>
      </c>
      <c r="V313" s="9" t="s">
        <v>440</v>
      </c>
      <c r="W313" s="9" t="s">
        <v>442</v>
      </c>
    </row>
    <row r="314" spans="1:23">
      <c r="A314" s="9" t="s">
        <v>932</v>
      </c>
      <c r="B314" s="9">
        <f ca="1">+IF(A314=WORLDCUP!$BI$112,1,0)</f>
        <v>0</v>
      </c>
      <c r="C314" s="9" t="str">
        <f ca="1">+WORLDCUP!BD65</f>
        <v>Arabia Saudita</v>
      </c>
      <c r="D314" s="9" t="str">
        <f ca="1">+WORLDCUP!BD67</f>
        <v>Argelia</v>
      </c>
      <c r="E314" s="9" t="str">
        <f ca="1">+WORLDCUP!BD59</f>
        <v>Canadá</v>
      </c>
      <c r="F314" s="9" t="str">
        <f ca="1">+WORLDCUP!BD63</f>
        <v>Suecia</v>
      </c>
      <c r="G314" s="9" t="str">
        <f ca="1">+WORLDCUP!BD58</f>
        <v>República Checa</v>
      </c>
      <c r="H314" s="9" t="str">
        <f ca="1">+WORLDCUP!BD64</f>
        <v>Egipto</v>
      </c>
      <c r="I314" s="9" t="str">
        <f ca="1">+WORLDCUP!BD62</f>
        <v>Ecuador</v>
      </c>
      <c r="J314" s="9" t="str">
        <f ca="1">+WORLDCUP!BD66</f>
        <v>Senegal</v>
      </c>
      <c r="N314" s="9" t="s">
        <v>932</v>
      </c>
      <c r="O314" s="9">
        <v>313</v>
      </c>
      <c r="P314" s="9" t="s">
        <v>436</v>
      </c>
      <c r="Q314" s="9" t="s">
        <v>441</v>
      </c>
      <c r="R314" s="9" t="s">
        <v>90</v>
      </c>
      <c r="S314" s="9" t="s">
        <v>94</v>
      </c>
      <c r="T314" s="9" t="s">
        <v>89</v>
      </c>
      <c r="U314" s="9" t="s">
        <v>435</v>
      </c>
      <c r="V314" s="9" t="s">
        <v>93</v>
      </c>
      <c r="W314" s="9" t="s">
        <v>440</v>
      </c>
    </row>
    <row r="315" spans="1:23">
      <c r="A315" s="9" t="s">
        <v>931</v>
      </c>
      <c r="B315" s="9">
        <f ca="1">+IF(A315=WORLDCUP!$BI$112,1,0)</f>
        <v>0</v>
      </c>
      <c r="C315" s="9" t="str">
        <f ca="1">+WORLDCUP!BD66</f>
        <v>Senegal</v>
      </c>
      <c r="D315" s="9" t="str">
        <f ca="1">+WORLDCUP!BD67</f>
        <v>Argelia</v>
      </c>
      <c r="E315" s="9" t="str">
        <f ca="1">+WORLDCUP!BD59</f>
        <v>Canadá</v>
      </c>
      <c r="F315" s="9" t="str">
        <f ca="1">+WORLDCUP!BD61</f>
        <v>Paraguay</v>
      </c>
      <c r="G315" s="9" t="str">
        <f ca="1">+WORLDCUP!BD58</f>
        <v>República Checa</v>
      </c>
      <c r="H315" s="9" t="str">
        <f ca="1">+WORLDCUP!BD65</f>
        <v>Arabia Saudita</v>
      </c>
      <c r="I315" s="9" t="str">
        <f ca="1">+WORLDCUP!BD69</f>
        <v>Ghana</v>
      </c>
      <c r="J315" s="9" t="str">
        <f ca="1">+WORLDCUP!BD68</f>
        <v>RD Congo</v>
      </c>
      <c r="N315" s="9" t="s">
        <v>931</v>
      </c>
      <c r="O315" s="9">
        <v>314</v>
      </c>
      <c r="P315" s="9" t="s">
        <v>440</v>
      </c>
      <c r="Q315" s="9" t="s">
        <v>441</v>
      </c>
      <c r="R315" s="9" t="s">
        <v>90</v>
      </c>
      <c r="S315" s="9" t="s">
        <v>92</v>
      </c>
      <c r="T315" s="9" t="s">
        <v>89</v>
      </c>
      <c r="U315" s="9" t="s">
        <v>436</v>
      </c>
      <c r="V315" s="9" t="s">
        <v>443</v>
      </c>
      <c r="W315" s="9" t="s">
        <v>442</v>
      </c>
    </row>
    <row r="316" spans="1:23">
      <c r="A316" s="9" t="s">
        <v>930</v>
      </c>
      <c r="B316" s="9">
        <f ca="1">+IF(A316=WORLDCUP!$BI$112,1,0)</f>
        <v>0</v>
      </c>
      <c r="C316" s="9" t="str">
        <f ca="1">+WORLDCUP!BD66</f>
        <v>Senegal</v>
      </c>
      <c r="D316" s="9" t="str">
        <f ca="1">+WORLDCUP!BD67</f>
        <v>Argelia</v>
      </c>
      <c r="E316" s="9" t="str">
        <f ca="1">+WORLDCUP!BD59</f>
        <v>Canadá</v>
      </c>
      <c r="F316" s="9" t="str">
        <f ca="1">+WORLDCUP!BD61</f>
        <v>Paraguay</v>
      </c>
      <c r="G316" s="9" t="str">
        <f ca="1">+WORLDCUP!BD58</f>
        <v>República Checa</v>
      </c>
      <c r="H316" s="9" t="str">
        <f ca="1">+WORLDCUP!BD64</f>
        <v>Egipto</v>
      </c>
      <c r="I316" s="9" t="str">
        <f ca="1">+WORLDCUP!BD69</f>
        <v>Ghana</v>
      </c>
      <c r="J316" s="9" t="str">
        <f ca="1">+WORLDCUP!BD68</f>
        <v>RD Congo</v>
      </c>
      <c r="N316" s="9" t="s">
        <v>930</v>
      </c>
      <c r="O316" s="9">
        <v>315</v>
      </c>
      <c r="P316" s="9" t="s">
        <v>440</v>
      </c>
      <c r="Q316" s="9" t="s">
        <v>441</v>
      </c>
      <c r="R316" s="9" t="s">
        <v>90</v>
      </c>
      <c r="S316" s="9" t="s">
        <v>92</v>
      </c>
      <c r="T316" s="9" t="s">
        <v>89</v>
      </c>
      <c r="U316" s="9" t="s">
        <v>435</v>
      </c>
      <c r="V316" s="9" t="s">
        <v>443</v>
      </c>
      <c r="W316" s="9" t="s">
        <v>442</v>
      </c>
    </row>
    <row r="317" spans="1:23">
      <c r="A317" s="9" t="s">
        <v>929</v>
      </c>
      <c r="B317" s="9">
        <f ca="1">+IF(A317=WORLDCUP!$BI$112,1,0)</f>
        <v>0</v>
      </c>
      <c r="C317" s="9" t="str">
        <f ca="1">+WORLDCUP!BD65</f>
        <v>Arabia Saudita</v>
      </c>
      <c r="D317" s="9" t="str">
        <f ca="1">+WORLDCUP!BD67</f>
        <v>Argelia</v>
      </c>
      <c r="E317" s="9" t="str">
        <f ca="1">+WORLDCUP!BD59</f>
        <v>Canadá</v>
      </c>
      <c r="F317" s="9" t="str">
        <f ca="1">+WORLDCUP!BD61</f>
        <v>Paraguay</v>
      </c>
      <c r="G317" s="9" t="str">
        <f ca="1">+WORLDCUP!BD58</f>
        <v>República Checa</v>
      </c>
      <c r="H317" s="9" t="str">
        <f ca="1">+WORLDCUP!BD64</f>
        <v>Egipto</v>
      </c>
      <c r="I317" s="9" t="str">
        <f ca="1">+WORLDCUP!BD69</f>
        <v>Ghana</v>
      </c>
      <c r="J317" s="9" t="str">
        <f ca="1">+WORLDCUP!BD68</f>
        <v>RD Congo</v>
      </c>
      <c r="N317" s="9" t="s">
        <v>929</v>
      </c>
      <c r="O317" s="9">
        <v>316</v>
      </c>
      <c r="P317" s="9" t="s">
        <v>436</v>
      </c>
      <c r="Q317" s="9" t="s">
        <v>441</v>
      </c>
      <c r="R317" s="9" t="s">
        <v>90</v>
      </c>
      <c r="S317" s="9" t="s">
        <v>92</v>
      </c>
      <c r="T317" s="9" t="s">
        <v>89</v>
      </c>
      <c r="U317" s="9" t="s">
        <v>435</v>
      </c>
      <c r="V317" s="9" t="s">
        <v>443</v>
      </c>
      <c r="W317" s="9" t="s">
        <v>442</v>
      </c>
    </row>
    <row r="318" spans="1:23">
      <c r="A318" s="9" t="s">
        <v>928</v>
      </c>
      <c r="B318" s="9">
        <f ca="1">+IF(A318=WORLDCUP!$BI$112,1,0)</f>
        <v>0</v>
      </c>
      <c r="C318" s="9" t="str">
        <f ca="1">+WORLDCUP!BD66</f>
        <v>Senegal</v>
      </c>
      <c r="D318" s="9" t="str">
        <f ca="1">+WORLDCUP!BD64</f>
        <v>Egipto</v>
      </c>
      <c r="E318" s="9" t="str">
        <f ca="1">+WORLDCUP!BD59</f>
        <v>Canadá</v>
      </c>
      <c r="F318" s="9" t="str">
        <f ca="1">+WORLDCUP!BD61</f>
        <v>Paraguay</v>
      </c>
      <c r="G318" s="9" t="str">
        <f ca="1">+WORLDCUP!BD58</f>
        <v>República Checa</v>
      </c>
      <c r="H318" s="9" t="str">
        <f ca="1">+WORLDCUP!BD65</f>
        <v>Arabia Saudita</v>
      </c>
      <c r="I318" s="9" t="str">
        <f ca="1">+WORLDCUP!BD69</f>
        <v>Ghana</v>
      </c>
      <c r="J318" s="9" t="str">
        <f ca="1">+WORLDCUP!BD68</f>
        <v>RD Congo</v>
      </c>
      <c r="N318" s="9" t="s">
        <v>928</v>
      </c>
      <c r="O318" s="9">
        <v>317</v>
      </c>
      <c r="P318" s="9" t="s">
        <v>440</v>
      </c>
      <c r="Q318" s="9" t="s">
        <v>435</v>
      </c>
      <c r="R318" s="9" t="s">
        <v>90</v>
      </c>
      <c r="S318" s="9" t="s">
        <v>92</v>
      </c>
      <c r="T318" s="9" t="s">
        <v>89</v>
      </c>
      <c r="U318" s="9" t="s">
        <v>436</v>
      </c>
      <c r="V318" s="9" t="s">
        <v>443</v>
      </c>
      <c r="W318" s="9" t="s">
        <v>442</v>
      </c>
    </row>
    <row r="319" spans="1:23">
      <c r="A319" s="9" t="s">
        <v>927</v>
      </c>
      <c r="B319" s="9">
        <f ca="1">+IF(A319=WORLDCUP!$BI$112,1,0)</f>
        <v>0</v>
      </c>
      <c r="C319" s="9" t="str">
        <f ca="1">+WORLDCUP!BD65</f>
        <v>Arabia Saudita</v>
      </c>
      <c r="D319" s="9" t="str">
        <f ca="1">+WORLDCUP!BD67</f>
        <v>Argelia</v>
      </c>
      <c r="E319" s="9" t="str">
        <f ca="1">+WORLDCUP!BD59</f>
        <v>Canadá</v>
      </c>
      <c r="F319" s="9" t="str">
        <f ca="1">+WORLDCUP!BD61</f>
        <v>Paraguay</v>
      </c>
      <c r="G319" s="9" t="str">
        <f ca="1">+WORLDCUP!BD58</f>
        <v>República Checa</v>
      </c>
      <c r="H319" s="9" t="str">
        <f ca="1">+WORLDCUP!BD64</f>
        <v>Egipto</v>
      </c>
      <c r="I319" s="9" t="str">
        <f ca="1">+WORLDCUP!BD69</f>
        <v>Ghana</v>
      </c>
      <c r="J319" s="9" t="str">
        <f ca="1">+WORLDCUP!BD66</f>
        <v>Senegal</v>
      </c>
      <c r="N319" s="9" t="s">
        <v>927</v>
      </c>
      <c r="O319" s="9">
        <v>318</v>
      </c>
      <c r="P319" s="9" t="s">
        <v>436</v>
      </c>
      <c r="Q319" s="9" t="s">
        <v>441</v>
      </c>
      <c r="R319" s="9" t="s">
        <v>90</v>
      </c>
      <c r="S319" s="9" t="s">
        <v>92</v>
      </c>
      <c r="T319" s="9" t="s">
        <v>89</v>
      </c>
      <c r="U319" s="9" t="s">
        <v>435</v>
      </c>
      <c r="V319" s="9" t="s">
        <v>443</v>
      </c>
      <c r="W319" s="9" t="s">
        <v>440</v>
      </c>
    </row>
    <row r="320" spans="1:23">
      <c r="A320" s="9" t="s">
        <v>926</v>
      </c>
      <c r="B320" s="9">
        <f ca="1">+IF(A320=WORLDCUP!$BI$112,1,0)</f>
        <v>0</v>
      </c>
      <c r="C320" s="9" t="str">
        <f ca="1">+WORLDCUP!BD65</f>
        <v>Arabia Saudita</v>
      </c>
      <c r="D320" s="9" t="str">
        <f ca="1">+WORLDCUP!BD67</f>
        <v>Argelia</v>
      </c>
      <c r="E320" s="9" t="str">
        <f ca="1">+WORLDCUP!BD59</f>
        <v>Canadá</v>
      </c>
      <c r="F320" s="9" t="str">
        <f ca="1">+WORLDCUP!BD61</f>
        <v>Paraguay</v>
      </c>
      <c r="G320" s="9" t="str">
        <f ca="1">+WORLDCUP!BD58</f>
        <v>República Checa</v>
      </c>
      <c r="H320" s="9" t="str">
        <f ca="1">+WORLDCUP!BD64</f>
        <v>Egipto</v>
      </c>
      <c r="I320" s="9" t="str">
        <f ca="1">+WORLDCUP!BD66</f>
        <v>Senegal</v>
      </c>
      <c r="J320" s="9" t="str">
        <f ca="1">+WORLDCUP!BD68</f>
        <v>RD Congo</v>
      </c>
      <c r="N320" s="9" t="s">
        <v>926</v>
      </c>
      <c r="O320" s="9">
        <v>319</v>
      </c>
      <c r="P320" s="9" t="s">
        <v>436</v>
      </c>
      <c r="Q320" s="9" t="s">
        <v>441</v>
      </c>
      <c r="R320" s="9" t="s">
        <v>90</v>
      </c>
      <c r="S320" s="9" t="s">
        <v>92</v>
      </c>
      <c r="T320" s="9" t="s">
        <v>89</v>
      </c>
      <c r="U320" s="9" t="s">
        <v>435</v>
      </c>
      <c r="V320" s="9" t="s">
        <v>440</v>
      </c>
      <c r="W320" s="9" t="s">
        <v>442</v>
      </c>
    </row>
    <row r="321" spans="1:23">
      <c r="A321" s="9" t="s">
        <v>925</v>
      </c>
      <c r="B321" s="9">
        <f ca="1">+IF(A321=WORLDCUP!$BI$112,1,0)</f>
        <v>0</v>
      </c>
      <c r="C321" s="9" t="str">
        <f ca="1">+WORLDCUP!BD66</f>
        <v>Senegal</v>
      </c>
      <c r="D321" s="9" t="str">
        <f ca="1">+WORLDCUP!BD67</f>
        <v>Argelia</v>
      </c>
      <c r="E321" s="9" t="str">
        <f ca="1">+WORLDCUP!BD59</f>
        <v>Canadá</v>
      </c>
      <c r="F321" s="9" t="str">
        <f ca="1">+WORLDCUP!BD61</f>
        <v>Paraguay</v>
      </c>
      <c r="G321" s="9" t="str">
        <f ca="1">+WORLDCUP!BD58</f>
        <v>República Checa</v>
      </c>
      <c r="H321" s="9" t="str">
        <f ca="1">+WORLDCUP!BD63</f>
        <v>Suecia</v>
      </c>
      <c r="I321" s="9" t="str">
        <f ca="1">+WORLDCUP!BD69</f>
        <v>Ghana</v>
      </c>
      <c r="J321" s="9" t="str">
        <f ca="1">+WORLDCUP!BD68</f>
        <v>RD Congo</v>
      </c>
      <c r="N321" s="9" t="s">
        <v>925</v>
      </c>
      <c r="O321" s="9">
        <v>320</v>
      </c>
      <c r="P321" s="9" t="s">
        <v>440</v>
      </c>
      <c r="Q321" s="9" t="s">
        <v>441</v>
      </c>
      <c r="R321" s="9" t="s">
        <v>90</v>
      </c>
      <c r="S321" s="9" t="s">
        <v>92</v>
      </c>
      <c r="T321" s="9" t="s">
        <v>89</v>
      </c>
      <c r="U321" s="9" t="s">
        <v>94</v>
      </c>
      <c r="V321" s="9" t="s">
        <v>443</v>
      </c>
      <c r="W321" s="9" t="s">
        <v>442</v>
      </c>
    </row>
    <row r="322" spans="1:23">
      <c r="A322" s="9" t="s">
        <v>924</v>
      </c>
      <c r="B322" s="9">
        <f ca="1">+IF(A322=WORLDCUP!$BI$112,1,0)</f>
        <v>0</v>
      </c>
      <c r="C322" s="9" t="str">
        <f ca="1">+WORLDCUP!BD65</f>
        <v>Arabia Saudita</v>
      </c>
      <c r="D322" s="9" t="str">
        <f ca="1">+WORLDCUP!BD67</f>
        <v>Argelia</v>
      </c>
      <c r="E322" s="9" t="str">
        <f ca="1">+WORLDCUP!BD59</f>
        <v>Canadá</v>
      </c>
      <c r="F322" s="9" t="str">
        <f ca="1">+WORLDCUP!BD61</f>
        <v>Paraguay</v>
      </c>
      <c r="G322" s="9" t="str">
        <f ca="1">+WORLDCUP!BD58</f>
        <v>República Checa</v>
      </c>
      <c r="H322" s="9" t="str">
        <f ca="1">+WORLDCUP!BD63</f>
        <v>Suecia</v>
      </c>
      <c r="I322" s="9" t="str">
        <f ca="1">+WORLDCUP!BD69</f>
        <v>Ghana</v>
      </c>
      <c r="J322" s="9" t="str">
        <f ca="1">+WORLDCUP!BD68</f>
        <v>RD Congo</v>
      </c>
      <c r="N322" s="9" t="s">
        <v>924</v>
      </c>
      <c r="O322" s="9">
        <v>321</v>
      </c>
      <c r="P322" s="9" t="s">
        <v>436</v>
      </c>
      <c r="Q322" s="9" t="s">
        <v>441</v>
      </c>
      <c r="R322" s="9" t="s">
        <v>90</v>
      </c>
      <c r="S322" s="9" t="s">
        <v>92</v>
      </c>
      <c r="T322" s="9" t="s">
        <v>89</v>
      </c>
      <c r="U322" s="9" t="s">
        <v>94</v>
      </c>
      <c r="V322" s="9" t="s">
        <v>443</v>
      </c>
      <c r="W322" s="9" t="s">
        <v>442</v>
      </c>
    </row>
    <row r="323" spans="1:23">
      <c r="A323" s="9" t="s">
        <v>923</v>
      </c>
      <c r="B323" s="9">
        <f ca="1">+IF(A323=WORLDCUP!$BI$112,1,0)</f>
        <v>0</v>
      </c>
      <c r="C323" s="9" t="str">
        <f ca="1">+WORLDCUP!BD65</f>
        <v>Arabia Saudita</v>
      </c>
      <c r="D323" s="9" t="str">
        <f ca="1">+WORLDCUP!BD66</f>
        <v>Senegal</v>
      </c>
      <c r="E323" s="9" t="str">
        <f ca="1">+WORLDCUP!BD59</f>
        <v>Canadá</v>
      </c>
      <c r="F323" s="9" t="str">
        <f ca="1">+WORLDCUP!BD61</f>
        <v>Paraguay</v>
      </c>
      <c r="G323" s="9" t="str">
        <f ca="1">+WORLDCUP!BD58</f>
        <v>República Checa</v>
      </c>
      <c r="H323" s="9" t="str">
        <f ca="1">+WORLDCUP!BD63</f>
        <v>Suecia</v>
      </c>
      <c r="I323" s="9" t="str">
        <f ca="1">+WORLDCUP!BD69</f>
        <v>Ghana</v>
      </c>
      <c r="J323" s="9" t="str">
        <f ca="1">+WORLDCUP!BD68</f>
        <v>RD Congo</v>
      </c>
      <c r="N323" s="9" t="s">
        <v>923</v>
      </c>
      <c r="O323" s="9">
        <v>322</v>
      </c>
      <c r="P323" s="9" t="s">
        <v>436</v>
      </c>
      <c r="Q323" s="9" t="s">
        <v>440</v>
      </c>
      <c r="R323" s="9" t="s">
        <v>90</v>
      </c>
      <c r="S323" s="9" t="s">
        <v>92</v>
      </c>
      <c r="T323" s="9" t="s">
        <v>89</v>
      </c>
      <c r="U323" s="9" t="s">
        <v>94</v>
      </c>
      <c r="V323" s="9" t="s">
        <v>443</v>
      </c>
      <c r="W323" s="9" t="s">
        <v>442</v>
      </c>
    </row>
    <row r="324" spans="1:23">
      <c r="A324" s="9" t="s">
        <v>922</v>
      </c>
      <c r="B324" s="9">
        <f ca="1">+IF(A324=WORLDCUP!$BI$112,1,0)</f>
        <v>0</v>
      </c>
      <c r="C324" s="9" t="str">
        <f ca="1">+WORLDCUP!BD65</f>
        <v>Arabia Saudita</v>
      </c>
      <c r="D324" s="9" t="str">
        <f ca="1">+WORLDCUP!BD67</f>
        <v>Argelia</v>
      </c>
      <c r="E324" s="9" t="str">
        <f ca="1">+WORLDCUP!BD59</f>
        <v>Canadá</v>
      </c>
      <c r="F324" s="9" t="str">
        <f ca="1">+WORLDCUP!BD61</f>
        <v>Paraguay</v>
      </c>
      <c r="G324" s="9" t="str">
        <f ca="1">+WORLDCUP!BD58</f>
        <v>República Checa</v>
      </c>
      <c r="H324" s="9" t="str">
        <f ca="1">+WORLDCUP!BD63</f>
        <v>Suecia</v>
      </c>
      <c r="I324" s="9" t="str">
        <f ca="1">+WORLDCUP!BD69</f>
        <v>Ghana</v>
      </c>
      <c r="J324" s="9" t="str">
        <f ca="1">+WORLDCUP!BD66</f>
        <v>Senegal</v>
      </c>
      <c r="N324" s="9" t="s">
        <v>922</v>
      </c>
      <c r="O324" s="9">
        <v>323</v>
      </c>
      <c r="P324" s="9" t="s">
        <v>436</v>
      </c>
      <c r="Q324" s="9" t="s">
        <v>441</v>
      </c>
      <c r="R324" s="9" t="s">
        <v>90</v>
      </c>
      <c r="S324" s="9" t="s">
        <v>92</v>
      </c>
      <c r="T324" s="9" t="s">
        <v>89</v>
      </c>
      <c r="U324" s="9" t="s">
        <v>94</v>
      </c>
      <c r="V324" s="9" t="s">
        <v>443</v>
      </c>
      <c r="W324" s="9" t="s">
        <v>440</v>
      </c>
    </row>
    <row r="325" spans="1:23">
      <c r="A325" s="9" t="s">
        <v>921</v>
      </c>
      <c r="B325" s="9">
        <f ca="1">+IF(A325=WORLDCUP!$BI$112,1,0)</f>
        <v>0</v>
      </c>
      <c r="C325" s="9" t="str">
        <f ca="1">+WORLDCUP!BD65</f>
        <v>Arabia Saudita</v>
      </c>
      <c r="D325" s="9" t="str">
        <f ca="1">+WORLDCUP!BD67</f>
        <v>Argelia</v>
      </c>
      <c r="E325" s="9" t="str">
        <f ca="1">+WORLDCUP!BD59</f>
        <v>Canadá</v>
      </c>
      <c r="F325" s="9" t="str">
        <f ca="1">+WORLDCUP!BD61</f>
        <v>Paraguay</v>
      </c>
      <c r="G325" s="9" t="str">
        <f ca="1">+WORLDCUP!BD58</f>
        <v>República Checa</v>
      </c>
      <c r="H325" s="9" t="str">
        <f ca="1">+WORLDCUP!BD63</f>
        <v>Suecia</v>
      </c>
      <c r="I325" s="9" t="str">
        <f ca="1">+WORLDCUP!BD66</f>
        <v>Senegal</v>
      </c>
      <c r="J325" s="9" t="str">
        <f ca="1">+WORLDCUP!BD68</f>
        <v>RD Congo</v>
      </c>
      <c r="N325" s="9" t="s">
        <v>921</v>
      </c>
      <c r="O325" s="9">
        <v>324</v>
      </c>
      <c r="P325" s="9" t="s">
        <v>436</v>
      </c>
      <c r="Q325" s="9" t="s">
        <v>441</v>
      </c>
      <c r="R325" s="9" t="s">
        <v>90</v>
      </c>
      <c r="S325" s="9" t="s">
        <v>92</v>
      </c>
      <c r="T325" s="9" t="s">
        <v>89</v>
      </c>
      <c r="U325" s="9" t="s">
        <v>94</v>
      </c>
      <c r="V325" s="9" t="s">
        <v>440</v>
      </c>
      <c r="W325" s="9" t="s">
        <v>442</v>
      </c>
    </row>
    <row r="326" spans="1:23">
      <c r="A326" s="9" t="s">
        <v>920</v>
      </c>
      <c r="B326" s="9">
        <f ca="1">+IF(A326=WORLDCUP!$BI$112,1,0)</f>
        <v>0</v>
      </c>
      <c r="C326" s="9" t="str">
        <f ca="1">+WORLDCUP!BD63</f>
        <v>Suecia</v>
      </c>
      <c r="D326" s="9" t="str">
        <f ca="1">+WORLDCUP!BD67</f>
        <v>Argelia</v>
      </c>
      <c r="E326" s="9" t="str">
        <f ca="1">+WORLDCUP!BD59</f>
        <v>Canadá</v>
      </c>
      <c r="F326" s="9" t="str">
        <f ca="1">+WORLDCUP!BD61</f>
        <v>Paraguay</v>
      </c>
      <c r="G326" s="9" t="str">
        <f ca="1">+WORLDCUP!BD58</f>
        <v>República Checa</v>
      </c>
      <c r="H326" s="9" t="str">
        <f ca="1">+WORLDCUP!BD64</f>
        <v>Egipto</v>
      </c>
      <c r="I326" s="9" t="str">
        <f ca="1">+WORLDCUP!BD69</f>
        <v>Ghana</v>
      </c>
      <c r="J326" s="9" t="str">
        <f ca="1">+WORLDCUP!BD68</f>
        <v>RD Congo</v>
      </c>
      <c r="N326" s="9" t="s">
        <v>920</v>
      </c>
      <c r="O326" s="9">
        <v>325</v>
      </c>
      <c r="P326" s="9" t="s">
        <v>94</v>
      </c>
      <c r="Q326" s="9" t="s">
        <v>441</v>
      </c>
      <c r="R326" s="9" t="s">
        <v>90</v>
      </c>
      <c r="S326" s="9" t="s">
        <v>92</v>
      </c>
      <c r="T326" s="9" t="s">
        <v>89</v>
      </c>
      <c r="U326" s="9" t="s">
        <v>435</v>
      </c>
      <c r="V326" s="9" t="s">
        <v>443</v>
      </c>
      <c r="W326" s="9" t="s">
        <v>442</v>
      </c>
    </row>
    <row r="327" spans="1:23">
      <c r="A327" s="9" t="s">
        <v>919</v>
      </c>
      <c r="B327" s="9">
        <f ca="1">+IF(A327=WORLDCUP!$BI$112,1,0)</f>
        <v>0</v>
      </c>
      <c r="C327" s="9" t="str">
        <f ca="1">+WORLDCUP!BD66</f>
        <v>Senegal</v>
      </c>
      <c r="D327" s="9" t="str">
        <f ca="1">+WORLDCUP!BD64</f>
        <v>Egipto</v>
      </c>
      <c r="E327" s="9" t="str">
        <f ca="1">+WORLDCUP!BD59</f>
        <v>Canadá</v>
      </c>
      <c r="F327" s="9" t="str">
        <f ca="1">+WORLDCUP!BD61</f>
        <v>Paraguay</v>
      </c>
      <c r="G327" s="9" t="str">
        <f ca="1">+WORLDCUP!BD58</f>
        <v>República Checa</v>
      </c>
      <c r="H327" s="9" t="str">
        <f ca="1">+WORLDCUP!BD63</f>
        <v>Suecia</v>
      </c>
      <c r="I327" s="9" t="str">
        <f ca="1">+WORLDCUP!BD69</f>
        <v>Ghana</v>
      </c>
      <c r="J327" s="9" t="str">
        <f ca="1">+WORLDCUP!BD68</f>
        <v>RD Congo</v>
      </c>
      <c r="N327" s="9" t="s">
        <v>919</v>
      </c>
      <c r="O327" s="9">
        <v>326</v>
      </c>
      <c r="P327" s="9" t="s">
        <v>440</v>
      </c>
      <c r="Q327" s="9" t="s">
        <v>435</v>
      </c>
      <c r="R327" s="9" t="s">
        <v>90</v>
      </c>
      <c r="S327" s="9" t="s">
        <v>92</v>
      </c>
      <c r="T327" s="9" t="s">
        <v>89</v>
      </c>
      <c r="U327" s="9" t="s">
        <v>94</v>
      </c>
      <c r="V327" s="9" t="s">
        <v>443</v>
      </c>
      <c r="W327" s="9" t="s">
        <v>442</v>
      </c>
    </row>
    <row r="328" spans="1:23">
      <c r="A328" s="9" t="s">
        <v>918</v>
      </c>
      <c r="B328" s="9">
        <f ca="1">+IF(A328=WORLDCUP!$BI$112,1,0)</f>
        <v>0</v>
      </c>
      <c r="C328" s="9" t="str">
        <f ca="1">+WORLDCUP!BD63</f>
        <v>Suecia</v>
      </c>
      <c r="D328" s="9" t="str">
        <f ca="1">+WORLDCUP!BD67</f>
        <v>Argelia</v>
      </c>
      <c r="E328" s="9" t="str">
        <f ca="1">+WORLDCUP!BD59</f>
        <v>Canadá</v>
      </c>
      <c r="F328" s="9" t="str">
        <f ca="1">+WORLDCUP!BD61</f>
        <v>Paraguay</v>
      </c>
      <c r="G328" s="9" t="str">
        <f ca="1">+WORLDCUP!BD58</f>
        <v>República Checa</v>
      </c>
      <c r="H328" s="9" t="str">
        <f ca="1">+WORLDCUP!BD64</f>
        <v>Egipto</v>
      </c>
      <c r="I328" s="9" t="str">
        <f ca="1">+WORLDCUP!BD69</f>
        <v>Ghana</v>
      </c>
      <c r="J328" s="9" t="str">
        <f ca="1">+WORLDCUP!BD66</f>
        <v>Senegal</v>
      </c>
      <c r="N328" s="9" t="s">
        <v>918</v>
      </c>
      <c r="O328" s="9">
        <v>327</v>
      </c>
      <c r="P328" s="9" t="s">
        <v>94</v>
      </c>
      <c r="Q328" s="9" t="s">
        <v>441</v>
      </c>
      <c r="R328" s="9" t="s">
        <v>90</v>
      </c>
      <c r="S328" s="9" t="s">
        <v>92</v>
      </c>
      <c r="T328" s="9" t="s">
        <v>89</v>
      </c>
      <c r="U328" s="9" t="s">
        <v>435</v>
      </c>
      <c r="V328" s="9" t="s">
        <v>443</v>
      </c>
      <c r="W328" s="9" t="s">
        <v>440</v>
      </c>
    </row>
    <row r="329" spans="1:23">
      <c r="A329" s="9" t="s">
        <v>917</v>
      </c>
      <c r="B329" s="9">
        <f ca="1">+IF(A329=WORLDCUP!$BI$112,1,0)</f>
        <v>0</v>
      </c>
      <c r="C329" s="9" t="str">
        <f ca="1">+WORLDCUP!BD63</f>
        <v>Suecia</v>
      </c>
      <c r="D329" s="9" t="str">
        <f ca="1">+WORLDCUP!BD67</f>
        <v>Argelia</v>
      </c>
      <c r="E329" s="9" t="str">
        <f ca="1">+WORLDCUP!BD59</f>
        <v>Canadá</v>
      </c>
      <c r="F329" s="9" t="str">
        <f ca="1">+WORLDCUP!BD61</f>
        <v>Paraguay</v>
      </c>
      <c r="G329" s="9" t="str">
        <f ca="1">+WORLDCUP!BD58</f>
        <v>República Checa</v>
      </c>
      <c r="H329" s="9" t="str">
        <f ca="1">+WORLDCUP!BD64</f>
        <v>Egipto</v>
      </c>
      <c r="I329" s="9" t="str">
        <f ca="1">+WORLDCUP!BD66</f>
        <v>Senegal</v>
      </c>
      <c r="J329" s="9" t="str">
        <f ca="1">+WORLDCUP!BD68</f>
        <v>RD Congo</v>
      </c>
      <c r="N329" s="9" t="s">
        <v>917</v>
      </c>
      <c r="O329" s="9">
        <v>328</v>
      </c>
      <c r="P329" s="9" t="s">
        <v>94</v>
      </c>
      <c r="Q329" s="9" t="s">
        <v>441</v>
      </c>
      <c r="R329" s="9" t="s">
        <v>90</v>
      </c>
      <c r="S329" s="9" t="s">
        <v>92</v>
      </c>
      <c r="T329" s="9" t="s">
        <v>89</v>
      </c>
      <c r="U329" s="9" t="s">
        <v>435</v>
      </c>
      <c r="V329" s="9" t="s">
        <v>440</v>
      </c>
      <c r="W329" s="9" t="s">
        <v>442</v>
      </c>
    </row>
    <row r="330" spans="1:23">
      <c r="A330" s="9" t="s">
        <v>916</v>
      </c>
      <c r="B330" s="9">
        <f ca="1">+IF(A330=WORLDCUP!$BI$112,1,0)</f>
        <v>0</v>
      </c>
      <c r="C330" s="9" t="str">
        <f ca="1">+WORLDCUP!BD65</f>
        <v>Arabia Saudita</v>
      </c>
      <c r="D330" s="9" t="str">
        <f ca="1">+WORLDCUP!BD64</f>
        <v>Egipto</v>
      </c>
      <c r="E330" s="9" t="str">
        <f ca="1">+WORLDCUP!BD59</f>
        <v>Canadá</v>
      </c>
      <c r="F330" s="9" t="str">
        <f ca="1">+WORLDCUP!BD61</f>
        <v>Paraguay</v>
      </c>
      <c r="G330" s="9" t="str">
        <f ca="1">+WORLDCUP!BD58</f>
        <v>República Checa</v>
      </c>
      <c r="H330" s="9" t="str">
        <f ca="1">+WORLDCUP!BD63</f>
        <v>Suecia</v>
      </c>
      <c r="I330" s="9" t="str">
        <f ca="1">+WORLDCUP!BD69</f>
        <v>Ghana</v>
      </c>
      <c r="J330" s="9" t="str">
        <f ca="1">+WORLDCUP!BD68</f>
        <v>RD Congo</v>
      </c>
      <c r="N330" s="9" t="s">
        <v>916</v>
      </c>
      <c r="O330" s="9">
        <v>329</v>
      </c>
      <c r="P330" s="9" t="s">
        <v>436</v>
      </c>
      <c r="Q330" s="9" t="s">
        <v>435</v>
      </c>
      <c r="R330" s="9" t="s">
        <v>90</v>
      </c>
      <c r="S330" s="9" t="s">
        <v>92</v>
      </c>
      <c r="T330" s="9" t="s">
        <v>89</v>
      </c>
      <c r="U330" s="9" t="s">
        <v>94</v>
      </c>
      <c r="V330" s="9" t="s">
        <v>443</v>
      </c>
      <c r="W330" s="9" t="s">
        <v>442</v>
      </c>
    </row>
    <row r="331" spans="1:23">
      <c r="A331" s="9" t="s">
        <v>915</v>
      </c>
      <c r="B331" s="9">
        <f ca="1">+IF(A331=WORLDCUP!$BI$112,1,0)</f>
        <v>0</v>
      </c>
      <c r="C331" s="9" t="str">
        <f ca="1">+WORLDCUP!BD65</f>
        <v>Arabia Saudita</v>
      </c>
      <c r="D331" s="9" t="str">
        <f ca="1">+WORLDCUP!BD64</f>
        <v>Egipto</v>
      </c>
      <c r="E331" s="9" t="str">
        <f ca="1">+WORLDCUP!BD59</f>
        <v>Canadá</v>
      </c>
      <c r="F331" s="9" t="str">
        <f ca="1">+WORLDCUP!BD61</f>
        <v>Paraguay</v>
      </c>
      <c r="G331" s="9" t="str">
        <f ca="1">+WORLDCUP!BD58</f>
        <v>República Checa</v>
      </c>
      <c r="H331" s="9" t="str">
        <f ca="1">+WORLDCUP!BD63</f>
        <v>Suecia</v>
      </c>
      <c r="I331" s="9" t="str">
        <f ca="1">+WORLDCUP!BD69</f>
        <v>Ghana</v>
      </c>
      <c r="J331" s="9" t="str">
        <f ca="1">+WORLDCUP!BD67</f>
        <v>Argelia</v>
      </c>
      <c r="N331" s="9" t="s">
        <v>915</v>
      </c>
      <c r="O331" s="9">
        <v>330</v>
      </c>
      <c r="P331" s="9" t="s">
        <v>436</v>
      </c>
      <c r="Q331" s="9" t="s">
        <v>435</v>
      </c>
      <c r="R331" s="9" t="s">
        <v>90</v>
      </c>
      <c r="S331" s="9" t="s">
        <v>92</v>
      </c>
      <c r="T331" s="9" t="s">
        <v>89</v>
      </c>
      <c r="U331" s="9" t="s">
        <v>94</v>
      </c>
      <c r="V331" s="9" t="s">
        <v>443</v>
      </c>
      <c r="W331" s="9" t="s">
        <v>441</v>
      </c>
    </row>
    <row r="332" spans="1:23">
      <c r="A332" s="9" t="s">
        <v>914</v>
      </c>
      <c r="B332" s="9">
        <f ca="1">+IF(A332=WORLDCUP!$BI$112,1,0)</f>
        <v>0</v>
      </c>
      <c r="C332" s="9" t="str">
        <f ca="1">+WORLDCUP!BD65</f>
        <v>Arabia Saudita</v>
      </c>
      <c r="D332" s="9" t="str">
        <f ca="1">+WORLDCUP!BD64</f>
        <v>Egipto</v>
      </c>
      <c r="E332" s="9" t="str">
        <f ca="1">+WORLDCUP!BD59</f>
        <v>Canadá</v>
      </c>
      <c r="F332" s="9" t="str">
        <f ca="1">+WORLDCUP!BD61</f>
        <v>Paraguay</v>
      </c>
      <c r="G332" s="9" t="str">
        <f ca="1">+WORLDCUP!BD58</f>
        <v>República Checa</v>
      </c>
      <c r="H332" s="9" t="str">
        <f ca="1">+WORLDCUP!BD63</f>
        <v>Suecia</v>
      </c>
      <c r="I332" s="9" t="str">
        <f ca="1">+WORLDCUP!BD67</f>
        <v>Argelia</v>
      </c>
      <c r="J332" s="9" t="str">
        <f ca="1">+WORLDCUP!BD68</f>
        <v>RD Congo</v>
      </c>
      <c r="N332" s="9" t="s">
        <v>914</v>
      </c>
      <c r="O332" s="9">
        <v>331</v>
      </c>
      <c r="P332" s="9" t="s">
        <v>436</v>
      </c>
      <c r="Q332" s="9" t="s">
        <v>435</v>
      </c>
      <c r="R332" s="9" t="s">
        <v>90</v>
      </c>
      <c r="S332" s="9" t="s">
        <v>92</v>
      </c>
      <c r="T332" s="9" t="s">
        <v>89</v>
      </c>
      <c r="U332" s="9" t="s">
        <v>94</v>
      </c>
      <c r="V332" s="9" t="s">
        <v>441</v>
      </c>
      <c r="W332" s="9" t="s">
        <v>442</v>
      </c>
    </row>
    <row r="333" spans="1:23">
      <c r="A333" s="9" t="s">
        <v>913</v>
      </c>
      <c r="B333" s="9">
        <f ca="1">+IF(A333=WORLDCUP!$BI$112,1,0)</f>
        <v>0</v>
      </c>
      <c r="C333" s="9" t="str">
        <f ca="1">+WORLDCUP!BD65</f>
        <v>Arabia Saudita</v>
      </c>
      <c r="D333" s="9" t="str">
        <f ca="1">+WORLDCUP!BD64</f>
        <v>Egipto</v>
      </c>
      <c r="E333" s="9" t="str">
        <f ca="1">+WORLDCUP!BD59</f>
        <v>Canadá</v>
      </c>
      <c r="F333" s="9" t="str">
        <f ca="1">+WORLDCUP!BD61</f>
        <v>Paraguay</v>
      </c>
      <c r="G333" s="9" t="str">
        <f ca="1">+WORLDCUP!BD58</f>
        <v>República Checa</v>
      </c>
      <c r="H333" s="9" t="str">
        <f ca="1">+WORLDCUP!BD63</f>
        <v>Suecia</v>
      </c>
      <c r="I333" s="9" t="str">
        <f ca="1">+WORLDCUP!BD69</f>
        <v>Ghana</v>
      </c>
      <c r="J333" s="9" t="str">
        <f ca="1">+WORLDCUP!BD66</f>
        <v>Senegal</v>
      </c>
      <c r="N333" s="9" t="s">
        <v>913</v>
      </c>
      <c r="O333" s="9">
        <v>332</v>
      </c>
      <c r="P333" s="9" t="s">
        <v>436</v>
      </c>
      <c r="Q333" s="9" t="s">
        <v>435</v>
      </c>
      <c r="R333" s="9" t="s">
        <v>90</v>
      </c>
      <c r="S333" s="9" t="s">
        <v>92</v>
      </c>
      <c r="T333" s="9" t="s">
        <v>89</v>
      </c>
      <c r="U333" s="9" t="s">
        <v>94</v>
      </c>
      <c r="V333" s="9" t="s">
        <v>443</v>
      </c>
      <c r="W333" s="9" t="s">
        <v>440</v>
      </c>
    </row>
    <row r="334" spans="1:23">
      <c r="A334" s="9" t="s">
        <v>912</v>
      </c>
      <c r="B334" s="9">
        <f ca="1">+IF(A334=WORLDCUP!$BI$112,1,0)</f>
        <v>0</v>
      </c>
      <c r="C334" s="9" t="str">
        <f ca="1">+WORLDCUP!BD65</f>
        <v>Arabia Saudita</v>
      </c>
      <c r="D334" s="9" t="str">
        <f ca="1">+WORLDCUP!BD64</f>
        <v>Egipto</v>
      </c>
      <c r="E334" s="9" t="str">
        <f ca="1">+WORLDCUP!BD59</f>
        <v>Canadá</v>
      </c>
      <c r="F334" s="9" t="str">
        <f ca="1">+WORLDCUP!BD61</f>
        <v>Paraguay</v>
      </c>
      <c r="G334" s="9" t="str">
        <f ca="1">+WORLDCUP!BD58</f>
        <v>República Checa</v>
      </c>
      <c r="H334" s="9" t="str">
        <f ca="1">+WORLDCUP!BD63</f>
        <v>Suecia</v>
      </c>
      <c r="I334" s="9" t="str">
        <f ca="1">+WORLDCUP!BD66</f>
        <v>Senegal</v>
      </c>
      <c r="J334" s="9" t="str">
        <f ca="1">+WORLDCUP!BD68</f>
        <v>RD Congo</v>
      </c>
      <c r="N334" s="9" t="s">
        <v>912</v>
      </c>
      <c r="O334" s="9">
        <v>333</v>
      </c>
      <c r="P334" s="9" t="s">
        <v>436</v>
      </c>
      <c r="Q334" s="9" t="s">
        <v>435</v>
      </c>
      <c r="R334" s="9" t="s">
        <v>90</v>
      </c>
      <c r="S334" s="9" t="s">
        <v>92</v>
      </c>
      <c r="T334" s="9" t="s">
        <v>89</v>
      </c>
      <c r="U334" s="9" t="s">
        <v>94</v>
      </c>
      <c r="V334" s="9" t="s">
        <v>440</v>
      </c>
      <c r="W334" s="9" t="s">
        <v>442</v>
      </c>
    </row>
    <row r="335" spans="1:23">
      <c r="A335" s="9" t="s">
        <v>911</v>
      </c>
      <c r="B335" s="9">
        <f ca="1">+IF(A335=WORLDCUP!$BI$112,1,0)</f>
        <v>0</v>
      </c>
      <c r="C335" s="9" t="str">
        <f ca="1">+WORLDCUP!BD65</f>
        <v>Arabia Saudita</v>
      </c>
      <c r="D335" s="9" t="str">
        <f ca="1">+WORLDCUP!BD64</f>
        <v>Egipto</v>
      </c>
      <c r="E335" s="9" t="str">
        <f ca="1">+WORLDCUP!BD59</f>
        <v>Canadá</v>
      </c>
      <c r="F335" s="9" t="str">
        <f ca="1">+WORLDCUP!BD61</f>
        <v>Paraguay</v>
      </c>
      <c r="G335" s="9" t="str">
        <f ca="1">+WORLDCUP!BD58</f>
        <v>República Checa</v>
      </c>
      <c r="H335" s="9" t="str">
        <f ca="1">+WORLDCUP!BD63</f>
        <v>Suecia</v>
      </c>
      <c r="I335" s="9" t="str">
        <f ca="1">+WORLDCUP!BD66</f>
        <v>Senegal</v>
      </c>
      <c r="J335" s="9" t="str">
        <f ca="1">+WORLDCUP!BD67</f>
        <v>Argelia</v>
      </c>
      <c r="N335" s="9" t="s">
        <v>911</v>
      </c>
      <c r="O335" s="9">
        <v>334</v>
      </c>
      <c r="P335" s="9" t="s">
        <v>436</v>
      </c>
      <c r="Q335" s="9" t="s">
        <v>435</v>
      </c>
      <c r="R335" s="9" t="s">
        <v>90</v>
      </c>
      <c r="S335" s="9" t="s">
        <v>92</v>
      </c>
      <c r="T335" s="9" t="s">
        <v>89</v>
      </c>
      <c r="U335" s="9" t="s">
        <v>94</v>
      </c>
      <c r="V335" s="9" t="s">
        <v>440</v>
      </c>
      <c r="W335" s="9" t="s">
        <v>441</v>
      </c>
    </row>
    <row r="336" spans="1:23">
      <c r="A336" s="9" t="s">
        <v>910</v>
      </c>
      <c r="B336" s="9">
        <f ca="1">+IF(A336=WORLDCUP!$BI$112,1,0)</f>
        <v>0</v>
      </c>
      <c r="C336" s="9" t="str">
        <f ca="1">+WORLDCUP!BD62</f>
        <v>Ecuador</v>
      </c>
      <c r="D336" s="9" t="str">
        <f ca="1">+WORLDCUP!BD67</f>
        <v>Argelia</v>
      </c>
      <c r="E336" s="9" t="str">
        <f ca="1">+WORLDCUP!BD59</f>
        <v>Canadá</v>
      </c>
      <c r="F336" s="9" t="str">
        <f ca="1">+WORLDCUP!BD58</f>
        <v>República Checa</v>
      </c>
      <c r="G336" s="9" t="str">
        <f ca="1">+WORLDCUP!BD66</f>
        <v>Senegal</v>
      </c>
      <c r="H336" s="9" t="str">
        <f ca="1">+WORLDCUP!BD61</f>
        <v>Paraguay</v>
      </c>
      <c r="I336" s="9" t="str">
        <f ca="1">+WORLDCUP!BD69</f>
        <v>Ghana</v>
      </c>
      <c r="J336" s="9" t="str">
        <f ca="1">+WORLDCUP!BD68</f>
        <v>RD Congo</v>
      </c>
      <c r="N336" s="9" t="s">
        <v>910</v>
      </c>
      <c r="O336" s="9">
        <v>335</v>
      </c>
      <c r="P336" s="9" t="s">
        <v>93</v>
      </c>
      <c r="Q336" s="9" t="s">
        <v>441</v>
      </c>
      <c r="R336" s="9" t="s">
        <v>90</v>
      </c>
      <c r="S336" s="9" t="s">
        <v>89</v>
      </c>
      <c r="T336" s="9" t="s">
        <v>440</v>
      </c>
      <c r="U336" s="9" t="s">
        <v>92</v>
      </c>
      <c r="V336" s="9" t="s">
        <v>443</v>
      </c>
      <c r="W336" s="9" t="s">
        <v>442</v>
      </c>
    </row>
    <row r="337" spans="1:23">
      <c r="A337" s="9" t="s">
        <v>909</v>
      </c>
      <c r="B337" s="9">
        <f ca="1">+IF(A337=WORLDCUP!$BI$112,1,0)</f>
        <v>0</v>
      </c>
      <c r="C337" s="9" t="str">
        <f ca="1">+WORLDCUP!BD62</f>
        <v>Ecuador</v>
      </c>
      <c r="D337" s="9" t="str">
        <f ca="1">+WORLDCUP!BD67</f>
        <v>Argelia</v>
      </c>
      <c r="E337" s="9" t="str">
        <f ca="1">+WORLDCUP!BD59</f>
        <v>Canadá</v>
      </c>
      <c r="F337" s="9" t="str">
        <f ca="1">+WORLDCUP!BD61</f>
        <v>Paraguay</v>
      </c>
      <c r="G337" s="9" t="str">
        <f ca="1">+WORLDCUP!BD58</f>
        <v>República Checa</v>
      </c>
      <c r="H337" s="9" t="str">
        <f ca="1">+WORLDCUP!BD65</f>
        <v>Arabia Saudita</v>
      </c>
      <c r="I337" s="9" t="str">
        <f ca="1">+WORLDCUP!BD69</f>
        <v>Ghana</v>
      </c>
      <c r="J337" s="9" t="str">
        <f ca="1">+WORLDCUP!BD68</f>
        <v>RD Congo</v>
      </c>
      <c r="N337" s="9" t="s">
        <v>909</v>
      </c>
      <c r="O337" s="9">
        <v>336</v>
      </c>
      <c r="P337" s="9" t="s">
        <v>93</v>
      </c>
      <c r="Q337" s="9" t="s">
        <v>441</v>
      </c>
      <c r="R337" s="9" t="s">
        <v>90</v>
      </c>
      <c r="S337" s="9" t="s">
        <v>92</v>
      </c>
      <c r="T337" s="9" t="s">
        <v>89</v>
      </c>
      <c r="U337" s="9" t="s">
        <v>436</v>
      </c>
      <c r="V337" s="9" t="s">
        <v>443</v>
      </c>
      <c r="W337" s="9" t="s">
        <v>442</v>
      </c>
    </row>
    <row r="338" spans="1:23">
      <c r="A338" s="9" t="s">
        <v>908</v>
      </c>
      <c r="B338" s="9">
        <f ca="1">+IF(A338=WORLDCUP!$BI$112,1,0)</f>
        <v>0</v>
      </c>
      <c r="C338" s="9" t="str">
        <f ca="1">+WORLDCUP!BD62</f>
        <v>Ecuador</v>
      </c>
      <c r="D338" s="9" t="str">
        <f ca="1">+WORLDCUP!BD66</f>
        <v>Senegal</v>
      </c>
      <c r="E338" s="9" t="str">
        <f ca="1">+WORLDCUP!BD59</f>
        <v>Canadá</v>
      </c>
      <c r="F338" s="9" t="str">
        <f ca="1">+WORLDCUP!BD61</f>
        <v>Paraguay</v>
      </c>
      <c r="G338" s="9" t="str">
        <f ca="1">+WORLDCUP!BD58</f>
        <v>República Checa</v>
      </c>
      <c r="H338" s="9" t="str">
        <f ca="1">+WORLDCUP!BD65</f>
        <v>Arabia Saudita</v>
      </c>
      <c r="I338" s="9" t="str">
        <f ca="1">+WORLDCUP!BD69</f>
        <v>Ghana</v>
      </c>
      <c r="J338" s="9" t="str">
        <f ca="1">+WORLDCUP!BD68</f>
        <v>RD Congo</v>
      </c>
      <c r="N338" s="9" t="s">
        <v>908</v>
      </c>
      <c r="O338" s="9">
        <v>337</v>
      </c>
      <c r="P338" s="9" t="s">
        <v>93</v>
      </c>
      <c r="Q338" s="9" t="s">
        <v>440</v>
      </c>
      <c r="R338" s="9" t="s">
        <v>90</v>
      </c>
      <c r="S338" s="9" t="s">
        <v>92</v>
      </c>
      <c r="T338" s="9" t="s">
        <v>89</v>
      </c>
      <c r="U338" s="9" t="s">
        <v>436</v>
      </c>
      <c r="V338" s="9" t="s">
        <v>443</v>
      </c>
      <c r="W338" s="9" t="s">
        <v>442</v>
      </c>
    </row>
    <row r="339" spans="1:23">
      <c r="A339" s="9" t="s">
        <v>907</v>
      </c>
      <c r="B339" s="9">
        <f ca="1">+IF(A339=WORLDCUP!$BI$112,1,0)</f>
        <v>0</v>
      </c>
      <c r="C339" s="9" t="str">
        <f ca="1">+WORLDCUP!BD62</f>
        <v>Ecuador</v>
      </c>
      <c r="D339" s="9" t="str">
        <f ca="1">+WORLDCUP!BD67</f>
        <v>Argelia</v>
      </c>
      <c r="E339" s="9" t="str">
        <f ca="1">+WORLDCUP!BD59</f>
        <v>Canadá</v>
      </c>
      <c r="F339" s="9" t="str">
        <f ca="1">+WORLDCUP!BD61</f>
        <v>Paraguay</v>
      </c>
      <c r="G339" s="9" t="str">
        <f ca="1">+WORLDCUP!BD58</f>
        <v>República Checa</v>
      </c>
      <c r="H339" s="9" t="str">
        <f ca="1">+WORLDCUP!BD65</f>
        <v>Arabia Saudita</v>
      </c>
      <c r="I339" s="9" t="str">
        <f ca="1">+WORLDCUP!BD69</f>
        <v>Ghana</v>
      </c>
      <c r="J339" s="9" t="str">
        <f ca="1">+WORLDCUP!BD66</f>
        <v>Senegal</v>
      </c>
      <c r="N339" s="9" t="s">
        <v>907</v>
      </c>
      <c r="O339" s="9">
        <v>338</v>
      </c>
      <c r="P339" s="9" t="s">
        <v>93</v>
      </c>
      <c r="Q339" s="9" t="s">
        <v>441</v>
      </c>
      <c r="R339" s="9" t="s">
        <v>90</v>
      </c>
      <c r="S339" s="9" t="s">
        <v>92</v>
      </c>
      <c r="T339" s="9" t="s">
        <v>89</v>
      </c>
      <c r="U339" s="9" t="s">
        <v>436</v>
      </c>
      <c r="V339" s="9" t="s">
        <v>443</v>
      </c>
      <c r="W339" s="9" t="s">
        <v>440</v>
      </c>
    </row>
    <row r="340" spans="1:23">
      <c r="A340" s="9" t="s">
        <v>906</v>
      </c>
      <c r="B340" s="9">
        <f ca="1">+IF(A340=WORLDCUP!$BI$112,1,0)</f>
        <v>0</v>
      </c>
      <c r="C340" s="9" t="str">
        <f ca="1">+WORLDCUP!BD62</f>
        <v>Ecuador</v>
      </c>
      <c r="D340" s="9" t="str">
        <f ca="1">+WORLDCUP!BD67</f>
        <v>Argelia</v>
      </c>
      <c r="E340" s="9" t="str">
        <f ca="1">+WORLDCUP!BD59</f>
        <v>Canadá</v>
      </c>
      <c r="F340" s="9" t="str">
        <f ca="1">+WORLDCUP!BD61</f>
        <v>Paraguay</v>
      </c>
      <c r="G340" s="9" t="str">
        <f ca="1">+WORLDCUP!BD58</f>
        <v>República Checa</v>
      </c>
      <c r="H340" s="9" t="str">
        <f ca="1">+WORLDCUP!BD65</f>
        <v>Arabia Saudita</v>
      </c>
      <c r="I340" s="9" t="str">
        <f ca="1">+WORLDCUP!BD66</f>
        <v>Senegal</v>
      </c>
      <c r="J340" s="9" t="str">
        <f ca="1">+WORLDCUP!BD68</f>
        <v>RD Congo</v>
      </c>
      <c r="N340" s="9" t="s">
        <v>906</v>
      </c>
      <c r="O340" s="9">
        <v>339</v>
      </c>
      <c r="P340" s="9" t="s">
        <v>93</v>
      </c>
      <c r="Q340" s="9" t="s">
        <v>441</v>
      </c>
      <c r="R340" s="9" t="s">
        <v>90</v>
      </c>
      <c r="S340" s="9" t="s">
        <v>92</v>
      </c>
      <c r="T340" s="9" t="s">
        <v>89</v>
      </c>
      <c r="U340" s="9" t="s">
        <v>436</v>
      </c>
      <c r="V340" s="9" t="s">
        <v>440</v>
      </c>
      <c r="W340" s="9" t="s">
        <v>442</v>
      </c>
    </row>
    <row r="341" spans="1:23">
      <c r="A341" s="9" t="s">
        <v>905</v>
      </c>
      <c r="B341" s="9">
        <f ca="1">+IF(A341=WORLDCUP!$BI$112,1,0)</f>
        <v>0</v>
      </c>
      <c r="C341" s="9" t="str">
        <f ca="1">+WORLDCUP!BD62</f>
        <v>Ecuador</v>
      </c>
      <c r="D341" s="9" t="str">
        <f ca="1">+WORLDCUP!BD67</f>
        <v>Argelia</v>
      </c>
      <c r="E341" s="9" t="str">
        <f ca="1">+WORLDCUP!BD59</f>
        <v>Canadá</v>
      </c>
      <c r="F341" s="9" t="str">
        <f ca="1">+WORLDCUP!BD61</f>
        <v>Paraguay</v>
      </c>
      <c r="G341" s="9" t="str">
        <f ca="1">+WORLDCUP!BD58</f>
        <v>República Checa</v>
      </c>
      <c r="H341" s="9" t="str">
        <f ca="1">+WORLDCUP!BD64</f>
        <v>Egipto</v>
      </c>
      <c r="I341" s="9" t="str">
        <f ca="1">+WORLDCUP!BD69</f>
        <v>Ghana</v>
      </c>
      <c r="J341" s="9" t="str">
        <f ca="1">+WORLDCUP!BD68</f>
        <v>RD Congo</v>
      </c>
      <c r="N341" s="9" t="s">
        <v>905</v>
      </c>
      <c r="O341" s="9">
        <v>340</v>
      </c>
      <c r="P341" s="9" t="s">
        <v>93</v>
      </c>
      <c r="Q341" s="9" t="s">
        <v>441</v>
      </c>
      <c r="R341" s="9" t="s">
        <v>90</v>
      </c>
      <c r="S341" s="9" t="s">
        <v>92</v>
      </c>
      <c r="T341" s="9" t="s">
        <v>89</v>
      </c>
      <c r="U341" s="9" t="s">
        <v>435</v>
      </c>
      <c r="V341" s="9" t="s">
        <v>443</v>
      </c>
      <c r="W341" s="9" t="s">
        <v>442</v>
      </c>
    </row>
    <row r="342" spans="1:23">
      <c r="A342" s="9" t="s">
        <v>904</v>
      </c>
      <c r="B342" s="9">
        <f ca="1">+IF(A342=WORLDCUP!$BI$112,1,0)</f>
        <v>0</v>
      </c>
      <c r="C342" s="9" t="str">
        <f ca="1">+WORLDCUP!BD62</f>
        <v>Ecuador</v>
      </c>
      <c r="D342" s="9" t="str">
        <f ca="1">+WORLDCUP!BD64</f>
        <v>Egipto</v>
      </c>
      <c r="E342" s="9" t="str">
        <f ca="1">+WORLDCUP!BD59</f>
        <v>Canadá</v>
      </c>
      <c r="F342" s="9" t="str">
        <f ca="1">+WORLDCUP!BD58</f>
        <v>República Checa</v>
      </c>
      <c r="G342" s="9" t="str">
        <f ca="1">+WORLDCUP!BD66</f>
        <v>Senegal</v>
      </c>
      <c r="H342" s="9" t="str">
        <f ca="1">+WORLDCUP!BD61</f>
        <v>Paraguay</v>
      </c>
      <c r="I342" s="9" t="str">
        <f ca="1">+WORLDCUP!BD69</f>
        <v>Ghana</v>
      </c>
      <c r="J342" s="9" t="str">
        <f ca="1">+WORLDCUP!BD68</f>
        <v>RD Congo</v>
      </c>
      <c r="N342" s="9" t="s">
        <v>904</v>
      </c>
      <c r="O342" s="9">
        <v>341</v>
      </c>
      <c r="P342" s="9" t="s">
        <v>93</v>
      </c>
      <c r="Q342" s="9" t="s">
        <v>435</v>
      </c>
      <c r="R342" s="9" t="s">
        <v>90</v>
      </c>
      <c r="S342" s="9" t="s">
        <v>89</v>
      </c>
      <c r="T342" s="9" t="s">
        <v>440</v>
      </c>
      <c r="U342" s="9" t="s">
        <v>92</v>
      </c>
      <c r="V342" s="9" t="s">
        <v>443</v>
      </c>
      <c r="W342" s="9" t="s">
        <v>442</v>
      </c>
    </row>
    <row r="343" spans="1:23">
      <c r="A343" s="9" t="s">
        <v>903</v>
      </c>
      <c r="B343" s="9">
        <f ca="1">+IF(A343=WORLDCUP!$BI$112,1,0)</f>
        <v>0</v>
      </c>
      <c r="C343" s="9" t="str">
        <f ca="1">+WORLDCUP!BD62</f>
        <v>Ecuador</v>
      </c>
      <c r="D343" s="9" t="str">
        <f ca="1">+WORLDCUP!BD67</f>
        <v>Argelia</v>
      </c>
      <c r="E343" s="9" t="str">
        <f ca="1">+WORLDCUP!BD59</f>
        <v>Canadá</v>
      </c>
      <c r="F343" s="9" t="str">
        <f ca="1">+WORLDCUP!BD61</f>
        <v>Paraguay</v>
      </c>
      <c r="G343" s="9" t="str">
        <f ca="1">+WORLDCUP!BD58</f>
        <v>República Checa</v>
      </c>
      <c r="H343" s="9" t="str">
        <f ca="1">+WORLDCUP!BD64</f>
        <v>Egipto</v>
      </c>
      <c r="I343" s="9" t="str">
        <f ca="1">+WORLDCUP!BD69</f>
        <v>Ghana</v>
      </c>
      <c r="J343" s="9" t="str">
        <f ca="1">+WORLDCUP!BD66</f>
        <v>Senegal</v>
      </c>
      <c r="N343" s="9" t="s">
        <v>903</v>
      </c>
      <c r="O343" s="9">
        <v>342</v>
      </c>
      <c r="P343" s="9" t="s">
        <v>93</v>
      </c>
      <c r="Q343" s="9" t="s">
        <v>441</v>
      </c>
      <c r="R343" s="9" t="s">
        <v>90</v>
      </c>
      <c r="S343" s="9" t="s">
        <v>92</v>
      </c>
      <c r="T343" s="9" t="s">
        <v>89</v>
      </c>
      <c r="U343" s="9" t="s">
        <v>435</v>
      </c>
      <c r="V343" s="9" t="s">
        <v>443</v>
      </c>
      <c r="W343" s="9" t="s">
        <v>440</v>
      </c>
    </row>
    <row r="344" spans="1:23">
      <c r="A344" s="9" t="s">
        <v>902</v>
      </c>
      <c r="B344" s="9">
        <f ca="1">+IF(A344=WORLDCUP!$BI$112,1,0)</f>
        <v>0</v>
      </c>
      <c r="C344" s="9" t="str">
        <f ca="1">+WORLDCUP!BD62</f>
        <v>Ecuador</v>
      </c>
      <c r="D344" s="9" t="str">
        <f ca="1">+WORLDCUP!BD67</f>
        <v>Argelia</v>
      </c>
      <c r="E344" s="9" t="str">
        <f ca="1">+WORLDCUP!BD59</f>
        <v>Canadá</v>
      </c>
      <c r="F344" s="9" t="str">
        <f ca="1">+WORLDCUP!BD61</f>
        <v>Paraguay</v>
      </c>
      <c r="G344" s="9" t="str">
        <f ca="1">+WORLDCUP!BD58</f>
        <v>República Checa</v>
      </c>
      <c r="H344" s="9" t="str">
        <f ca="1">+WORLDCUP!BD64</f>
        <v>Egipto</v>
      </c>
      <c r="I344" s="9" t="str">
        <f ca="1">+WORLDCUP!BD66</f>
        <v>Senegal</v>
      </c>
      <c r="J344" s="9" t="str">
        <f ca="1">+WORLDCUP!BD68</f>
        <v>RD Congo</v>
      </c>
      <c r="N344" s="9" t="s">
        <v>902</v>
      </c>
      <c r="O344" s="9">
        <v>343</v>
      </c>
      <c r="P344" s="9" t="s">
        <v>93</v>
      </c>
      <c r="Q344" s="9" t="s">
        <v>441</v>
      </c>
      <c r="R344" s="9" t="s">
        <v>90</v>
      </c>
      <c r="S344" s="9" t="s">
        <v>92</v>
      </c>
      <c r="T344" s="9" t="s">
        <v>89</v>
      </c>
      <c r="U344" s="9" t="s">
        <v>435</v>
      </c>
      <c r="V344" s="9" t="s">
        <v>440</v>
      </c>
      <c r="W344" s="9" t="s">
        <v>442</v>
      </c>
    </row>
    <row r="345" spans="1:23">
      <c r="A345" s="9" t="s">
        <v>901</v>
      </c>
      <c r="B345" s="9">
        <f ca="1">+IF(A345=WORLDCUP!$BI$112,1,0)</f>
        <v>0</v>
      </c>
      <c r="C345" s="9" t="str">
        <f ca="1">+WORLDCUP!BD62</f>
        <v>Ecuador</v>
      </c>
      <c r="D345" s="9" t="str">
        <f ca="1">+WORLDCUP!BD64</f>
        <v>Egipto</v>
      </c>
      <c r="E345" s="9" t="str">
        <f ca="1">+WORLDCUP!BD59</f>
        <v>Canadá</v>
      </c>
      <c r="F345" s="9" t="str">
        <f ca="1">+WORLDCUP!BD61</f>
        <v>Paraguay</v>
      </c>
      <c r="G345" s="9" t="str">
        <f ca="1">+WORLDCUP!BD58</f>
        <v>República Checa</v>
      </c>
      <c r="H345" s="9" t="str">
        <f ca="1">+WORLDCUP!BD65</f>
        <v>Arabia Saudita</v>
      </c>
      <c r="I345" s="9" t="str">
        <f ca="1">+WORLDCUP!BD69</f>
        <v>Ghana</v>
      </c>
      <c r="J345" s="9" t="str">
        <f ca="1">+WORLDCUP!BD68</f>
        <v>RD Congo</v>
      </c>
      <c r="N345" s="9" t="s">
        <v>901</v>
      </c>
      <c r="O345" s="9">
        <v>344</v>
      </c>
      <c r="P345" s="9" t="s">
        <v>93</v>
      </c>
      <c r="Q345" s="9" t="s">
        <v>435</v>
      </c>
      <c r="R345" s="9" t="s">
        <v>90</v>
      </c>
      <c r="S345" s="9" t="s">
        <v>92</v>
      </c>
      <c r="T345" s="9" t="s">
        <v>89</v>
      </c>
      <c r="U345" s="9" t="s">
        <v>436</v>
      </c>
      <c r="V345" s="9" t="s">
        <v>443</v>
      </c>
      <c r="W345" s="9" t="s">
        <v>442</v>
      </c>
    </row>
    <row r="346" spans="1:23">
      <c r="A346" s="9" t="s">
        <v>900</v>
      </c>
      <c r="B346" s="9">
        <f ca="1">+IF(A346=WORLDCUP!$BI$112,1,0)</f>
        <v>0</v>
      </c>
      <c r="C346" s="9" t="str">
        <f ca="1">+WORLDCUP!BD65</f>
        <v>Arabia Saudita</v>
      </c>
      <c r="D346" s="9" t="str">
        <f ca="1">+WORLDCUP!BD67</f>
        <v>Argelia</v>
      </c>
      <c r="E346" s="9" t="str">
        <f ca="1">+WORLDCUP!BD59</f>
        <v>Canadá</v>
      </c>
      <c r="F346" s="9" t="str">
        <f ca="1">+WORLDCUP!BD61</f>
        <v>Paraguay</v>
      </c>
      <c r="G346" s="9" t="str">
        <f ca="1">+WORLDCUP!BD58</f>
        <v>República Checa</v>
      </c>
      <c r="H346" s="9" t="str">
        <f ca="1">+WORLDCUP!BD64</f>
        <v>Egipto</v>
      </c>
      <c r="I346" s="9" t="str">
        <f ca="1">+WORLDCUP!BD69</f>
        <v>Ghana</v>
      </c>
      <c r="J346" s="9" t="str">
        <f ca="1">+WORLDCUP!BD62</f>
        <v>Ecuador</v>
      </c>
      <c r="N346" s="9" t="s">
        <v>900</v>
      </c>
      <c r="O346" s="9">
        <v>345</v>
      </c>
      <c r="P346" s="9" t="s">
        <v>436</v>
      </c>
      <c r="Q346" s="9" t="s">
        <v>441</v>
      </c>
      <c r="R346" s="9" t="s">
        <v>90</v>
      </c>
      <c r="S346" s="9" t="s">
        <v>92</v>
      </c>
      <c r="T346" s="9" t="s">
        <v>89</v>
      </c>
      <c r="U346" s="9" t="s">
        <v>435</v>
      </c>
      <c r="V346" s="9" t="s">
        <v>443</v>
      </c>
      <c r="W346" s="9" t="s">
        <v>93</v>
      </c>
    </row>
    <row r="347" spans="1:23">
      <c r="A347" s="9" t="s">
        <v>899</v>
      </c>
      <c r="B347" s="9">
        <f ca="1">+IF(A347=WORLDCUP!$BI$112,1,0)</f>
        <v>0</v>
      </c>
      <c r="C347" s="9" t="str">
        <f ca="1">+WORLDCUP!BD65</f>
        <v>Arabia Saudita</v>
      </c>
      <c r="D347" s="9" t="str">
        <f ca="1">+WORLDCUP!BD67</f>
        <v>Argelia</v>
      </c>
      <c r="E347" s="9" t="str">
        <f ca="1">+WORLDCUP!BD59</f>
        <v>Canadá</v>
      </c>
      <c r="F347" s="9" t="str">
        <f ca="1">+WORLDCUP!BD61</f>
        <v>Paraguay</v>
      </c>
      <c r="G347" s="9" t="str">
        <f ca="1">+WORLDCUP!BD58</f>
        <v>República Checa</v>
      </c>
      <c r="H347" s="9" t="str">
        <f ca="1">+WORLDCUP!BD64</f>
        <v>Egipto</v>
      </c>
      <c r="I347" s="9" t="str">
        <f ca="1">+WORLDCUP!BD62</f>
        <v>Ecuador</v>
      </c>
      <c r="J347" s="9" t="str">
        <f ca="1">+WORLDCUP!BD68</f>
        <v>RD Congo</v>
      </c>
      <c r="N347" s="9" t="s">
        <v>899</v>
      </c>
      <c r="O347" s="9">
        <v>346</v>
      </c>
      <c r="P347" s="9" t="s">
        <v>436</v>
      </c>
      <c r="Q347" s="9" t="s">
        <v>441</v>
      </c>
      <c r="R347" s="9" t="s">
        <v>90</v>
      </c>
      <c r="S347" s="9" t="s">
        <v>92</v>
      </c>
      <c r="T347" s="9" t="s">
        <v>89</v>
      </c>
      <c r="U347" s="9" t="s">
        <v>435</v>
      </c>
      <c r="V347" s="9" t="s">
        <v>93</v>
      </c>
      <c r="W347" s="9" t="s">
        <v>442</v>
      </c>
    </row>
    <row r="348" spans="1:23">
      <c r="A348" s="9" t="s">
        <v>898</v>
      </c>
      <c r="B348" s="9">
        <f ca="1">+IF(A348=WORLDCUP!$BI$112,1,0)</f>
        <v>0</v>
      </c>
      <c r="C348" s="9" t="str">
        <f ca="1">+WORLDCUP!BD62</f>
        <v>Ecuador</v>
      </c>
      <c r="D348" s="9" t="str">
        <f ca="1">+WORLDCUP!BD64</f>
        <v>Egipto</v>
      </c>
      <c r="E348" s="9" t="str">
        <f ca="1">+WORLDCUP!BD59</f>
        <v>Canadá</v>
      </c>
      <c r="F348" s="9" t="str">
        <f ca="1">+WORLDCUP!BD61</f>
        <v>Paraguay</v>
      </c>
      <c r="G348" s="9" t="str">
        <f ca="1">+WORLDCUP!BD58</f>
        <v>República Checa</v>
      </c>
      <c r="H348" s="9" t="str">
        <f ca="1">+WORLDCUP!BD65</f>
        <v>Arabia Saudita</v>
      </c>
      <c r="I348" s="9" t="str">
        <f ca="1">+WORLDCUP!BD69</f>
        <v>Ghana</v>
      </c>
      <c r="J348" s="9" t="str">
        <f ca="1">+WORLDCUP!BD66</f>
        <v>Senegal</v>
      </c>
      <c r="N348" s="9" t="s">
        <v>898</v>
      </c>
      <c r="O348" s="9">
        <v>347</v>
      </c>
      <c r="P348" s="9" t="s">
        <v>93</v>
      </c>
      <c r="Q348" s="9" t="s">
        <v>435</v>
      </c>
      <c r="R348" s="9" t="s">
        <v>90</v>
      </c>
      <c r="S348" s="9" t="s">
        <v>92</v>
      </c>
      <c r="T348" s="9" t="s">
        <v>89</v>
      </c>
      <c r="U348" s="9" t="s">
        <v>436</v>
      </c>
      <c r="V348" s="9" t="s">
        <v>443</v>
      </c>
      <c r="W348" s="9" t="s">
        <v>440</v>
      </c>
    </row>
    <row r="349" spans="1:23">
      <c r="A349" s="9" t="s">
        <v>897</v>
      </c>
      <c r="B349" s="9">
        <f ca="1">+IF(A349=WORLDCUP!$BI$112,1,0)</f>
        <v>0</v>
      </c>
      <c r="C349" s="9" t="str">
        <f ca="1">+WORLDCUP!BD62</f>
        <v>Ecuador</v>
      </c>
      <c r="D349" s="9" t="str">
        <f ca="1">+WORLDCUP!BD64</f>
        <v>Egipto</v>
      </c>
      <c r="E349" s="9" t="str">
        <f ca="1">+WORLDCUP!BD59</f>
        <v>Canadá</v>
      </c>
      <c r="F349" s="9" t="str">
        <f ca="1">+WORLDCUP!BD61</f>
        <v>Paraguay</v>
      </c>
      <c r="G349" s="9" t="str">
        <f ca="1">+WORLDCUP!BD58</f>
        <v>República Checa</v>
      </c>
      <c r="H349" s="9" t="str">
        <f ca="1">+WORLDCUP!BD65</f>
        <v>Arabia Saudita</v>
      </c>
      <c r="I349" s="9" t="str">
        <f ca="1">+WORLDCUP!BD66</f>
        <v>Senegal</v>
      </c>
      <c r="J349" s="9" t="str">
        <f ca="1">+WORLDCUP!BD68</f>
        <v>RD Congo</v>
      </c>
      <c r="N349" s="9" t="s">
        <v>897</v>
      </c>
      <c r="O349" s="9">
        <v>348</v>
      </c>
      <c r="P349" s="9" t="s">
        <v>93</v>
      </c>
      <c r="Q349" s="9" t="s">
        <v>435</v>
      </c>
      <c r="R349" s="9" t="s">
        <v>90</v>
      </c>
      <c r="S349" s="9" t="s">
        <v>92</v>
      </c>
      <c r="T349" s="9" t="s">
        <v>89</v>
      </c>
      <c r="U349" s="9" t="s">
        <v>436</v>
      </c>
      <c r="V349" s="9" t="s">
        <v>440</v>
      </c>
      <c r="W349" s="9" t="s">
        <v>442</v>
      </c>
    </row>
    <row r="350" spans="1:23">
      <c r="A350" s="9" t="s">
        <v>896</v>
      </c>
      <c r="B350" s="9">
        <f ca="1">+IF(A350=WORLDCUP!$BI$112,1,0)</f>
        <v>0</v>
      </c>
      <c r="C350" s="9" t="str">
        <f ca="1">+WORLDCUP!BD65</f>
        <v>Arabia Saudita</v>
      </c>
      <c r="D350" s="9" t="str">
        <f ca="1">+WORLDCUP!BD67</f>
        <v>Argelia</v>
      </c>
      <c r="E350" s="9" t="str">
        <f ca="1">+WORLDCUP!BD59</f>
        <v>Canadá</v>
      </c>
      <c r="F350" s="9" t="str">
        <f ca="1">+WORLDCUP!BD61</f>
        <v>Paraguay</v>
      </c>
      <c r="G350" s="9" t="str">
        <f ca="1">+WORLDCUP!BD58</f>
        <v>República Checa</v>
      </c>
      <c r="H350" s="9" t="str">
        <f ca="1">+WORLDCUP!BD64</f>
        <v>Egipto</v>
      </c>
      <c r="I350" s="9" t="str">
        <f ca="1">+WORLDCUP!BD62</f>
        <v>Ecuador</v>
      </c>
      <c r="J350" s="9" t="str">
        <f ca="1">+WORLDCUP!BD66</f>
        <v>Senegal</v>
      </c>
      <c r="N350" s="9" t="s">
        <v>896</v>
      </c>
      <c r="O350" s="9">
        <v>349</v>
      </c>
      <c r="P350" s="9" t="s">
        <v>436</v>
      </c>
      <c r="Q350" s="9" t="s">
        <v>441</v>
      </c>
      <c r="R350" s="9" t="s">
        <v>90</v>
      </c>
      <c r="S350" s="9" t="s">
        <v>92</v>
      </c>
      <c r="T350" s="9" t="s">
        <v>89</v>
      </c>
      <c r="U350" s="9" t="s">
        <v>435</v>
      </c>
      <c r="V350" s="9" t="s">
        <v>93</v>
      </c>
      <c r="W350" s="9" t="s">
        <v>440</v>
      </c>
    </row>
    <row r="351" spans="1:23">
      <c r="A351" s="9" t="s">
        <v>895</v>
      </c>
      <c r="B351" s="9">
        <f ca="1">+IF(A351=WORLDCUP!$BI$112,1,0)</f>
        <v>0</v>
      </c>
      <c r="C351" s="9" t="str">
        <f ca="1">+WORLDCUP!BD62</f>
        <v>Ecuador</v>
      </c>
      <c r="D351" s="9" t="str">
        <f ca="1">+WORLDCUP!BD67</f>
        <v>Argelia</v>
      </c>
      <c r="E351" s="9" t="str">
        <f ca="1">+WORLDCUP!BD59</f>
        <v>Canadá</v>
      </c>
      <c r="F351" s="9" t="str">
        <f ca="1">+WORLDCUP!BD61</f>
        <v>Paraguay</v>
      </c>
      <c r="G351" s="9" t="str">
        <f ca="1">+WORLDCUP!BD58</f>
        <v>República Checa</v>
      </c>
      <c r="H351" s="9" t="str">
        <f ca="1">+WORLDCUP!BD63</f>
        <v>Suecia</v>
      </c>
      <c r="I351" s="9" t="str">
        <f ca="1">+WORLDCUP!BD69</f>
        <v>Ghana</v>
      </c>
      <c r="J351" s="9" t="str">
        <f ca="1">+WORLDCUP!BD68</f>
        <v>RD Congo</v>
      </c>
      <c r="N351" s="9" t="s">
        <v>895</v>
      </c>
      <c r="O351" s="9">
        <v>350</v>
      </c>
      <c r="P351" s="9" t="s">
        <v>93</v>
      </c>
      <c r="Q351" s="9" t="s">
        <v>441</v>
      </c>
      <c r="R351" s="9" t="s">
        <v>90</v>
      </c>
      <c r="S351" s="9" t="s">
        <v>92</v>
      </c>
      <c r="T351" s="9" t="s">
        <v>89</v>
      </c>
      <c r="U351" s="9" t="s">
        <v>94</v>
      </c>
      <c r="V351" s="9" t="s">
        <v>443</v>
      </c>
      <c r="W351" s="9" t="s">
        <v>442</v>
      </c>
    </row>
    <row r="352" spans="1:23">
      <c r="A352" s="9" t="s">
        <v>894</v>
      </c>
      <c r="B352" s="9">
        <f ca="1">+IF(A352=WORLDCUP!$BI$112,1,0)</f>
        <v>0</v>
      </c>
      <c r="C352" s="9" t="str">
        <f ca="1">+WORLDCUP!BD62</f>
        <v>Ecuador</v>
      </c>
      <c r="D352" s="9" t="str">
        <f ca="1">+WORLDCUP!BD66</f>
        <v>Senegal</v>
      </c>
      <c r="E352" s="9" t="str">
        <f ca="1">+WORLDCUP!BD59</f>
        <v>Canadá</v>
      </c>
      <c r="F352" s="9" t="str">
        <f ca="1">+WORLDCUP!BD61</f>
        <v>Paraguay</v>
      </c>
      <c r="G352" s="9" t="str">
        <f ca="1">+WORLDCUP!BD58</f>
        <v>República Checa</v>
      </c>
      <c r="H352" s="9" t="str">
        <f ca="1">+WORLDCUP!BD63</f>
        <v>Suecia</v>
      </c>
      <c r="I352" s="9" t="str">
        <f ca="1">+WORLDCUP!BD69</f>
        <v>Ghana</v>
      </c>
      <c r="J352" s="9" t="str">
        <f ca="1">+WORLDCUP!BD68</f>
        <v>RD Congo</v>
      </c>
      <c r="N352" s="9" t="s">
        <v>894</v>
      </c>
      <c r="O352" s="9">
        <v>351</v>
      </c>
      <c r="P352" s="9" t="s">
        <v>93</v>
      </c>
      <c r="Q352" s="9" t="s">
        <v>440</v>
      </c>
      <c r="R352" s="9" t="s">
        <v>90</v>
      </c>
      <c r="S352" s="9" t="s">
        <v>92</v>
      </c>
      <c r="T352" s="9" t="s">
        <v>89</v>
      </c>
      <c r="U352" s="9" t="s">
        <v>94</v>
      </c>
      <c r="V352" s="9" t="s">
        <v>443</v>
      </c>
      <c r="W352" s="9" t="s">
        <v>442</v>
      </c>
    </row>
    <row r="353" spans="1:23">
      <c r="A353" s="9" t="s">
        <v>893</v>
      </c>
      <c r="B353" s="9">
        <f ca="1">+IF(A353=WORLDCUP!$BI$112,1,0)</f>
        <v>0</v>
      </c>
      <c r="C353" s="9" t="str">
        <f ca="1">+WORLDCUP!BD62</f>
        <v>Ecuador</v>
      </c>
      <c r="D353" s="9" t="str">
        <f ca="1">+WORLDCUP!BD67</f>
        <v>Argelia</v>
      </c>
      <c r="E353" s="9" t="str">
        <f ca="1">+WORLDCUP!BD59</f>
        <v>Canadá</v>
      </c>
      <c r="F353" s="9" t="str">
        <f ca="1">+WORLDCUP!BD61</f>
        <v>Paraguay</v>
      </c>
      <c r="G353" s="9" t="str">
        <f ca="1">+WORLDCUP!BD58</f>
        <v>República Checa</v>
      </c>
      <c r="H353" s="9" t="str">
        <f ca="1">+WORLDCUP!BD63</f>
        <v>Suecia</v>
      </c>
      <c r="I353" s="9" t="str">
        <f ca="1">+WORLDCUP!BD69</f>
        <v>Ghana</v>
      </c>
      <c r="J353" s="9" t="str">
        <f ca="1">+WORLDCUP!BD66</f>
        <v>Senegal</v>
      </c>
      <c r="N353" s="9" t="s">
        <v>893</v>
      </c>
      <c r="O353" s="9">
        <v>352</v>
      </c>
      <c r="P353" s="9" t="s">
        <v>93</v>
      </c>
      <c r="Q353" s="9" t="s">
        <v>441</v>
      </c>
      <c r="R353" s="9" t="s">
        <v>90</v>
      </c>
      <c r="S353" s="9" t="s">
        <v>92</v>
      </c>
      <c r="T353" s="9" t="s">
        <v>89</v>
      </c>
      <c r="U353" s="9" t="s">
        <v>94</v>
      </c>
      <c r="V353" s="9" t="s">
        <v>443</v>
      </c>
      <c r="W353" s="9" t="s">
        <v>440</v>
      </c>
    </row>
    <row r="354" spans="1:23">
      <c r="A354" s="9" t="s">
        <v>892</v>
      </c>
      <c r="B354" s="9">
        <f ca="1">+IF(A354=WORLDCUP!$BI$112,1,0)</f>
        <v>0</v>
      </c>
      <c r="C354" s="9" t="str">
        <f ca="1">+WORLDCUP!BD62</f>
        <v>Ecuador</v>
      </c>
      <c r="D354" s="9" t="str">
        <f ca="1">+WORLDCUP!BD67</f>
        <v>Argelia</v>
      </c>
      <c r="E354" s="9" t="str">
        <f ca="1">+WORLDCUP!BD59</f>
        <v>Canadá</v>
      </c>
      <c r="F354" s="9" t="str">
        <f ca="1">+WORLDCUP!BD61</f>
        <v>Paraguay</v>
      </c>
      <c r="G354" s="9" t="str">
        <f ca="1">+WORLDCUP!BD58</f>
        <v>República Checa</v>
      </c>
      <c r="H354" s="9" t="str">
        <f ca="1">+WORLDCUP!BD63</f>
        <v>Suecia</v>
      </c>
      <c r="I354" s="9" t="str">
        <f ca="1">+WORLDCUP!BD66</f>
        <v>Senegal</v>
      </c>
      <c r="J354" s="9" t="str">
        <f ca="1">+WORLDCUP!BD68</f>
        <v>RD Congo</v>
      </c>
      <c r="N354" s="9" t="s">
        <v>892</v>
      </c>
      <c r="O354" s="9">
        <v>353</v>
      </c>
      <c r="P354" s="9" t="s">
        <v>93</v>
      </c>
      <c r="Q354" s="9" t="s">
        <v>441</v>
      </c>
      <c r="R354" s="9" t="s">
        <v>90</v>
      </c>
      <c r="S354" s="9" t="s">
        <v>92</v>
      </c>
      <c r="T354" s="9" t="s">
        <v>89</v>
      </c>
      <c r="U354" s="9" t="s">
        <v>94</v>
      </c>
      <c r="V354" s="9" t="s">
        <v>440</v>
      </c>
      <c r="W354" s="9" t="s">
        <v>442</v>
      </c>
    </row>
    <row r="355" spans="1:23">
      <c r="A355" s="9" t="s">
        <v>891</v>
      </c>
      <c r="B355" s="9">
        <f ca="1">+IF(A355=WORLDCUP!$BI$112,1,0)</f>
        <v>0</v>
      </c>
      <c r="C355" s="9" t="str">
        <f ca="1">+WORLDCUP!BD65</f>
        <v>Arabia Saudita</v>
      </c>
      <c r="D355" s="9" t="str">
        <f ca="1">+WORLDCUP!BD62</f>
        <v>Ecuador</v>
      </c>
      <c r="E355" s="9" t="str">
        <f ca="1">+WORLDCUP!BD59</f>
        <v>Canadá</v>
      </c>
      <c r="F355" s="9" t="str">
        <f ca="1">+WORLDCUP!BD61</f>
        <v>Paraguay</v>
      </c>
      <c r="G355" s="9" t="str">
        <f ca="1">+WORLDCUP!BD58</f>
        <v>República Checa</v>
      </c>
      <c r="H355" s="9" t="str">
        <f ca="1">+WORLDCUP!BD63</f>
        <v>Suecia</v>
      </c>
      <c r="I355" s="9" t="str">
        <f ca="1">+WORLDCUP!BD69</f>
        <v>Ghana</v>
      </c>
      <c r="J355" s="9" t="str">
        <f ca="1">+WORLDCUP!BD68</f>
        <v>RD Congo</v>
      </c>
      <c r="N355" s="9" t="s">
        <v>891</v>
      </c>
      <c r="O355" s="9">
        <v>354</v>
      </c>
      <c r="P355" s="9" t="s">
        <v>436</v>
      </c>
      <c r="Q355" s="9" t="s">
        <v>93</v>
      </c>
      <c r="R355" s="9" t="s">
        <v>90</v>
      </c>
      <c r="S355" s="9" t="s">
        <v>92</v>
      </c>
      <c r="T355" s="9" t="s">
        <v>89</v>
      </c>
      <c r="U355" s="9" t="s">
        <v>94</v>
      </c>
      <c r="V355" s="9" t="s">
        <v>443</v>
      </c>
      <c r="W355" s="9" t="s">
        <v>442</v>
      </c>
    </row>
    <row r="356" spans="1:23">
      <c r="A356" s="9" t="s">
        <v>890</v>
      </c>
      <c r="B356" s="9">
        <f ca="1">+IF(A356=WORLDCUP!$BI$112,1,0)</f>
        <v>0</v>
      </c>
      <c r="C356" s="9" t="str">
        <f ca="1">+WORLDCUP!BD65</f>
        <v>Arabia Saudita</v>
      </c>
      <c r="D356" s="9" t="str">
        <f ca="1">+WORLDCUP!BD67</f>
        <v>Argelia</v>
      </c>
      <c r="E356" s="9" t="str">
        <f ca="1">+WORLDCUP!BD59</f>
        <v>Canadá</v>
      </c>
      <c r="F356" s="9" t="str">
        <f ca="1">+WORLDCUP!BD61</f>
        <v>Paraguay</v>
      </c>
      <c r="G356" s="9" t="str">
        <f ca="1">+WORLDCUP!BD58</f>
        <v>República Checa</v>
      </c>
      <c r="H356" s="9" t="str">
        <f ca="1">+WORLDCUP!BD63</f>
        <v>Suecia</v>
      </c>
      <c r="I356" s="9" t="str">
        <f ca="1">+WORLDCUP!BD69</f>
        <v>Ghana</v>
      </c>
      <c r="J356" s="9" t="str">
        <f ca="1">+WORLDCUP!BD62</f>
        <v>Ecuador</v>
      </c>
      <c r="N356" s="9" t="s">
        <v>890</v>
      </c>
      <c r="O356" s="9">
        <v>355</v>
      </c>
      <c r="P356" s="9" t="s">
        <v>436</v>
      </c>
      <c r="Q356" s="9" t="s">
        <v>441</v>
      </c>
      <c r="R356" s="9" t="s">
        <v>90</v>
      </c>
      <c r="S356" s="9" t="s">
        <v>92</v>
      </c>
      <c r="T356" s="9" t="s">
        <v>89</v>
      </c>
      <c r="U356" s="9" t="s">
        <v>94</v>
      </c>
      <c r="V356" s="9" t="s">
        <v>443</v>
      </c>
      <c r="W356" s="9" t="s">
        <v>93</v>
      </c>
    </row>
    <row r="357" spans="1:23">
      <c r="A357" s="9" t="s">
        <v>889</v>
      </c>
      <c r="B357" s="9">
        <f ca="1">+IF(A357=WORLDCUP!$BI$112,1,0)</f>
        <v>0</v>
      </c>
      <c r="C357" s="9" t="str">
        <f ca="1">+WORLDCUP!BD65</f>
        <v>Arabia Saudita</v>
      </c>
      <c r="D357" s="9" t="str">
        <f ca="1">+WORLDCUP!BD67</f>
        <v>Argelia</v>
      </c>
      <c r="E357" s="9" t="str">
        <f ca="1">+WORLDCUP!BD59</f>
        <v>Canadá</v>
      </c>
      <c r="F357" s="9" t="str">
        <f ca="1">+WORLDCUP!BD61</f>
        <v>Paraguay</v>
      </c>
      <c r="G357" s="9" t="str">
        <f ca="1">+WORLDCUP!BD58</f>
        <v>República Checa</v>
      </c>
      <c r="H357" s="9" t="str">
        <f ca="1">+WORLDCUP!BD63</f>
        <v>Suecia</v>
      </c>
      <c r="I357" s="9" t="str">
        <f ca="1">+WORLDCUP!BD62</f>
        <v>Ecuador</v>
      </c>
      <c r="J357" s="9" t="str">
        <f ca="1">+WORLDCUP!BD68</f>
        <v>RD Congo</v>
      </c>
      <c r="N357" s="9" t="s">
        <v>889</v>
      </c>
      <c r="O357" s="9">
        <v>356</v>
      </c>
      <c r="P357" s="9" t="s">
        <v>436</v>
      </c>
      <c r="Q357" s="9" t="s">
        <v>441</v>
      </c>
      <c r="R357" s="9" t="s">
        <v>90</v>
      </c>
      <c r="S357" s="9" t="s">
        <v>92</v>
      </c>
      <c r="T357" s="9" t="s">
        <v>89</v>
      </c>
      <c r="U357" s="9" t="s">
        <v>94</v>
      </c>
      <c r="V357" s="9" t="s">
        <v>93</v>
      </c>
      <c r="W357" s="9" t="s">
        <v>442</v>
      </c>
    </row>
    <row r="358" spans="1:23">
      <c r="A358" s="9" t="s">
        <v>888</v>
      </c>
      <c r="B358" s="9">
        <f ca="1">+IF(A358=WORLDCUP!$BI$112,1,0)</f>
        <v>0</v>
      </c>
      <c r="C358" s="9" t="str">
        <f ca="1">+WORLDCUP!BD65</f>
        <v>Arabia Saudita</v>
      </c>
      <c r="D358" s="9" t="str">
        <f ca="1">+WORLDCUP!BD62</f>
        <v>Ecuador</v>
      </c>
      <c r="E358" s="9" t="str">
        <f ca="1">+WORLDCUP!BD59</f>
        <v>Canadá</v>
      </c>
      <c r="F358" s="9" t="str">
        <f ca="1">+WORLDCUP!BD61</f>
        <v>Paraguay</v>
      </c>
      <c r="G358" s="9" t="str">
        <f ca="1">+WORLDCUP!BD58</f>
        <v>República Checa</v>
      </c>
      <c r="H358" s="9" t="str">
        <f ca="1">+WORLDCUP!BD63</f>
        <v>Suecia</v>
      </c>
      <c r="I358" s="9" t="str">
        <f ca="1">+WORLDCUP!BD69</f>
        <v>Ghana</v>
      </c>
      <c r="J358" s="9" t="str">
        <f ca="1">+WORLDCUP!BD66</f>
        <v>Senegal</v>
      </c>
      <c r="N358" s="9" t="s">
        <v>888</v>
      </c>
      <c r="O358" s="9">
        <v>357</v>
      </c>
      <c r="P358" s="9" t="s">
        <v>436</v>
      </c>
      <c r="Q358" s="9" t="s">
        <v>93</v>
      </c>
      <c r="R358" s="9" t="s">
        <v>90</v>
      </c>
      <c r="S358" s="9" t="s">
        <v>92</v>
      </c>
      <c r="T358" s="9" t="s">
        <v>89</v>
      </c>
      <c r="U358" s="9" t="s">
        <v>94</v>
      </c>
      <c r="V358" s="9" t="s">
        <v>443</v>
      </c>
      <c r="W358" s="9" t="s">
        <v>440</v>
      </c>
    </row>
    <row r="359" spans="1:23">
      <c r="A359" s="9" t="s">
        <v>887</v>
      </c>
      <c r="B359" s="9">
        <f ca="1">+IF(A359=WORLDCUP!$BI$112,1,0)</f>
        <v>0</v>
      </c>
      <c r="C359" s="9" t="str">
        <f ca="1">+WORLDCUP!BD65</f>
        <v>Arabia Saudita</v>
      </c>
      <c r="D359" s="9" t="str">
        <f ca="1">+WORLDCUP!BD62</f>
        <v>Ecuador</v>
      </c>
      <c r="E359" s="9" t="str">
        <f ca="1">+WORLDCUP!BD59</f>
        <v>Canadá</v>
      </c>
      <c r="F359" s="9" t="str">
        <f ca="1">+WORLDCUP!BD61</f>
        <v>Paraguay</v>
      </c>
      <c r="G359" s="9" t="str">
        <f ca="1">+WORLDCUP!BD58</f>
        <v>República Checa</v>
      </c>
      <c r="H359" s="9" t="str">
        <f ca="1">+WORLDCUP!BD63</f>
        <v>Suecia</v>
      </c>
      <c r="I359" s="9" t="str">
        <f ca="1">+WORLDCUP!BD66</f>
        <v>Senegal</v>
      </c>
      <c r="J359" s="9" t="str">
        <f ca="1">+WORLDCUP!BD68</f>
        <v>RD Congo</v>
      </c>
      <c r="N359" s="9" t="s">
        <v>887</v>
      </c>
      <c r="O359" s="9">
        <v>358</v>
      </c>
      <c r="P359" s="9" t="s">
        <v>436</v>
      </c>
      <c r="Q359" s="9" t="s">
        <v>93</v>
      </c>
      <c r="R359" s="9" t="s">
        <v>90</v>
      </c>
      <c r="S359" s="9" t="s">
        <v>92</v>
      </c>
      <c r="T359" s="9" t="s">
        <v>89</v>
      </c>
      <c r="U359" s="9" t="s">
        <v>94</v>
      </c>
      <c r="V359" s="9" t="s">
        <v>440</v>
      </c>
      <c r="W359" s="9" t="s">
        <v>442</v>
      </c>
    </row>
    <row r="360" spans="1:23">
      <c r="A360" s="9" t="s">
        <v>886</v>
      </c>
      <c r="B360" s="9">
        <f ca="1">+IF(A360=WORLDCUP!$BI$112,1,0)</f>
        <v>0</v>
      </c>
      <c r="C360" s="9" t="str">
        <f ca="1">+WORLDCUP!BD65</f>
        <v>Arabia Saudita</v>
      </c>
      <c r="D360" s="9" t="str">
        <f ca="1">+WORLDCUP!BD67</f>
        <v>Argelia</v>
      </c>
      <c r="E360" s="9" t="str">
        <f ca="1">+WORLDCUP!BD59</f>
        <v>Canadá</v>
      </c>
      <c r="F360" s="9" t="str">
        <f ca="1">+WORLDCUP!BD61</f>
        <v>Paraguay</v>
      </c>
      <c r="G360" s="9" t="str">
        <f ca="1">+WORLDCUP!BD58</f>
        <v>República Checa</v>
      </c>
      <c r="H360" s="9" t="str">
        <f ca="1">+WORLDCUP!BD63</f>
        <v>Suecia</v>
      </c>
      <c r="I360" s="9" t="str">
        <f ca="1">+WORLDCUP!BD62</f>
        <v>Ecuador</v>
      </c>
      <c r="J360" s="9" t="str">
        <f ca="1">+WORLDCUP!BD66</f>
        <v>Senegal</v>
      </c>
      <c r="N360" s="9" t="s">
        <v>886</v>
      </c>
      <c r="O360" s="9">
        <v>359</v>
      </c>
      <c r="P360" s="9" t="s">
        <v>436</v>
      </c>
      <c r="Q360" s="9" t="s">
        <v>441</v>
      </c>
      <c r="R360" s="9" t="s">
        <v>90</v>
      </c>
      <c r="S360" s="9" t="s">
        <v>92</v>
      </c>
      <c r="T360" s="9" t="s">
        <v>89</v>
      </c>
      <c r="U360" s="9" t="s">
        <v>94</v>
      </c>
      <c r="V360" s="9" t="s">
        <v>93</v>
      </c>
      <c r="W360" s="9" t="s">
        <v>440</v>
      </c>
    </row>
    <row r="361" spans="1:23">
      <c r="A361" s="9" t="s">
        <v>885</v>
      </c>
      <c r="B361" s="9">
        <f ca="1">+IF(A361=WORLDCUP!$BI$112,1,0)</f>
        <v>0</v>
      </c>
      <c r="C361" s="9" t="str">
        <f ca="1">+WORLDCUP!BD62</f>
        <v>Ecuador</v>
      </c>
      <c r="D361" s="9" t="str">
        <f ca="1">+WORLDCUP!BD64</f>
        <v>Egipto</v>
      </c>
      <c r="E361" s="9" t="str">
        <f ca="1">+WORLDCUP!BD59</f>
        <v>Canadá</v>
      </c>
      <c r="F361" s="9" t="str">
        <f ca="1">+WORLDCUP!BD61</f>
        <v>Paraguay</v>
      </c>
      <c r="G361" s="9" t="str">
        <f ca="1">+WORLDCUP!BD58</f>
        <v>República Checa</v>
      </c>
      <c r="H361" s="9" t="str">
        <f ca="1">+WORLDCUP!BD63</f>
        <v>Suecia</v>
      </c>
      <c r="I361" s="9" t="str">
        <f ca="1">+WORLDCUP!BD69</f>
        <v>Ghana</v>
      </c>
      <c r="J361" s="9" t="str">
        <f ca="1">+WORLDCUP!BD68</f>
        <v>RD Congo</v>
      </c>
      <c r="N361" s="9" t="s">
        <v>885</v>
      </c>
      <c r="O361" s="9">
        <v>360</v>
      </c>
      <c r="P361" s="9" t="s">
        <v>93</v>
      </c>
      <c r="Q361" s="9" t="s">
        <v>435</v>
      </c>
      <c r="R361" s="9" t="s">
        <v>90</v>
      </c>
      <c r="S361" s="9" t="s">
        <v>92</v>
      </c>
      <c r="T361" s="9" t="s">
        <v>89</v>
      </c>
      <c r="U361" s="9" t="s">
        <v>94</v>
      </c>
      <c r="V361" s="9" t="s">
        <v>443</v>
      </c>
      <c r="W361" s="9" t="s">
        <v>442</v>
      </c>
    </row>
    <row r="362" spans="1:23">
      <c r="A362" s="9" t="s">
        <v>884</v>
      </c>
      <c r="B362" s="9">
        <f ca="1">+IF(A362=WORLDCUP!$BI$112,1,0)</f>
        <v>0</v>
      </c>
      <c r="C362" s="9" t="str">
        <f ca="1">+WORLDCUP!BD62</f>
        <v>Ecuador</v>
      </c>
      <c r="D362" s="9" t="str">
        <f ca="1">+WORLDCUP!BD64</f>
        <v>Egipto</v>
      </c>
      <c r="E362" s="9" t="str">
        <f ca="1">+WORLDCUP!BD59</f>
        <v>Canadá</v>
      </c>
      <c r="F362" s="9" t="str">
        <f ca="1">+WORLDCUP!BD61</f>
        <v>Paraguay</v>
      </c>
      <c r="G362" s="9" t="str">
        <f ca="1">+WORLDCUP!BD58</f>
        <v>República Checa</v>
      </c>
      <c r="H362" s="9" t="str">
        <f ca="1">+WORLDCUP!BD63</f>
        <v>Suecia</v>
      </c>
      <c r="I362" s="9" t="str">
        <f ca="1">+WORLDCUP!BD69</f>
        <v>Ghana</v>
      </c>
      <c r="J362" s="9" t="str">
        <f ca="1">+WORLDCUP!BD67</f>
        <v>Argelia</v>
      </c>
      <c r="N362" s="9" t="s">
        <v>884</v>
      </c>
      <c r="O362" s="9">
        <v>361</v>
      </c>
      <c r="P362" s="9" t="s">
        <v>93</v>
      </c>
      <c r="Q362" s="9" t="s">
        <v>435</v>
      </c>
      <c r="R362" s="9" t="s">
        <v>90</v>
      </c>
      <c r="S362" s="9" t="s">
        <v>92</v>
      </c>
      <c r="T362" s="9" t="s">
        <v>89</v>
      </c>
      <c r="U362" s="9" t="s">
        <v>94</v>
      </c>
      <c r="V362" s="9" t="s">
        <v>443</v>
      </c>
      <c r="W362" s="9" t="s">
        <v>441</v>
      </c>
    </row>
    <row r="363" spans="1:23">
      <c r="A363" s="9" t="s">
        <v>883</v>
      </c>
      <c r="B363" s="9">
        <f ca="1">+IF(A363=WORLDCUP!$BI$112,1,0)</f>
        <v>0</v>
      </c>
      <c r="C363" s="9" t="str">
        <f ca="1">+WORLDCUP!BD62</f>
        <v>Ecuador</v>
      </c>
      <c r="D363" s="9" t="str">
        <f ca="1">+WORLDCUP!BD64</f>
        <v>Egipto</v>
      </c>
      <c r="E363" s="9" t="str">
        <f ca="1">+WORLDCUP!BD59</f>
        <v>Canadá</v>
      </c>
      <c r="F363" s="9" t="str">
        <f ca="1">+WORLDCUP!BD61</f>
        <v>Paraguay</v>
      </c>
      <c r="G363" s="9" t="str">
        <f ca="1">+WORLDCUP!BD58</f>
        <v>República Checa</v>
      </c>
      <c r="H363" s="9" t="str">
        <f ca="1">+WORLDCUP!BD63</f>
        <v>Suecia</v>
      </c>
      <c r="I363" s="9" t="str">
        <f ca="1">+WORLDCUP!BD67</f>
        <v>Argelia</v>
      </c>
      <c r="J363" s="9" t="str">
        <f ca="1">+WORLDCUP!BD68</f>
        <v>RD Congo</v>
      </c>
      <c r="N363" s="9" t="s">
        <v>883</v>
      </c>
      <c r="O363" s="9">
        <v>362</v>
      </c>
      <c r="P363" s="9" t="s">
        <v>93</v>
      </c>
      <c r="Q363" s="9" t="s">
        <v>435</v>
      </c>
      <c r="R363" s="9" t="s">
        <v>90</v>
      </c>
      <c r="S363" s="9" t="s">
        <v>92</v>
      </c>
      <c r="T363" s="9" t="s">
        <v>89</v>
      </c>
      <c r="U363" s="9" t="s">
        <v>94</v>
      </c>
      <c r="V363" s="9" t="s">
        <v>441</v>
      </c>
      <c r="W363" s="9" t="s">
        <v>442</v>
      </c>
    </row>
    <row r="364" spans="1:23">
      <c r="A364" s="9" t="s">
        <v>882</v>
      </c>
      <c r="B364" s="9">
        <f ca="1">+IF(A364=WORLDCUP!$BI$112,1,0)</f>
        <v>0</v>
      </c>
      <c r="C364" s="9" t="str">
        <f ca="1">+WORLDCUP!BD62</f>
        <v>Ecuador</v>
      </c>
      <c r="D364" s="9" t="str">
        <f ca="1">+WORLDCUP!BD64</f>
        <v>Egipto</v>
      </c>
      <c r="E364" s="9" t="str">
        <f ca="1">+WORLDCUP!BD59</f>
        <v>Canadá</v>
      </c>
      <c r="F364" s="9" t="str">
        <f ca="1">+WORLDCUP!BD61</f>
        <v>Paraguay</v>
      </c>
      <c r="G364" s="9" t="str">
        <f ca="1">+WORLDCUP!BD58</f>
        <v>República Checa</v>
      </c>
      <c r="H364" s="9" t="str">
        <f ca="1">+WORLDCUP!BD63</f>
        <v>Suecia</v>
      </c>
      <c r="I364" s="9" t="str">
        <f ca="1">+WORLDCUP!BD69</f>
        <v>Ghana</v>
      </c>
      <c r="J364" s="9" t="str">
        <f ca="1">+WORLDCUP!BD66</f>
        <v>Senegal</v>
      </c>
      <c r="N364" s="9" t="s">
        <v>882</v>
      </c>
      <c r="O364" s="9">
        <v>363</v>
      </c>
      <c r="P364" s="9" t="s">
        <v>93</v>
      </c>
      <c r="Q364" s="9" t="s">
        <v>435</v>
      </c>
      <c r="R364" s="9" t="s">
        <v>90</v>
      </c>
      <c r="S364" s="9" t="s">
        <v>92</v>
      </c>
      <c r="T364" s="9" t="s">
        <v>89</v>
      </c>
      <c r="U364" s="9" t="s">
        <v>94</v>
      </c>
      <c r="V364" s="9" t="s">
        <v>443</v>
      </c>
      <c r="W364" s="9" t="s">
        <v>440</v>
      </c>
    </row>
    <row r="365" spans="1:23">
      <c r="A365" s="9" t="s">
        <v>881</v>
      </c>
      <c r="B365" s="9">
        <f ca="1">+IF(A365=WORLDCUP!$BI$112,1,0)</f>
        <v>0</v>
      </c>
      <c r="C365" s="9" t="str">
        <f ca="1">+WORLDCUP!BD62</f>
        <v>Ecuador</v>
      </c>
      <c r="D365" s="9" t="str">
        <f ca="1">+WORLDCUP!BD64</f>
        <v>Egipto</v>
      </c>
      <c r="E365" s="9" t="str">
        <f ca="1">+WORLDCUP!BD59</f>
        <v>Canadá</v>
      </c>
      <c r="F365" s="9" t="str">
        <f ca="1">+WORLDCUP!BD61</f>
        <v>Paraguay</v>
      </c>
      <c r="G365" s="9" t="str">
        <f ca="1">+WORLDCUP!BD58</f>
        <v>República Checa</v>
      </c>
      <c r="H365" s="9" t="str">
        <f ca="1">+WORLDCUP!BD63</f>
        <v>Suecia</v>
      </c>
      <c r="I365" s="9" t="str">
        <f ca="1">+WORLDCUP!BD66</f>
        <v>Senegal</v>
      </c>
      <c r="J365" s="9" t="str">
        <f ca="1">+WORLDCUP!BD68</f>
        <v>RD Congo</v>
      </c>
      <c r="N365" s="9" t="s">
        <v>881</v>
      </c>
      <c r="O365" s="9">
        <v>364</v>
      </c>
      <c r="P365" s="9" t="s">
        <v>93</v>
      </c>
      <c r="Q365" s="9" t="s">
        <v>435</v>
      </c>
      <c r="R365" s="9" t="s">
        <v>90</v>
      </c>
      <c r="S365" s="9" t="s">
        <v>92</v>
      </c>
      <c r="T365" s="9" t="s">
        <v>89</v>
      </c>
      <c r="U365" s="9" t="s">
        <v>94</v>
      </c>
      <c r="V365" s="9" t="s">
        <v>440</v>
      </c>
      <c r="W365" s="9" t="s">
        <v>442</v>
      </c>
    </row>
    <row r="366" spans="1:23">
      <c r="A366" s="9" t="s">
        <v>880</v>
      </c>
      <c r="B366" s="9">
        <f ca="1">+IF(A366=WORLDCUP!$BI$112,1,0)</f>
        <v>0</v>
      </c>
      <c r="C366" s="9" t="str">
        <f ca="1">+WORLDCUP!BD62</f>
        <v>Ecuador</v>
      </c>
      <c r="D366" s="9" t="str">
        <f ca="1">+WORLDCUP!BD64</f>
        <v>Egipto</v>
      </c>
      <c r="E366" s="9" t="str">
        <f ca="1">+WORLDCUP!BD59</f>
        <v>Canadá</v>
      </c>
      <c r="F366" s="9" t="str">
        <f ca="1">+WORLDCUP!BD61</f>
        <v>Paraguay</v>
      </c>
      <c r="G366" s="9" t="str">
        <f ca="1">+WORLDCUP!BD58</f>
        <v>República Checa</v>
      </c>
      <c r="H366" s="9" t="str">
        <f ca="1">+WORLDCUP!BD63</f>
        <v>Suecia</v>
      </c>
      <c r="I366" s="9" t="str">
        <f ca="1">+WORLDCUP!BD66</f>
        <v>Senegal</v>
      </c>
      <c r="J366" s="9" t="str">
        <f ca="1">+WORLDCUP!BD67</f>
        <v>Argelia</v>
      </c>
      <c r="N366" s="9" t="s">
        <v>880</v>
      </c>
      <c r="O366" s="9">
        <v>365</v>
      </c>
      <c r="P366" s="9" t="s">
        <v>93</v>
      </c>
      <c r="Q366" s="9" t="s">
        <v>435</v>
      </c>
      <c r="R366" s="9" t="s">
        <v>90</v>
      </c>
      <c r="S366" s="9" t="s">
        <v>92</v>
      </c>
      <c r="T366" s="9" t="s">
        <v>89</v>
      </c>
      <c r="U366" s="9" t="s">
        <v>94</v>
      </c>
      <c r="V366" s="9" t="s">
        <v>440</v>
      </c>
      <c r="W366" s="9" t="s">
        <v>441</v>
      </c>
    </row>
    <row r="367" spans="1:23">
      <c r="A367" s="9" t="s">
        <v>879</v>
      </c>
      <c r="B367" s="9">
        <f ca="1">+IF(A367=WORLDCUP!$BI$112,1,0)</f>
        <v>0</v>
      </c>
      <c r="C367" s="9" t="str">
        <f ca="1">+WORLDCUP!BD65</f>
        <v>Arabia Saudita</v>
      </c>
      <c r="D367" s="9" t="str">
        <f ca="1">+WORLDCUP!BD64</f>
        <v>Egipto</v>
      </c>
      <c r="E367" s="9" t="str">
        <f ca="1">+WORLDCUP!BD59</f>
        <v>Canadá</v>
      </c>
      <c r="F367" s="9" t="str">
        <f ca="1">+WORLDCUP!BD61</f>
        <v>Paraguay</v>
      </c>
      <c r="G367" s="9" t="str">
        <f ca="1">+WORLDCUP!BD58</f>
        <v>República Checa</v>
      </c>
      <c r="H367" s="9" t="str">
        <f ca="1">+WORLDCUP!BD63</f>
        <v>Suecia</v>
      </c>
      <c r="I367" s="9" t="str">
        <f ca="1">+WORLDCUP!BD69</f>
        <v>Ghana</v>
      </c>
      <c r="J367" s="9" t="str">
        <f ca="1">+WORLDCUP!BD62</f>
        <v>Ecuador</v>
      </c>
      <c r="N367" s="9" t="s">
        <v>879</v>
      </c>
      <c r="O367" s="9">
        <v>366</v>
      </c>
      <c r="P367" s="9" t="s">
        <v>436</v>
      </c>
      <c r="Q367" s="9" t="s">
        <v>435</v>
      </c>
      <c r="R367" s="9" t="s">
        <v>90</v>
      </c>
      <c r="S367" s="9" t="s">
        <v>92</v>
      </c>
      <c r="T367" s="9" t="s">
        <v>89</v>
      </c>
      <c r="U367" s="9" t="s">
        <v>94</v>
      </c>
      <c r="V367" s="9" t="s">
        <v>443</v>
      </c>
      <c r="W367" s="9" t="s">
        <v>93</v>
      </c>
    </row>
    <row r="368" spans="1:23">
      <c r="A368" s="9" t="s">
        <v>878</v>
      </c>
      <c r="B368" s="9">
        <f ca="1">+IF(A368=WORLDCUP!$BI$112,1,0)</f>
        <v>0</v>
      </c>
      <c r="C368" s="9" t="str">
        <f ca="1">+WORLDCUP!BD65</f>
        <v>Arabia Saudita</v>
      </c>
      <c r="D368" s="9" t="str">
        <f ca="1">+WORLDCUP!BD64</f>
        <v>Egipto</v>
      </c>
      <c r="E368" s="9" t="str">
        <f ca="1">+WORLDCUP!BD59</f>
        <v>Canadá</v>
      </c>
      <c r="F368" s="9" t="str">
        <f ca="1">+WORLDCUP!BD61</f>
        <v>Paraguay</v>
      </c>
      <c r="G368" s="9" t="str">
        <f ca="1">+WORLDCUP!BD58</f>
        <v>República Checa</v>
      </c>
      <c r="H368" s="9" t="str">
        <f ca="1">+WORLDCUP!BD63</f>
        <v>Suecia</v>
      </c>
      <c r="I368" s="9" t="str">
        <f ca="1">+WORLDCUP!BD62</f>
        <v>Ecuador</v>
      </c>
      <c r="J368" s="9" t="str">
        <f ca="1">+WORLDCUP!BD68</f>
        <v>RD Congo</v>
      </c>
      <c r="N368" s="9" t="s">
        <v>878</v>
      </c>
      <c r="O368" s="9">
        <v>367</v>
      </c>
      <c r="P368" s="9" t="s">
        <v>436</v>
      </c>
      <c r="Q368" s="9" t="s">
        <v>435</v>
      </c>
      <c r="R368" s="9" t="s">
        <v>90</v>
      </c>
      <c r="S368" s="9" t="s">
        <v>92</v>
      </c>
      <c r="T368" s="9" t="s">
        <v>89</v>
      </c>
      <c r="U368" s="9" t="s">
        <v>94</v>
      </c>
      <c r="V368" s="9" t="s">
        <v>93</v>
      </c>
      <c r="W368" s="9" t="s">
        <v>442</v>
      </c>
    </row>
    <row r="369" spans="1:23">
      <c r="A369" s="9" t="s">
        <v>877</v>
      </c>
      <c r="B369" s="9">
        <f ca="1">+IF(A369=WORLDCUP!$BI$112,1,0)</f>
        <v>0</v>
      </c>
      <c r="C369" s="9" t="str">
        <f ca="1">+WORLDCUP!BD65</f>
        <v>Arabia Saudita</v>
      </c>
      <c r="D369" s="9" t="str">
        <f ca="1">+WORLDCUP!BD64</f>
        <v>Egipto</v>
      </c>
      <c r="E369" s="9" t="str">
        <f ca="1">+WORLDCUP!BD59</f>
        <v>Canadá</v>
      </c>
      <c r="F369" s="9" t="str">
        <f ca="1">+WORLDCUP!BD61</f>
        <v>Paraguay</v>
      </c>
      <c r="G369" s="9" t="str">
        <f ca="1">+WORLDCUP!BD58</f>
        <v>República Checa</v>
      </c>
      <c r="H369" s="9" t="str">
        <f ca="1">+WORLDCUP!BD63</f>
        <v>Suecia</v>
      </c>
      <c r="I369" s="9" t="str">
        <f ca="1">+WORLDCUP!BD62</f>
        <v>Ecuador</v>
      </c>
      <c r="J369" s="9" t="str">
        <f ca="1">+WORLDCUP!BD67</f>
        <v>Argelia</v>
      </c>
      <c r="N369" s="9" t="s">
        <v>877</v>
      </c>
      <c r="O369" s="9">
        <v>368</v>
      </c>
      <c r="P369" s="9" t="s">
        <v>436</v>
      </c>
      <c r="Q369" s="9" t="s">
        <v>435</v>
      </c>
      <c r="R369" s="9" t="s">
        <v>90</v>
      </c>
      <c r="S369" s="9" t="s">
        <v>92</v>
      </c>
      <c r="T369" s="9" t="s">
        <v>89</v>
      </c>
      <c r="U369" s="9" t="s">
        <v>94</v>
      </c>
      <c r="V369" s="9" t="s">
        <v>93</v>
      </c>
      <c r="W369" s="9" t="s">
        <v>441</v>
      </c>
    </row>
    <row r="370" spans="1:23">
      <c r="A370" s="9" t="s">
        <v>876</v>
      </c>
      <c r="B370" s="9">
        <f ca="1">+IF(A370=WORLDCUP!$BI$112,1,0)</f>
        <v>0</v>
      </c>
      <c r="C370" s="9" t="str">
        <f ca="1">+WORLDCUP!BD65</f>
        <v>Arabia Saudita</v>
      </c>
      <c r="D370" s="9" t="str">
        <f ca="1">+WORLDCUP!BD64</f>
        <v>Egipto</v>
      </c>
      <c r="E370" s="9" t="str">
        <f ca="1">+WORLDCUP!BD59</f>
        <v>Canadá</v>
      </c>
      <c r="F370" s="9" t="str">
        <f ca="1">+WORLDCUP!BD61</f>
        <v>Paraguay</v>
      </c>
      <c r="G370" s="9" t="str">
        <f ca="1">+WORLDCUP!BD58</f>
        <v>República Checa</v>
      </c>
      <c r="H370" s="9" t="str">
        <f ca="1">+WORLDCUP!BD63</f>
        <v>Suecia</v>
      </c>
      <c r="I370" s="9" t="str">
        <f ca="1">+WORLDCUP!BD62</f>
        <v>Ecuador</v>
      </c>
      <c r="J370" s="9" t="str">
        <f ca="1">+WORLDCUP!BD66</f>
        <v>Senegal</v>
      </c>
      <c r="N370" s="9" t="s">
        <v>876</v>
      </c>
      <c r="O370" s="9">
        <v>369</v>
      </c>
      <c r="P370" s="9" t="s">
        <v>436</v>
      </c>
      <c r="Q370" s="9" t="s">
        <v>435</v>
      </c>
      <c r="R370" s="9" t="s">
        <v>90</v>
      </c>
      <c r="S370" s="9" t="s">
        <v>92</v>
      </c>
      <c r="T370" s="9" t="s">
        <v>89</v>
      </c>
      <c r="U370" s="9" t="s">
        <v>94</v>
      </c>
      <c r="V370" s="9" t="s">
        <v>93</v>
      </c>
      <c r="W370" s="9" t="s">
        <v>440</v>
      </c>
    </row>
    <row r="371" spans="1:23">
      <c r="A371" s="9" t="s">
        <v>875</v>
      </c>
      <c r="B371" s="9">
        <f ca="1">+IF(A371=WORLDCUP!$BI$112,1,0)</f>
        <v>0</v>
      </c>
      <c r="C371" s="9" t="str">
        <f ca="1">+WORLDCUP!BD66</f>
        <v>Senegal</v>
      </c>
      <c r="D371" s="9" t="str">
        <f ca="1">+WORLDCUP!BD67</f>
        <v>Argelia</v>
      </c>
      <c r="E371" s="9" t="str">
        <f ca="1">+WORLDCUP!BD59</f>
        <v>Canadá</v>
      </c>
      <c r="F371" s="9" t="str">
        <f ca="1">+WORLDCUP!BD60</f>
        <v>Marruecos</v>
      </c>
      <c r="G371" s="9" t="str">
        <f ca="1">+WORLDCUP!BD58</f>
        <v>República Checa</v>
      </c>
      <c r="H371" s="9" t="str">
        <f ca="1">+WORLDCUP!BD65</f>
        <v>Arabia Saudita</v>
      </c>
      <c r="I371" s="9" t="str">
        <f ca="1">+WORLDCUP!BD69</f>
        <v>Ghana</v>
      </c>
      <c r="J371" s="9" t="str">
        <f ca="1">+WORLDCUP!BD68</f>
        <v>RD Congo</v>
      </c>
      <c r="N371" s="9" t="s">
        <v>875</v>
      </c>
      <c r="O371" s="9">
        <v>370</v>
      </c>
      <c r="P371" s="9" t="s">
        <v>440</v>
      </c>
      <c r="Q371" s="9" t="s">
        <v>441</v>
      </c>
      <c r="R371" s="9" t="s">
        <v>90</v>
      </c>
      <c r="S371" s="9" t="s">
        <v>91</v>
      </c>
      <c r="T371" s="9" t="s">
        <v>89</v>
      </c>
      <c r="U371" s="9" t="s">
        <v>436</v>
      </c>
      <c r="V371" s="9" t="s">
        <v>443</v>
      </c>
      <c r="W371" s="9" t="s">
        <v>442</v>
      </c>
    </row>
    <row r="372" spans="1:23">
      <c r="A372" s="9" t="s">
        <v>874</v>
      </c>
      <c r="B372" s="9">
        <f ca="1">+IF(A372=WORLDCUP!$BI$112,1,0)</f>
        <v>0</v>
      </c>
      <c r="C372" s="9" t="str">
        <f ca="1">+WORLDCUP!BD66</f>
        <v>Senegal</v>
      </c>
      <c r="D372" s="9" t="str">
        <f ca="1">+WORLDCUP!BD67</f>
        <v>Argelia</v>
      </c>
      <c r="E372" s="9" t="str">
        <f ca="1">+WORLDCUP!BD59</f>
        <v>Canadá</v>
      </c>
      <c r="F372" s="9" t="str">
        <f ca="1">+WORLDCUP!BD60</f>
        <v>Marruecos</v>
      </c>
      <c r="G372" s="9" t="str">
        <f ca="1">+WORLDCUP!BD58</f>
        <v>República Checa</v>
      </c>
      <c r="H372" s="9" t="str">
        <f ca="1">+WORLDCUP!BD64</f>
        <v>Egipto</v>
      </c>
      <c r="I372" s="9" t="str">
        <f ca="1">+WORLDCUP!BD69</f>
        <v>Ghana</v>
      </c>
      <c r="J372" s="9" t="str">
        <f ca="1">+WORLDCUP!BD68</f>
        <v>RD Congo</v>
      </c>
      <c r="N372" s="9" t="s">
        <v>874</v>
      </c>
      <c r="O372" s="9">
        <v>371</v>
      </c>
      <c r="P372" s="9" t="s">
        <v>440</v>
      </c>
      <c r="Q372" s="9" t="s">
        <v>441</v>
      </c>
      <c r="R372" s="9" t="s">
        <v>90</v>
      </c>
      <c r="S372" s="9" t="s">
        <v>91</v>
      </c>
      <c r="T372" s="9" t="s">
        <v>89</v>
      </c>
      <c r="U372" s="9" t="s">
        <v>435</v>
      </c>
      <c r="V372" s="9" t="s">
        <v>443</v>
      </c>
      <c r="W372" s="9" t="s">
        <v>442</v>
      </c>
    </row>
    <row r="373" spans="1:23">
      <c r="A373" s="9" t="s">
        <v>873</v>
      </c>
      <c r="B373" s="9">
        <f ca="1">+IF(A373=WORLDCUP!$BI$112,1,0)</f>
        <v>0</v>
      </c>
      <c r="C373" s="9" t="str">
        <f ca="1">+WORLDCUP!BD65</f>
        <v>Arabia Saudita</v>
      </c>
      <c r="D373" s="9" t="str">
        <f ca="1">+WORLDCUP!BD67</f>
        <v>Argelia</v>
      </c>
      <c r="E373" s="9" t="str">
        <f ca="1">+WORLDCUP!BD59</f>
        <v>Canadá</v>
      </c>
      <c r="F373" s="9" t="str">
        <f ca="1">+WORLDCUP!BD60</f>
        <v>Marruecos</v>
      </c>
      <c r="G373" s="9" t="str">
        <f ca="1">+WORLDCUP!BD58</f>
        <v>República Checa</v>
      </c>
      <c r="H373" s="9" t="str">
        <f ca="1">+WORLDCUP!BD64</f>
        <v>Egipto</v>
      </c>
      <c r="I373" s="9" t="str">
        <f ca="1">+WORLDCUP!BD69</f>
        <v>Ghana</v>
      </c>
      <c r="J373" s="9" t="str">
        <f ca="1">+WORLDCUP!BD68</f>
        <v>RD Congo</v>
      </c>
      <c r="N373" s="9" t="s">
        <v>873</v>
      </c>
      <c r="O373" s="9">
        <v>372</v>
      </c>
      <c r="P373" s="9" t="s">
        <v>436</v>
      </c>
      <c r="Q373" s="9" t="s">
        <v>441</v>
      </c>
      <c r="R373" s="9" t="s">
        <v>90</v>
      </c>
      <c r="S373" s="9" t="s">
        <v>91</v>
      </c>
      <c r="T373" s="9" t="s">
        <v>89</v>
      </c>
      <c r="U373" s="9" t="s">
        <v>435</v>
      </c>
      <c r="V373" s="9" t="s">
        <v>443</v>
      </c>
      <c r="W373" s="9" t="s">
        <v>442</v>
      </c>
    </row>
    <row r="374" spans="1:23">
      <c r="A374" s="9" t="s">
        <v>872</v>
      </c>
      <c r="B374" s="9">
        <f ca="1">+IF(A374=WORLDCUP!$BI$112,1,0)</f>
        <v>0</v>
      </c>
      <c r="C374" s="9" t="str">
        <f ca="1">+WORLDCUP!BD66</f>
        <v>Senegal</v>
      </c>
      <c r="D374" s="9" t="str">
        <f ca="1">+WORLDCUP!BD64</f>
        <v>Egipto</v>
      </c>
      <c r="E374" s="9" t="str">
        <f ca="1">+WORLDCUP!BD59</f>
        <v>Canadá</v>
      </c>
      <c r="F374" s="9" t="str">
        <f ca="1">+WORLDCUP!BD60</f>
        <v>Marruecos</v>
      </c>
      <c r="G374" s="9" t="str">
        <f ca="1">+WORLDCUP!BD58</f>
        <v>República Checa</v>
      </c>
      <c r="H374" s="9" t="str">
        <f ca="1">+WORLDCUP!BD65</f>
        <v>Arabia Saudita</v>
      </c>
      <c r="I374" s="9" t="str">
        <f ca="1">+WORLDCUP!BD69</f>
        <v>Ghana</v>
      </c>
      <c r="J374" s="9" t="str">
        <f ca="1">+WORLDCUP!BD68</f>
        <v>RD Congo</v>
      </c>
      <c r="N374" s="9" t="s">
        <v>872</v>
      </c>
      <c r="O374" s="9">
        <v>373</v>
      </c>
      <c r="P374" s="9" t="s">
        <v>440</v>
      </c>
      <c r="Q374" s="9" t="s">
        <v>435</v>
      </c>
      <c r="R374" s="9" t="s">
        <v>90</v>
      </c>
      <c r="S374" s="9" t="s">
        <v>91</v>
      </c>
      <c r="T374" s="9" t="s">
        <v>89</v>
      </c>
      <c r="U374" s="9" t="s">
        <v>436</v>
      </c>
      <c r="V374" s="9" t="s">
        <v>443</v>
      </c>
      <c r="W374" s="9" t="s">
        <v>442</v>
      </c>
    </row>
    <row r="375" spans="1:23">
      <c r="A375" s="9" t="s">
        <v>871</v>
      </c>
      <c r="B375" s="9">
        <f ca="1">+IF(A375=WORLDCUP!$BI$112,1,0)</f>
        <v>0</v>
      </c>
      <c r="C375" s="9" t="str">
        <f ca="1">+WORLDCUP!BD65</f>
        <v>Arabia Saudita</v>
      </c>
      <c r="D375" s="9" t="str">
        <f ca="1">+WORLDCUP!BD67</f>
        <v>Argelia</v>
      </c>
      <c r="E375" s="9" t="str">
        <f ca="1">+WORLDCUP!BD59</f>
        <v>Canadá</v>
      </c>
      <c r="F375" s="9" t="str">
        <f ca="1">+WORLDCUP!BD60</f>
        <v>Marruecos</v>
      </c>
      <c r="G375" s="9" t="str">
        <f ca="1">+WORLDCUP!BD58</f>
        <v>República Checa</v>
      </c>
      <c r="H375" s="9" t="str">
        <f ca="1">+WORLDCUP!BD64</f>
        <v>Egipto</v>
      </c>
      <c r="I375" s="9" t="str">
        <f ca="1">+WORLDCUP!BD69</f>
        <v>Ghana</v>
      </c>
      <c r="J375" s="9" t="str">
        <f ca="1">+WORLDCUP!BD66</f>
        <v>Senegal</v>
      </c>
      <c r="N375" s="9" t="s">
        <v>871</v>
      </c>
      <c r="O375" s="9">
        <v>374</v>
      </c>
      <c r="P375" s="9" t="s">
        <v>436</v>
      </c>
      <c r="Q375" s="9" t="s">
        <v>441</v>
      </c>
      <c r="R375" s="9" t="s">
        <v>90</v>
      </c>
      <c r="S375" s="9" t="s">
        <v>91</v>
      </c>
      <c r="T375" s="9" t="s">
        <v>89</v>
      </c>
      <c r="U375" s="9" t="s">
        <v>435</v>
      </c>
      <c r="V375" s="9" t="s">
        <v>443</v>
      </c>
      <c r="W375" s="9" t="s">
        <v>440</v>
      </c>
    </row>
    <row r="376" spans="1:23">
      <c r="A376" s="9" t="s">
        <v>870</v>
      </c>
      <c r="B376" s="9">
        <f ca="1">+IF(A376=WORLDCUP!$BI$112,1,0)</f>
        <v>0</v>
      </c>
      <c r="C376" s="9" t="str">
        <f ca="1">+WORLDCUP!BD65</f>
        <v>Arabia Saudita</v>
      </c>
      <c r="D376" s="9" t="str">
        <f ca="1">+WORLDCUP!BD67</f>
        <v>Argelia</v>
      </c>
      <c r="E376" s="9" t="str">
        <f ca="1">+WORLDCUP!BD59</f>
        <v>Canadá</v>
      </c>
      <c r="F376" s="9" t="str">
        <f ca="1">+WORLDCUP!BD60</f>
        <v>Marruecos</v>
      </c>
      <c r="G376" s="9" t="str">
        <f ca="1">+WORLDCUP!BD58</f>
        <v>República Checa</v>
      </c>
      <c r="H376" s="9" t="str">
        <f ca="1">+WORLDCUP!BD64</f>
        <v>Egipto</v>
      </c>
      <c r="I376" s="9" t="str">
        <f ca="1">+WORLDCUP!BD66</f>
        <v>Senegal</v>
      </c>
      <c r="J376" s="9" t="str">
        <f ca="1">+WORLDCUP!BD68</f>
        <v>RD Congo</v>
      </c>
      <c r="N376" s="9" t="s">
        <v>870</v>
      </c>
      <c r="O376" s="9">
        <v>375</v>
      </c>
      <c r="P376" s="9" t="s">
        <v>436</v>
      </c>
      <c r="Q376" s="9" t="s">
        <v>441</v>
      </c>
      <c r="R376" s="9" t="s">
        <v>90</v>
      </c>
      <c r="S376" s="9" t="s">
        <v>91</v>
      </c>
      <c r="T376" s="9" t="s">
        <v>89</v>
      </c>
      <c r="U376" s="9" t="s">
        <v>435</v>
      </c>
      <c r="V376" s="9" t="s">
        <v>440</v>
      </c>
      <c r="W376" s="9" t="s">
        <v>442</v>
      </c>
    </row>
    <row r="377" spans="1:23">
      <c r="A377" s="9" t="s">
        <v>869</v>
      </c>
      <c r="B377" s="9">
        <f ca="1">+IF(A377=WORLDCUP!$BI$112,1,0)</f>
        <v>0</v>
      </c>
      <c r="C377" s="9" t="str">
        <f ca="1">+WORLDCUP!BD66</f>
        <v>Senegal</v>
      </c>
      <c r="D377" s="9" t="str">
        <f ca="1">+WORLDCUP!BD67</f>
        <v>Argelia</v>
      </c>
      <c r="E377" s="9" t="str">
        <f ca="1">+WORLDCUP!BD59</f>
        <v>Canadá</v>
      </c>
      <c r="F377" s="9" t="str">
        <f ca="1">+WORLDCUP!BD60</f>
        <v>Marruecos</v>
      </c>
      <c r="G377" s="9" t="str">
        <f ca="1">+WORLDCUP!BD58</f>
        <v>República Checa</v>
      </c>
      <c r="H377" s="9" t="str">
        <f ca="1">+WORLDCUP!BD63</f>
        <v>Suecia</v>
      </c>
      <c r="I377" s="9" t="str">
        <f ca="1">+WORLDCUP!BD69</f>
        <v>Ghana</v>
      </c>
      <c r="J377" s="9" t="str">
        <f ca="1">+WORLDCUP!BD68</f>
        <v>RD Congo</v>
      </c>
      <c r="N377" s="9" t="s">
        <v>869</v>
      </c>
      <c r="O377" s="9">
        <v>376</v>
      </c>
      <c r="P377" s="9" t="s">
        <v>440</v>
      </c>
      <c r="Q377" s="9" t="s">
        <v>441</v>
      </c>
      <c r="R377" s="9" t="s">
        <v>90</v>
      </c>
      <c r="S377" s="9" t="s">
        <v>91</v>
      </c>
      <c r="T377" s="9" t="s">
        <v>89</v>
      </c>
      <c r="U377" s="9" t="s">
        <v>94</v>
      </c>
      <c r="V377" s="9" t="s">
        <v>443</v>
      </c>
      <c r="W377" s="9" t="s">
        <v>442</v>
      </c>
    </row>
    <row r="378" spans="1:23">
      <c r="A378" s="9" t="s">
        <v>868</v>
      </c>
      <c r="B378" s="9">
        <f ca="1">+IF(A378=WORLDCUP!$BI$112,1,0)</f>
        <v>0</v>
      </c>
      <c r="C378" s="9" t="str">
        <f ca="1">+WORLDCUP!BD65</f>
        <v>Arabia Saudita</v>
      </c>
      <c r="D378" s="9" t="str">
        <f ca="1">+WORLDCUP!BD67</f>
        <v>Argelia</v>
      </c>
      <c r="E378" s="9" t="str">
        <f ca="1">+WORLDCUP!BD59</f>
        <v>Canadá</v>
      </c>
      <c r="F378" s="9" t="str">
        <f ca="1">+WORLDCUP!BD60</f>
        <v>Marruecos</v>
      </c>
      <c r="G378" s="9" t="str">
        <f ca="1">+WORLDCUP!BD58</f>
        <v>República Checa</v>
      </c>
      <c r="H378" s="9" t="str">
        <f ca="1">+WORLDCUP!BD63</f>
        <v>Suecia</v>
      </c>
      <c r="I378" s="9" t="str">
        <f ca="1">+WORLDCUP!BD69</f>
        <v>Ghana</v>
      </c>
      <c r="J378" s="9" t="str">
        <f ca="1">+WORLDCUP!BD68</f>
        <v>RD Congo</v>
      </c>
      <c r="N378" s="9" t="s">
        <v>868</v>
      </c>
      <c r="O378" s="9">
        <v>377</v>
      </c>
      <c r="P378" s="9" t="s">
        <v>436</v>
      </c>
      <c r="Q378" s="9" t="s">
        <v>441</v>
      </c>
      <c r="R378" s="9" t="s">
        <v>90</v>
      </c>
      <c r="S378" s="9" t="s">
        <v>91</v>
      </c>
      <c r="T378" s="9" t="s">
        <v>89</v>
      </c>
      <c r="U378" s="9" t="s">
        <v>94</v>
      </c>
      <c r="V378" s="9" t="s">
        <v>443</v>
      </c>
      <c r="W378" s="9" t="s">
        <v>442</v>
      </c>
    </row>
    <row r="379" spans="1:23">
      <c r="A379" s="9" t="s">
        <v>867</v>
      </c>
      <c r="B379" s="9">
        <f ca="1">+IF(A379=WORLDCUP!$BI$112,1,0)</f>
        <v>0</v>
      </c>
      <c r="C379" s="9" t="str">
        <f ca="1">+WORLDCUP!BD65</f>
        <v>Arabia Saudita</v>
      </c>
      <c r="D379" s="9" t="str">
        <f ca="1">+WORLDCUP!BD66</f>
        <v>Senegal</v>
      </c>
      <c r="E379" s="9" t="str">
        <f ca="1">+WORLDCUP!BD59</f>
        <v>Canadá</v>
      </c>
      <c r="F379" s="9" t="str">
        <f ca="1">+WORLDCUP!BD60</f>
        <v>Marruecos</v>
      </c>
      <c r="G379" s="9" t="str">
        <f ca="1">+WORLDCUP!BD58</f>
        <v>República Checa</v>
      </c>
      <c r="H379" s="9" t="str">
        <f ca="1">+WORLDCUP!BD63</f>
        <v>Suecia</v>
      </c>
      <c r="I379" s="9" t="str">
        <f ca="1">+WORLDCUP!BD69</f>
        <v>Ghana</v>
      </c>
      <c r="J379" s="9" t="str">
        <f ca="1">+WORLDCUP!BD68</f>
        <v>RD Congo</v>
      </c>
      <c r="N379" s="9" t="s">
        <v>867</v>
      </c>
      <c r="O379" s="9">
        <v>378</v>
      </c>
      <c r="P379" s="9" t="s">
        <v>436</v>
      </c>
      <c r="Q379" s="9" t="s">
        <v>440</v>
      </c>
      <c r="R379" s="9" t="s">
        <v>90</v>
      </c>
      <c r="S379" s="9" t="s">
        <v>91</v>
      </c>
      <c r="T379" s="9" t="s">
        <v>89</v>
      </c>
      <c r="U379" s="9" t="s">
        <v>94</v>
      </c>
      <c r="V379" s="9" t="s">
        <v>443</v>
      </c>
      <c r="W379" s="9" t="s">
        <v>442</v>
      </c>
    </row>
    <row r="380" spans="1:23">
      <c r="A380" s="9" t="s">
        <v>866</v>
      </c>
      <c r="B380" s="9">
        <f ca="1">+IF(A380=WORLDCUP!$BI$112,1,0)</f>
        <v>0</v>
      </c>
      <c r="C380" s="9" t="str">
        <f ca="1">+WORLDCUP!BD65</f>
        <v>Arabia Saudita</v>
      </c>
      <c r="D380" s="9" t="str">
        <f ca="1">+WORLDCUP!BD67</f>
        <v>Argelia</v>
      </c>
      <c r="E380" s="9" t="str">
        <f ca="1">+WORLDCUP!BD59</f>
        <v>Canadá</v>
      </c>
      <c r="F380" s="9" t="str">
        <f ca="1">+WORLDCUP!BD60</f>
        <v>Marruecos</v>
      </c>
      <c r="G380" s="9" t="str">
        <f ca="1">+WORLDCUP!BD58</f>
        <v>República Checa</v>
      </c>
      <c r="H380" s="9" t="str">
        <f ca="1">+WORLDCUP!BD63</f>
        <v>Suecia</v>
      </c>
      <c r="I380" s="9" t="str">
        <f ca="1">+WORLDCUP!BD69</f>
        <v>Ghana</v>
      </c>
      <c r="J380" s="9" t="str">
        <f ca="1">+WORLDCUP!BD66</f>
        <v>Senegal</v>
      </c>
      <c r="N380" s="9" t="s">
        <v>866</v>
      </c>
      <c r="O380" s="9">
        <v>379</v>
      </c>
      <c r="P380" s="9" t="s">
        <v>436</v>
      </c>
      <c r="Q380" s="9" t="s">
        <v>441</v>
      </c>
      <c r="R380" s="9" t="s">
        <v>90</v>
      </c>
      <c r="S380" s="9" t="s">
        <v>91</v>
      </c>
      <c r="T380" s="9" t="s">
        <v>89</v>
      </c>
      <c r="U380" s="9" t="s">
        <v>94</v>
      </c>
      <c r="V380" s="9" t="s">
        <v>443</v>
      </c>
      <c r="W380" s="9" t="s">
        <v>440</v>
      </c>
    </row>
    <row r="381" spans="1:23">
      <c r="A381" s="9" t="s">
        <v>865</v>
      </c>
      <c r="B381" s="9">
        <f ca="1">+IF(A381=WORLDCUP!$BI$112,1,0)</f>
        <v>0</v>
      </c>
      <c r="C381" s="9" t="str">
        <f ca="1">+WORLDCUP!BD65</f>
        <v>Arabia Saudita</v>
      </c>
      <c r="D381" s="9" t="str">
        <f ca="1">+WORLDCUP!BD67</f>
        <v>Argelia</v>
      </c>
      <c r="E381" s="9" t="str">
        <f ca="1">+WORLDCUP!BD59</f>
        <v>Canadá</v>
      </c>
      <c r="F381" s="9" t="str">
        <f ca="1">+WORLDCUP!BD60</f>
        <v>Marruecos</v>
      </c>
      <c r="G381" s="9" t="str">
        <f ca="1">+WORLDCUP!BD58</f>
        <v>República Checa</v>
      </c>
      <c r="H381" s="9" t="str">
        <f ca="1">+WORLDCUP!BD63</f>
        <v>Suecia</v>
      </c>
      <c r="I381" s="9" t="str">
        <f ca="1">+WORLDCUP!BD66</f>
        <v>Senegal</v>
      </c>
      <c r="J381" s="9" t="str">
        <f ca="1">+WORLDCUP!BD68</f>
        <v>RD Congo</v>
      </c>
      <c r="N381" s="9" t="s">
        <v>865</v>
      </c>
      <c r="O381" s="9">
        <v>380</v>
      </c>
      <c r="P381" s="9" t="s">
        <v>436</v>
      </c>
      <c r="Q381" s="9" t="s">
        <v>441</v>
      </c>
      <c r="R381" s="9" t="s">
        <v>90</v>
      </c>
      <c r="S381" s="9" t="s">
        <v>91</v>
      </c>
      <c r="T381" s="9" t="s">
        <v>89</v>
      </c>
      <c r="U381" s="9" t="s">
        <v>94</v>
      </c>
      <c r="V381" s="9" t="s">
        <v>440</v>
      </c>
      <c r="W381" s="9" t="s">
        <v>442</v>
      </c>
    </row>
    <row r="382" spans="1:23">
      <c r="A382" s="9" t="s">
        <v>864</v>
      </c>
      <c r="B382" s="9">
        <f ca="1">+IF(A382=WORLDCUP!$BI$112,1,0)</f>
        <v>0</v>
      </c>
      <c r="C382" s="9" t="str">
        <f ca="1">+WORLDCUP!BD60</f>
        <v>Marruecos</v>
      </c>
      <c r="D382" s="9" t="str">
        <f ca="1">+WORLDCUP!BD67</f>
        <v>Argelia</v>
      </c>
      <c r="E382" s="9" t="str">
        <f ca="1">+WORLDCUP!BD59</f>
        <v>Canadá</v>
      </c>
      <c r="F382" s="9" t="str">
        <f ca="1">+WORLDCUP!BD63</f>
        <v>Suecia</v>
      </c>
      <c r="G382" s="9" t="str">
        <f ca="1">+WORLDCUP!BD58</f>
        <v>República Checa</v>
      </c>
      <c r="H382" s="9" t="str">
        <f ca="1">+WORLDCUP!BD64</f>
        <v>Egipto</v>
      </c>
      <c r="I382" s="9" t="str">
        <f ca="1">+WORLDCUP!BD69</f>
        <v>Ghana</v>
      </c>
      <c r="J382" s="9" t="str">
        <f ca="1">+WORLDCUP!BD68</f>
        <v>RD Congo</v>
      </c>
      <c r="N382" s="9" t="s">
        <v>864</v>
      </c>
      <c r="O382" s="9">
        <v>381</v>
      </c>
      <c r="P382" s="9" t="s">
        <v>91</v>
      </c>
      <c r="Q382" s="9" t="s">
        <v>441</v>
      </c>
      <c r="R382" s="9" t="s">
        <v>90</v>
      </c>
      <c r="S382" s="9" t="s">
        <v>94</v>
      </c>
      <c r="T382" s="9" t="s">
        <v>89</v>
      </c>
      <c r="U382" s="9" t="s">
        <v>435</v>
      </c>
      <c r="V382" s="9" t="s">
        <v>443</v>
      </c>
      <c r="W382" s="9" t="s">
        <v>442</v>
      </c>
    </row>
    <row r="383" spans="1:23">
      <c r="A383" s="9" t="s">
        <v>863</v>
      </c>
      <c r="B383" s="9">
        <f ca="1">+IF(A383=WORLDCUP!$BI$112,1,0)</f>
        <v>0</v>
      </c>
      <c r="C383" s="9" t="str">
        <f ca="1">+WORLDCUP!BD66</f>
        <v>Senegal</v>
      </c>
      <c r="D383" s="9" t="str">
        <f ca="1">+WORLDCUP!BD64</f>
        <v>Egipto</v>
      </c>
      <c r="E383" s="9" t="str">
        <f ca="1">+WORLDCUP!BD59</f>
        <v>Canadá</v>
      </c>
      <c r="F383" s="9" t="str">
        <f ca="1">+WORLDCUP!BD60</f>
        <v>Marruecos</v>
      </c>
      <c r="G383" s="9" t="str">
        <f ca="1">+WORLDCUP!BD58</f>
        <v>República Checa</v>
      </c>
      <c r="H383" s="9" t="str">
        <f ca="1">+WORLDCUP!BD63</f>
        <v>Suecia</v>
      </c>
      <c r="I383" s="9" t="str">
        <f ca="1">+WORLDCUP!BD69</f>
        <v>Ghana</v>
      </c>
      <c r="J383" s="9" t="str">
        <f ca="1">+WORLDCUP!BD68</f>
        <v>RD Congo</v>
      </c>
      <c r="N383" s="9" t="s">
        <v>863</v>
      </c>
      <c r="O383" s="9">
        <v>382</v>
      </c>
      <c r="P383" s="9" t="s">
        <v>440</v>
      </c>
      <c r="Q383" s="9" t="s">
        <v>435</v>
      </c>
      <c r="R383" s="9" t="s">
        <v>90</v>
      </c>
      <c r="S383" s="9" t="s">
        <v>91</v>
      </c>
      <c r="T383" s="9" t="s">
        <v>89</v>
      </c>
      <c r="U383" s="9" t="s">
        <v>94</v>
      </c>
      <c r="V383" s="9" t="s">
        <v>443</v>
      </c>
      <c r="W383" s="9" t="s">
        <v>442</v>
      </c>
    </row>
    <row r="384" spans="1:23">
      <c r="A384" s="9" t="s">
        <v>862</v>
      </c>
      <c r="B384" s="9">
        <f ca="1">+IF(A384=WORLDCUP!$BI$112,1,0)</f>
        <v>0</v>
      </c>
      <c r="C384" s="9" t="str">
        <f ca="1">+WORLDCUP!BD60</f>
        <v>Marruecos</v>
      </c>
      <c r="D384" s="9" t="str">
        <f ca="1">+WORLDCUP!BD67</f>
        <v>Argelia</v>
      </c>
      <c r="E384" s="9" t="str">
        <f ca="1">+WORLDCUP!BD59</f>
        <v>Canadá</v>
      </c>
      <c r="F384" s="9" t="str">
        <f ca="1">+WORLDCUP!BD63</f>
        <v>Suecia</v>
      </c>
      <c r="G384" s="9" t="str">
        <f ca="1">+WORLDCUP!BD58</f>
        <v>República Checa</v>
      </c>
      <c r="H384" s="9" t="str">
        <f ca="1">+WORLDCUP!BD64</f>
        <v>Egipto</v>
      </c>
      <c r="I384" s="9" t="str">
        <f ca="1">+WORLDCUP!BD69</f>
        <v>Ghana</v>
      </c>
      <c r="J384" s="9" t="str">
        <f ca="1">+WORLDCUP!BD66</f>
        <v>Senegal</v>
      </c>
      <c r="N384" s="9" t="s">
        <v>862</v>
      </c>
      <c r="O384" s="9">
        <v>383</v>
      </c>
      <c r="P384" s="9" t="s">
        <v>91</v>
      </c>
      <c r="Q384" s="9" t="s">
        <v>441</v>
      </c>
      <c r="R384" s="9" t="s">
        <v>90</v>
      </c>
      <c r="S384" s="9" t="s">
        <v>94</v>
      </c>
      <c r="T384" s="9" t="s">
        <v>89</v>
      </c>
      <c r="U384" s="9" t="s">
        <v>435</v>
      </c>
      <c r="V384" s="9" t="s">
        <v>443</v>
      </c>
      <c r="W384" s="9" t="s">
        <v>440</v>
      </c>
    </row>
    <row r="385" spans="1:23">
      <c r="A385" s="9" t="s">
        <v>861</v>
      </c>
      <c r="B385" s="9">
        <f ca="1">+IF(A385=WORLDCUP!$BI$112,1,0)</f>
        <v>0</v>
      </c>
      <c r="C385" s="9" t="str">
        <f ca="1">+WORLDCUP!BD60</f>
        <v>Marruecos</v>
      </c>
      <c r="D385" s="9" t="str">
        <f ca="1">+WORLDCUP!BD67</f>
        <v>Argelia</v>
      </c>
      <c r="E385" s="9" t="str">
        <f ca="1">+WORLDCUP!BD59</f>
        <v>Canadá</v>
      </c>
      <c r="F385" s="9" t="str">
        <f ca="1">+WORLDCUP!BD63</f>
        <v>Suecia</v>
      </c>
      <c r="G385" s="9" t="str">
        <f ca="1">+WORLDCUP!BD58</f>
        <v>República Checa</v>
      </c>
      <c r="H385" s="9" t="str">
        <f ca="1">+WORLDCUP!BD64</f>
        <v>Egipto</v>
      </c>
      <c r="I385" s="9" t="str">
        <f ca="1">+WORLDCUP!BD66</f>
        <v>Senegal</v>
      </c>
      <c r="J385" s="9" t="str">
        <f ca="1">+WORLDCUP!BD68</f>
        <v>RD Congo</v>
      </c>
      <c r="N385" s="9" t="s">
        <v>861</v>
      </c>
      <c r="O385" s="9">
        <v>384</v>
      </c>
      <c r="P385" s="9" t="s">
        <v>91</v>
      </c>
      <c r="Q385" s="9" t="s">
        <v>441</v>
      </c>
      <c r="R385" s="9" t="s">
        <v>90</v>
      </c>
      <c r="S385" s="9" t="s">
        <v>94</v>
      </c>
      <c r="T385" s="9" t="s">
        <v>89</v>
      </c>
      <c r="U385" s="9" t="s">
        <v>435</v>
      </c>
      <c r="V385" s="9" t="s">
        <v>440</v>
      </c>
      <c r="W385" s="9" t="s">
        <v>442</v>
      </c>
    </row>
    <row r="386" spans="1:23">
      <c r="A386" s="9" t="s">
        <v>860</v>
      </c>
      <c r="B386" s="9">
        <f ca="1">+IF(A386=WORLDCUP!$BI$112,1,0)</f>
        <v>0</v>
      </c>
      <c r="C386" s="9" t="str">
        <f ca="1">+WORLDCUP!BD65</f>
        <v>Arabia Saudita</v>
      </c>
      <c r="D386" s="9" t="str">
        <f ca="1">+WORLDCUP!BD64</f>
        <v>Egipto</v>
      </c>
      <c r="E386" s="9" t="str">
        <f ca="1">+WORLDCUP!BD59</f>
        <v>Canadá</v>
      </c>
      <c r="F386" s="9" t="str">
        <f ca="1">+WORLDCUP!BD60</f>
        <v>Marruecos</v>
      </c>
      <c r="G386" s="9" t="str">
        <f ca="1">+WORLDCUP!BD58</f>
        <v>República Checa</v>
      </c>
      <c r="H386" s="9" t="str">
        <f ca="1">+WORLDCUP!BD63</f>
        <v>Suecia</v>
      </c>
      <c r="I386" s="9" t="str">
        <f ca="1">+WORLDCUP!BD69</f>
        <v>Ghana</v>
      </c>
      <c r="J386" s="9" t="str">
        <f ca="1">+WORLDCUP!BD68</f>
        <v>RD Congo</v>
      </c>
      <c r="N386" s="9" t="s">
        <v>860</v>
      </c>
      <c r="O386" s="9">
        <v>385</v>
      </c>
      <c r="P386" s="9" t="s">
        <v>436</v>
      </c>
      <c r="Q386" s="9" t="s">
        <v>435</v>
      </c>
      <c r="R386" s="9" t="s">
        <v>90</v>
      </c>
      <c r="S386" s="9" t="s">
        <v>91</v>
      </c>
      <c r="T386" s="9" t="s">
        <v>89</v>
      </c>
      <c r="U386" s="9" t="s">
        <v>94</v>
      </c>
      <c r="V386" s="9" t="s">
        <v>443</v>
      </c>
      <c r="W386" s="9" t="s">
        <v>442</v>
      </c>
    </row>
    <row r="387" spans="1:23">
      <c r="A387" s="9" t="s">
        <v>859</v>
      </c>
      <c r="B387" s="9">
        <f ca="1">+IF(A387=WORLDCUP!$BI$112,1,0)</f>
        <v>0</v>
      </c>
      <c r="C387" s="9" t="str">
        <f ca="1">+WORLDCUP!BD65</f>
        <v>Arabia Saudita</v>
      </c>
      <c r="D387" s="9" t="str">
        <f ca="1">+WORLDCUP!BD64</f>
        <v>Egipto</v>
      </c>
      <c r="E387" s="9" t="str">
        <f ca="1">+WORLDCUP!BD59</f>
        <v>Canadá</v>
      </c>
      <c r="F387" s="9" t="str">
        <f ca="1">+WORLDCUP!BD60</f>
        <v>Marruecos</v>
      </c>
      <c r="G387" s="9" t="str">
        <f ca="1">+WORLDCUP!BD58</f>
        <v>República Checa</v>
      </c>
      <c r="H387" s="9" t="str">
        <f ca="1">+WORLDCUP!BD63</f>
        <v>Suecia</v>
      </c>
      <c r="I387" s="9" t="str">
        <f ca="1">+WORLDCUP!BD69</f>
        <v>Ghana</v>
      </c>
      <c r="J387" s="9" t="str">
        <f ca="1">+WORLDCUP!BD67</f>
        <v>Argelia</v>
      </c>
      <c r="N387" s="9" t="s">
        <v>859</v>
      </c>
      <c r="O387" s="9">
        <v>386</v>
      </c>
      <c r="P387" s="9" t="s">
        <v>436</v>
      </c>
      <c r="Q387" s="9" t="s">
        <v>435</v>
      </c>
      <c r="R387" s="9" t="s">
        <v>90</v>
      </c>
      <c r="S387" s="9" t="s">
        <v>91</v>
      </c>
      <c r="T387" s="9" t="s">
        <v>89</v>
      </c>
      <c r="U387" s="9" t="s">
        <v>94</v>
      </c>
      <c r="V387" s="9" t="s">
        <v>443</v>
      </c>
      <c r="W387" s="9" t="s">
        <v>441</v>
      </c>
    </row>
    <row r="388" spans="1:23">
      <c r="A388" s="9" t="s">
        <v>858</v>
      </c>
      <c r="B388" s="9">
        <f ca="1">+IF(A388=WORLDCUP!$BI$112,1,0)</f>
        <v>0</v>
      </c>
      <c r="C388" s="9" t="str">
        <f ca="1">+WORLDCUP!BD65</f>
        <v>Arabia Saudita</v>
      </c>
      <c r="D388" s="9" t="str">
        <f ca="1">+WORLDCUP!BD64</f>
        <v>Egipto</v>
      </c>
      <c r="E388" s="9" t="str">
        <f ca="1">+WORLDCUP!BD59</f>
        <v>Canadá</v>
      </c>
      <c r="F388" s="9" t="str">
        <f ca="1">+WORLDCUP!BD60</f>
        <v>Marruecos</v>
      </c>
      <c r="G388" s="9" t="str">
        <f ca="1">+WORLDCUP!BD58</f>
        <v>República Checa</v>
      </c>
      <c r="H388" s="9" t="str">
        <f ca="1">+WORLDCUP!BD63</f>
        <v>Suecia</v>
      </c>
      <c r="I388" s="9" t="str">
        <f ca="1">+WORLDCUP!BD67</f>
        <v>Argelia</v>
      </c>
      <c r="J388" s="9" t="str">
        <f ca="1">+WORLDCUP!BD68</f>
        <v>RD Congo</v>
      </c>
      <c r="N388" s="9" t="s">
        <v>858</v>
      </c>
      <c r="O388" s="9">
        <v>387</v>
      </c>
      <c r="P388" s="9" t="s">
        <v>436</v>
      </c>
      <c r="Q388" s="9" t="s">
        <v>435</v>
      </c>
      <c r="R388" s="9" t="s">
        <v>90</v>
      </c>
      <c r="S388" s="9" t="s">
        <v>91</v>
      </c>
      <c r="T388" s="9" t="s">
        <v>89</v>
      </c>
      <c r="U388" s="9" t="s">
        <v>94</v>
      </c>
      <c r="V388" s="9" t="s">
        <v>441</v>
      </c>
      <c r="W388" s="9" t="s">
        <v>442</v>
      </c>
    </row>
    <row r="389" spans="1:23">
      <c r="A389" s="9" t="s">
        <v>857</v>
      </c>
      <c r="B389" s="9">
        <f ca="1">+IF(A389=WORLDCUP!$BI$112,1,0)</f>
        <v>0</v>
      </c>
      <c r="C389" s="9" t="str">
        <f ca="1">+WORLDCUP!BD65</f>
        <v>Arabia Saudita</v>
      </c>
      <c r="D389" s="9" t="str">
        <f ca="1">+WORLDCUP!BD64</f>
        <v>Egipto</v>
      </c>
      <c r="E389" s="9" t="str">
        <f ca="1">+WORLDCUP!BD59</f>
        <v>Canadá</v>
      </c>
      <c r="F389" s="9" t="str">
        <f ca="1">+WORLDCUP!BD60</f>
        <v>Marruecos</v>
      </c>
      <c r="G389" s="9" t="str">
        <f ca="1">+WORLDCUP!BD58</f>
        <v>República Checa</v>
      </c>
      <c r="H389" s="9" t="str">
        <f ca="1">+WORLDCUP!BD63</f>
        <v>Suecia</v>
      </c>
      <c r="I389" s="9" t="str">
        <f ca="1">+WORLDCUP!BD69</f>
        <v>Ghana</v>
      </c>
      <c r="J389" s="9" t="str">
        <f ca="1">+WORLDCUP!BD66</f>
        <v>Senegal</v>
      </c>
      <c r="N389" s="9" t="s">
        <v>857</v>
      </c>
      <c r="O389" s="9">
        <v>388</v>
      </c>
      <c r="P389" s="9" t="s">
        <v>436</v>
      </c>
      <c r="Q389" s="9" t="s">
        <v>435</v>
      </c>
      <c r="R389" s="9" t="s">
        <v>90</v>
      </c>
      <c r="S389" s="9" t="s">
        <v>91</v>
      </c>
      <c r="T389" s="9" t="s">
        <v>89</v>
      </c>
      <c r="U389" s="9" t="s">
        <v>94</v>
      </c>
      <c r="V389" s="9" t="s">
        <v>443</v>
      </c>
      <c r="W389" s="9" t="s">
        <v>440</v>
      </c>
    </row>
    <row r="390" spans="1:23">
      <c r="A390" s="9" t="s">
        <v>856</v>
      </c>
      <c r="B390" s="9">
        <f ca="1">+IF(A390=WORLDCUP!$BI$112,1,0)</f>
        <v>0</v>
      </c>
      <c r="C390" s="9" t="str">
        <f ca="1">+WORLDCUP!BD65</f>
        <v>Arabia Saudita</v>
      </c>
      <c r="D390" s="9" t="str">
        <f ca="1">+WORLDCUP!BD64</f>
        <v>Egipto</v>
      </c>
      <c r="E390" s="9" t="str">
        <f ca="1">+WORLDCUP!BD59</f>
        <v>Canadá</v>
      </c>
      <c r="F390" s="9" t="str">
        <f ca="1">+WORLDCUP!BD60</f>
        <v>Marruecos</v>
      </c>
      <c r="G390" s="9" t="str">
        <f ca="1">+WORLDCUP!BD58</f>
        <v>República Checa</v>
      </c>
      <c r="H390" s="9" t="str">
        <f ca="1">+WORLDCUP!BD63</f>
        <v>Suecia</v>
      </c>
      <c r="I390" s="9" t="str">
        <f ca="1">+WORLDCUP!BD66</f>
        <v>Senegal</v>
      </c>
      <c r="J390" s="9" t="str">
        <f ca="1">+WORLDCUP!BD68</f>
        <v>RD Congo</v>
      </c>
      <c r="N390" s="9" t="s">
        <v>856</v>
      </c>
      <c r="O390" s="9">
        <v>389</v>
      </c>
      <c r="P390" s="9" t="s">
        <v>436</v>
      </c>
      <c r="Q390" s="9" t="s">
        <v>435</v>
      </c>
      <c r="R390" s="9" t="s">
        <v>90</v>
      </c>
      <c r="S390" s="9" t="s">
        <v>91</v>
      </c>
      <c r="T390" s="9" t="s">
        <v>89</v>
      </c>
      <c r="U390" s="9" t="s">
        <v>94</v>
      </c>
      <c r="V390" s="9" t="s">
        <v>440</v>
      </c>
      <c r="W390" s="9" t="s">
        <v>442</v>
      </c>
    </row>
    <row r="391" spans="1:23">
      <c r="A391" s="9" t="s">
        <v>855</v>
      </c>
      <c r="B391" s="9">
        <f ca="1">+IF(A391=WORLDCUP!$BI$112,1,0)</f>
        <v>0</v>
      </c>
      <c r="C391" s="9" t="str">
        <f ca="1">+WORLDCUP!BD65</f>
        <v>Arabia Saudita</v>
      </c>
      <c r="D391" s="9" t="str">
        <f ca="1">+WORLDCUP!BD64</f>
        <v>Egipto</v>
      </c>
      <c r="E391" s="9" t="str">
        <f ca="1">+WORLDCUP!BD59</f>
        <v>Canadá</v>
      </c>
      <c r="F391" s="9" t="str">
        <f ca="1">+WORLDCUP!BD60</f>
        <v>Marruecos</v>
      </c>
      <c r="G391" s="9" t="str">
        <f ca="1">+WORLDCUP!BD58</f>
        <v>República Checa</v>
      </c>
      <c r="H391" s="9" t="str">
        <f ca="1">+WORLDCUP!BD63</f>
        <v>Suecia</v>
      </c>
      <c r="I391" s="9" t="str">
        <f ca="1">+WORLDCUP!BD66</f>
        <v>Senegal</v>
      </c>
      <c r="J391" s="9" t="str">
        <f ca="1">+WORLDCUP!BD67</f>
        <v>Argelia</v>
      </c>
      <c r="N391" s="9" t="s">
        <v>855</v>
      </c>
      <c r="O391" s="9">
        <v>390</v>
      </c>
      <c r="P391" s="9" t="s">
        <v>436</v>
      </c>
      <c r="Q391" s="9" t="s">
        <v>435</v>
      </c>
      <c r="R391" s="9" t="s">
        <v>90</v>
      </c>
      <c r="S391" s="9" t="s">
        <v>91</v>
      </c>
      <c r="T391" s="9" t="s">
        <v>89</v>
      </c>
      <c r="U391" s="9" t="s">
        <v>94</v>
      </c>
      <c r="V391" s="9" t="s">
        <v>440</v>
      </c>
      <c r="W391" s="9" t="s">
        <v>441</v>
      </c>
    </row>
    <row r="392" spans="1:23">
      <c r="A392" s="9" t="s">
        <v>854</v>
      </c>
      <c r="B392" s="9">
        <f ca="1">+IF(A392=WORLDCUP!$BI$112,1,0)</f>
        <v>0</v>
      </c>
      <c r="C392" s="9" t="str">
        <f ca="1">+WORLDCUP!BD62</f>
        <v>Ecuador</v>
      </c>
      <c r="D392" s="9" t="str">
        <f ca="1">+WORLDCUP!BD67</f>
        <v>Argelia</v>
      </c>
      <c r="E392" s="9" t="str">
        <f ca="1">+WORLDCUP!BD59</f>
        <v>Canadá</v>
      </c>
      <c r="F392" s="9" t="str">
        <f ca="1">+WORLDCUP!BD58</f>
        <v>República Checa</v>
      </c>
      <c r="G392" s="9" t="str">
        <f ca="1">+WORLDCUP!BD66</f>
        <v>Senegal</v>
      </c>
      <c r="H392" s="9" t="str">
        <f ca="1">+WORLDCUP!BD60</f>
        <v>Marruecos</v>
      </c>
      <c r="I392" s="9" t="str">
        <f ca="1">+WORLDCUP!BD69</f>
        <v>Ghana</v>
      </c>
      <c r="J392" s="9" t="str">
        <f ca="1">+WORLDCUP!BD68</f>
        <v>RD Congo</v>
      </c>
      <c r="N392" s="9" t="s">
        <v>854</v>
      </c>
      <c r="O392" s="9">
        <v>391</v>
      </c>
      <c r="P392" s="9" t="s">
        <v>93</v>
      </c>
      <c r="Q392" s="9" t="s">
        <v>441</v>
      </c>
      <c r="R392" s="9" t="s">
        <v>90</v>
      </c>
      <c r="S392" s="9" t="s">
        <v>89</v>
      </c>
      <c r="T392" s="9" t="s">
        <v>440</v>
      </c>
      <c r="U392" s="9" t="s">
        <v>91</v>
      </c>
      <c r="V392" s="9" t="s">
        <v>443</v>
      </c>
      <c r="W392" s="9" t="s">
        <v>442</v>
      </c>
    </row>
    <row r="393" spans="1:23">
      <c r="A393" s="9" t="s">
        <v>853</v>
      </c>
      <c r="B393" s="9">
        <f ca="1">+IF(A393=WORLDCUP!$BI$112,1,0)</f>
        <v>0</v>
      </c>
      <c r="C393" s="9" t="str">
        <f ca="1">+WORLDCUP!BD62</f>
        <v>Ecuador</v>
      </c>
      <c r="D393" s="9" t="str">
        <f ca="1">+WORLDCUP!BD67</f>
        <v>Argelia</v>
      </c>
      <c r="E393" s="9" t="str">
        <f ca="1">+WORLDCUP!BD59</f>
        <v>Canadá</v>
      </c>
      <c r="F393" s="9" t="str">
        <f ca="1">+WORLDCUP!BD60</f>
        <v>Marruecos</v>
      </c>
      <c r="G393" s="9" t="str">
        <f ca="1">+WORLDCUP!BD58</f>
        <v>República Checa</v>
      </c>
      <c r="H393" s="9" t="str">
        <f ca="1">+WORLDCUP!BD65</f>
        <v>Arabia Saudita</v>
      </c>
      <c r="I393" s="9" t="str">
        <f ca="1">+WORLDCUP!BD69</f>
        <v>Ghana</v>
      </c>
      <c r="J393" s="9" t="str">
        <f ca="1">+WORLDCUP!BD68</f>
        <v>RD Congo</v>
      </c>
      <c r="N393" s="9" t="s">
        <v>853</v>
      </c>
      <c r="O393" s="9">
        <v>392</v>
      </c>
      <c r="P393" s="9" t="s">
        <v>93</v>
      </c>
      <c r="Q393" s="9" t="s">
        <v>441</v>
      </c>
      <c r="R393" s="9" t="s">
        <v>90</v>
      </c>
      <c r="S393" s="9" t="s">
        <v>91</v>
      </c>
      <c r="T393" s="9" t="s">
        <v>89</v>
      </c>
      <c r="U393" s="9" t="s">
        <v>436</v>
      </c>
      <c r="V393" s="9" t="s">
        <v>443</v>
      </c>
      <c r="W393" s="9" t="s">
        <v>442</v>
      </c>
    </row>
    <row r="394" spans="1:23">
      <c r="A394" s="9" t="s">
        <v>852</v>
      </c>
      <c r="B394" s="9">
        <f ca="1">+IF(A394=WORLDCUP!$BI$112,1,0)</f>
        <v>0</v>
      </c>
      <c r="C394" s="9" t="str">
        <f ca="1">+WORLDCUP!BD62</f>
        <v>Ecuador</v>
      </c>
      <c r="D394" s="9" t="str">
        <f ca="1">+WORLDCUP!BD66</f>
        <v>Senegal</v>
      </c>
      <c r="E394" s="9" t="str">
        <f ca="1">+WORLDCUP!BD59</f>
        <v>Canadá</v>
      </c>
      <c r="F394" s="9" t="str">
        <f ca="1">+WORLDCUP!BD60</f>
        <v>Marruecos</v>
      </c>
      <c r="G394" s="9" t="str">
        <f ca="1">+WORLDCUP!BD58</f>
        <v>República Checa</v>
      </c>
      <c r="H394" s="9" t="str">
        <f ca="1">+WORLDCUP!BD65</f>
        <v>Arabia Saudita</v>
      </c>
      <c r="I394" s="9" t="str">
        <f ca="1">+WORLDCUP!BD69</f>
        <v>Ghana</v>
      </c>
      <c r="J394" s="9" t="str">
        <f ca="1">+WORLDCUP!BD68</f>
        <v>RD Congo</v>
      </c>
      <c r="N394" s="9" t="s">
        <v>852</v>
      </c>
      <c r="O394" s="9">
        <v>393</v>
      </c>
      <c r="P394" s="9" t="s">
        <v>93</v>
      </c>
      <c r="Q394" s="9" t="s">
        <v>440</v>
      </c>
      <c r="R394" s="9" t="s">
        <v>90</v>
      </c>
      <c r="S394" s="9" t="s">
        <v>91</v>
      </c>
      <c r="T394" s="9" t="s">
        <v>89</v>
      </c>
      <c r="U394" s="9" t="s">
        <v>436</v>
      </c>
      <c r="V394" s="9" t="s">
        <v>443</v>
      </c>
      <c r="W394" s="9" t="s">
        <v>442</v>
      </c>
    </row>
    <row r="395" spans="1:23">
      <c r="A395" s="9" t="s">
        <v>851</v>
      </c>
      <c r="B395" s="9">
        <f ca="1">+IF(A395=WORLDCUP!$BI$112,1,0)</f>
        <v>0</v>
      </c>
      <c r="C395" s="9" t="str">
        <f ca="1">+WORLDCUP!BD62</f>
        <v>Ecuador</v>
      </c>
      <c r="D395" s="9" t="str">
        <f ca="1">+WORLDCUP!BD67</f>
        <v>Argelia</v>
      </c>
      <c r="E395" s="9" t="str">
        <f ca="1">+WORLDCUP!BD59</f>
        <v>Canadá</v>
      </c>
      <c r="F395" s="9" t="str">
        <f ca="1">+WORLDCUP!BD60</f>
        <v>Marruecos</v>
      </c>
      <c r="G395" s="9" t="str">
        <f ca="1">+WORLDCUP!BD58</f>
        <v>República Checa</v>
      </c>
      <c r="H395" s="9" t="str">
        <f ca="1">+WORLDCUP!BD65</f>
        <v>Arabia Saudita</v>
      </c>
      <c r="I395" s="9" t="str">
        <f ca="1">+WORLDCUP!BD69</f>
        <v>Ghana</v>
      </c>
      <c r="J395" s="9" t="str">
        <f ca="1">+WORLDCUP!BD66</f>
        <v>Senegal</v>
      </c>
      <c r="N395" s="9" t="s">
        <v>851</v>
      </c>
      <c r="O395" s="9">
        <v>394</v>
      </c>
      <c r="P395" s="9" t="s">
        <v>93</v>
      </c>
      <c r="Q395" s="9" t="s">
        <v>441</v>
      </c>
      <c r="R395" s="9" t="s">
        <v>90</v>
      </c>
      <c r="S395" s="9" t="s">
        <v>91</v>
      </c>
      <c r="T395" s="9" t="s">
        <v>89</v>
      </c>
      <c r="U395" s="9" t="s">
        <v>436</v>
      </c>
      <c r="V395" s="9" t="s">
        <v>443</v>
      </c>
      <c r="W395" s="9" t="s">
        <v>440</v>
      </c>
    </row>
    <row r="396" spans="1:23">
      <c r="A396" s="9" t="s">
        <v>850</v>
      </c>
      <c r="B396" s="9">
        <f ca="1">+IF(A396=WORLDCUP!$BI$112,1,0)</f>
        <v>0</v>
      </c>
      <c r="C396" s="9" t="str">
        <f ca="1">+WORLDCUP!BD62</f>
        <v>Ecuador</v>
      </c>
      <c r="D396" s="9" t="str">
        <f ca="1">+WORLDCUP!BD67</f>
        <v>Argelia</v>
      </c>
      <c r="E396" s="9" t="str">
        <f ca="1">+WORLDCUP!BD59</f>
        <v>Canadá</v>
      </c>
      <c r="F396" s="9" t="str">
        <f ca="1">+WORLDCUP!BD60</f>
        <v>Marruecos</v>
      </c>
      <c r="G396" s="9" t="str">
        <f ca="1">+WORLDCUP!BD58</f>
        <v>República Checa</v>
      </c>
      <c r="H396" s="9" t="str">
        <f ca="1">+WORLDCUP!BD65</f>
        <v>Arabia Saudita</v>
      </c>
      <c r="I396" s="9" t="str">
        <f ca="1">+WORLDCUP!BD66</f>
        <v>Senegal</v>
      </c>
      <c r="J396" s="9" t="str">
        <f ca="1">+WORLDCUP!BD68</f>
        <v>RD Congo</v>
      </c>
      <c r="N396" s="9" t="s">
        <v>850</v>
      </c>
      <c r="O396" s="9">
        <v>395</v>
      </c>
      <c r="P396" s="9" t="s">
        <v>93</v>
      </c>
      <c r="Q396" s="9" t="s">
        <v>441</v>
      </c>
      <c r="R396" s="9" t="s">
        <v>90</v>
      </c>
      <c r="S396" s="9" t="s">
        <v>91</v>
      </c>
      <c r="T396" s="9" t="s">
        <v>89</v>
      </c>
      <c r="U396" s="9" t="s">
        <v>436</v>
      </c>
      <c r="V396" s="9" t="s">
        <v>440</v>
      </c>
      <c r="W396" s="9" t="s">
        <v>442</v>
      </c>
    </row>
    <row r="397" spans="1:23">
      <c r="A397" s="9" t="s">
        <v>849</v>
      </c>
      <c r="B397" s="9">
        <f ca="1">+IF(A397=WORLDCUP!$BI$112,1,0)</f>
        <v>0</v>
      </c>
      <c r="C397" s="9" t="str">
        <f ca="1">+WORLDCUP!BD62</f>
        <v>Ecuador</v>
      </c>
      <c r="D397" s="9" t="str">
        <f ca="1">+WORLDCUP!BD67</f>
        <v>Argelia</v>
      </c>
      <c r="E397" s="9" t="str">
        <f ca="1">+WORLDCUP!BD59</f>
        <v>Canadá</v>
      </c>
      <c r="F397" s="9" t="str">
        <f ca="1">+WORLDCUP!BD60</f>
        <v>Marruecos</v>
      </c>
      <c r="G397" s="9" t="str">
        <f ca="1">+WORLDCUP!BD58</f>
        <v>República Checa</v>
      </c>
      <c r="H397" s="9" t="str">
        <f ca="1">+WORLDCUP!BD64</f>
        <v>Egipto</v>
      </c>
      <c r="I397" s="9" t="str">
        <f ca="1">+WORLDCUP!BD69</f>
        <v>Ghana</v>
      </c>
      <c r="J397" s="9" t="str">
        <f ca="1">+WORLDCUP!BD68</f>
        <v>RD Congo</v>
      </c>
      <c r="N397" s="9" t="s">
        <v>849</v>
      </c>
      <c r="O397" s="9">
        <v>396</v>
      </c>
      <c r="P397" s="9" t="s">
        <v>93</v>
      </c>
      <c r="Q397" s="9" t="s">
        <v>441</v>
      </c>
      <c r="R397" s="9" t="s">
        <v>90</v>
      </c>
      <c r="S397" s="9" t="s">
        <v>91</v>
      </c>
      <c r="T397" s="9" t="s">
        <v>89</v>
      </c>
      <c r="U397" s="9" t="s">
        <v>435</v>
      </c>
      <c r="V397" s="9" t="s">
        <v>443</v>
      </c>
      <c r="W397" s="9" t="s">
        <v>442</v>
      </c>
    </row>
    <row r="398" spans="1:23">
      <c r="A398" s="9" t="s">
        <v>848</v>
      </c>
      <c r="B398" s="9">
        <f ca="1">+IF(A398=WORLDCUP!$BI$112,1,0)</f>
        <v>0</v>
      </c>
      <c r="C398" s="9" t="str">
        <f ca="1">+WORLDCUP!BD62</f>
        <v>Ecuador</v>
      </c>
      <c r="D398" s="9" t="str">
        <f ca="1">+WORLDCUP!BD64</f>
        <v>Egipto</v>
      </c>
      <c r="E398" s="9" t="str">
        <f ca="1">+WORLDCUP!BD59</f>
        <v>Canadá</v>
      </c>
      <c r="F398" s="9" t="str">
        <f ca="1">+WORLDCUP!BD58</f>
        <v>República Checa</v>
      </c>
      <c r="G398" s="9" t="str">
        <f ca="1">+WORLDCUP!BD66</f>
        <v>Senegal</v>
      </c>
      <c r="H398" s="9" t="str">
        <f ca="1">+WORLDCUP!BD60</f>
        <v>Marruecos</v>
      </c>
      <c r="I398" s="9" t="str">
        <f ca="1">+WORLDCUP!BD69</f>
        <v>Ghana</v>
      </c>
      <c r="J398" s="9" t="str">
        <f ca="1">+WORLDCUP!BD68</f>
        <v>RD Congo</v>
      </c>
      <c r="N398" s="9" t="s">
        <v>848</v>
      </c>
      <c r="O398" s="9">
        <v>397</v>
      </c>
      <c r="P398" s="9" t="s">
        <v>93</v>
      </c>
      <c r="Q398" s="9" t="s">
        <v>435</v>
      </c>
      <c r="R398" s="9" t="s">
        <v>90</v>
      </c>
      <c r="S398" s="9" t="s">
        <v>89</v>
      </c>
      <c r="T398" s="9" t="s">
        <v>440</v>
      </c>
      <c r="U398" s="9" t="s">
        <v>91</v>
      </c>
      <c r="V398" s="9" t="s">
        <v>443</v>
      </c>
      <c r="W398" s="9" t="s">
        <v>442</v>
      </c>
    </row>
    <row r="399" spans="1:23">
      <c r="A399" s="9" t="s">
        <v>847</v>
      </c>
      <c r="B399" s="9">
        <f ca="1">+IF(A399=WORLDCUP!$BI$112,1,0)</f>
        <v>0</v>
      </c>
      <c r="C399" s="9" t="str">
        <f ca="1">+WORLDCUP!BD62</f>
        <v>Ecuador</v>
      </c>
      <c r="D399" s="9" t="str">
        <f ca="1">+WORLDCUP!BD67</f>
        <v>Argelia</v>
      </c>
      <c r="E399" s="9" t="str">
        <f ca="1">+WORLDCUP!BD59</f>
        <v>Canadá</v>
      </c>
      <c r="F399" s="9" t="str">
        <f ca="1">+WORLDCUP!BD60</f>
        <v>Marruecos</v>
      </c>
      <c r="G399" s="9" t="str">
        <f ca="1">+WORLDCUP!BD58</f>
        <v>República Checa</v>
      </c>
      <c r="H399" s="9" t="str">
        <f ca="1">+WORLDCUP!BD64</f>
        <v>Egipto</v>
      </c>
      <c r="I399" s="9" t="str">
        <f ca="1">+WORLDCUP!BD69</f>
        <v>Ghana</v>
      </c>
      <c r="J399" s="9" t="str">
        <f ca="1">+WORLDCUP!BD66</f>
        <v>Senegal</v>
      </c>
      <c r="N399" s="9" t="s">
        <v>847</v>
      </c>
      <c r="O399" s="9">
        <v>398</v>
      </c>
      <c r="P399" s="9" t="s">
        <v>93</v>
      </c>
      <c r="Q399" s="9" t="s">
        <v>441</v>
      </c>
      <c r="R399" s="9" t="s">
        <v>90</v>
      </c>
      <c r="S399" s="9" t="s">
        <v>91</v>
      </c>
      <c r="T399" s="9" t="s">
        <v>89</v>
      </c>
      <c r="U399" s="9" t="s">
        <v>435</v>
      </c>
      <c r="V399" s="9" t="s">
        <v>443</v>
      </c>
      <c r="W399" s="9" t="s">
        <v>440</v>
      </c>
    </row>
    <row r="400" spans="1:23">
      <c r="A400" s="9" t="s">
        <v>846</v>
      </c>
      <c r="B400" s="9">
        <f ca="1">+IF(A400=WORLDCUP!$BI$112,1,0)</f>
        <v>0</v>
      </c>
      <c r="C400" s="9" t="str">
        <f ca="1">+WORLDCUP!BD62</f>
        <v>Ecuador</v>
      </c>
      <c r="D400" s="9" t="str">
        <f ca="1">+WORLDCUP!BD67</f>
        <v>Argelia</v>
      </c>
      <c r="E400" s="9" t="str">
        <f ca="1">+WORLDCUP!BD59</f>
        <v>Canadá</v>
      </c>
      <c r="F400" s="9" t="str">
        <f ca="1">+WORLDCUP!BD60</f>
        <v>Marruecos</v>
      </c>
      <c r="G400" s="9" t="str">
        <f ca="1">+WORLDCUP!BD58</f>
        <v>República Checa</v>
      </c>
      <c r="H400" s="9" t="str">
        <f ca="1">+WORLDCUP!BD64</f>
        <v>Egipto</v>
      </c>
      <c r="I400" s="9" t="str">
        <f ca="1">+WORLDCUP!BD66</f>
        <v>Senegal</v>
      </c>
      <c r="J400" s="9" t="str">
        <f ca="1">+WORLDCUP!BD68</f>
        <v>RD Congo</v>
      </c>
      <c r="N400" s="9" t="s">
        <v>846</v>
      </c>
      <c r="O400" s="9">
        <v>399</v>
      </c>
      <c r="P400" s="9" t="s">
        <v>93</v>
      </c>
      <c r="Q400" s="9" t="s">
        <v>441</v>
      </c>
      <c r="R400" s="9" t="s">
        <v>90</v>
      </c>
      <c r="S400" s="9" t="s">
        <v>91</v>
      </c>
      <c r="T400" s="9" t="s">
        <v>89</v>
      </c>
      <c r="U400" s="9" t="s">
        <v>435</v>
      </c>
      <c r="V400" s="9" t="s">
        <v>440</v>
      </c>
      <c r="W400" s="9" t="s">
        <v>442</v>
      </c>
    </row>
    <row r="401" spans="1:23">
      <c r="A401" s="9" t="s">
        <v>845</v>
      </c>
      <c r="B401" s="9">
        <f ca="1">+IF(A401=WORLDCUP!$BI$112,1,0)</f>
        <v>0</v>
      </c>
      <c r="C401" s="9" t="str">
        <f ca="1">+WORLDCUP!BD62</f>
        <v>Ecuador</v>
      </c>
      <c r="D401" s="9" t="str">
        <f ca="1">+WORLDCUP!BD64</f>
        <v>Egipto</v>
      </c>
      <c r="E401" s="9" t="str">
        <f ca="1">+WORLDCUP!BD59</f>
        <v>Canadá</v>
      </c>
      <c r="F401" s="9" t="str">
        <f ca="1">+WORLDCUP!BD60</f>
        <v>Marruecos</v>
      </c>
      <c r="G401" s="9" t="str">
        <f ca="1">+WORLDCUP!BD58</f>
        <v>República Checa</v>
      </c>
      <c r="H401" s="9" t="str">
        <f ca="1">+WORLDCUP!BD65</f>
        <v>Arabia Saudita</v>
      </c>
      <c r="I401" s="9" t="str">
        <f ca="1">+WORLDCUP!BD69</f>
        <v>Ghana</v>
      </c>
      <c r="J401" s="9" t="str">
        <f ca="1">+WORLDCUP!BD68</f>
        <v>RD Congo</v>
      </c>
      <c r="N401" s="9" t="s">
        <v>845</v>
      </c>
      <c r="O401" s="9">
        <v>400</v>
      </c>
      <c r="P401" s="9" t="s">
        <v>93</v>
      </c>
      <c r="Q401" s="9" t="s">
        <v>435</v>
      </c>
      <c r="R401" s="9" t="s">
        <v>90</v>
      </c>
      <c r="S401" s="9" t="s">
        <v>91</v>
      </c>
      <c r="T401" s="9" t="s">
        <v>89</v>
      </c>
      <c r="U401" s="9" t="s">
        <v>436</v>
      </c>
      <c r="V401" s="9" t="s">
        <v>443</v>
      </c>
      <c r="W401" s="9" t="s">
        <v>442</v>
      </c>
    </row>
    <row r="402" spans="1:23">
      <c r="A402" s="9" t="s">
        <v>844</v>
      </c>
      <c r="B402" s="9">
        <f ca="1">+IF(A402=WORLDCUP!$BI$112,1,0)</f>
        <v>0</v>
      </c>
      <c r="C402" s="9" t="str">
        <f ca="1">+WORLDCUP!BD65</f>
        <v>Arabia Saudita</v>
      </c>
      <c r="D402" s="9" t="str">
        <f ca="1">+WORLDCUP!BD67</f>
        <v>Argelia</v>
      </c>
      <c r="E402" s="9" t="str">
        <f ca="1">+WORLDCUP!BD59</f>
        <v>Canadá</v>
      </c>
      <c r="F402" s="9" t="str">
        <f ca="1">+WORLDCUP!BD60</f>
        <v>Marruecos</v>
      </c>
      <c r="G402" s="9" t="str">
        <f ca="1">+WORLDCUP!BD58</f>
        <v>República Checa</v>
      </c>
      <c r="H402" s="9" t="str">
        <f ca="1">+WORLDCUP!BD64</f>
        <v>Egipto</v>
      </c>
      <c r="I402" s="9" t="str">
        <f ca="1">+WORLDCUP!BD69</f>
        <v>Ghana</v>
      </c>
      <c r="J402" s="9" t="str">
        <f ca="1">+WORLDCUP!BD62</f>
        <v>Ecuador</v>
      </c>
      <c r="N402" s="9" t="s">
        <v>844</v>
      </c>
      <c r="O402" s="9">
        <v>401</v>
      </c>
      <c r="P402" s="9" t="s">
        <v>436</v>
      </c>
      <c r="Q402" s="9" t="s">
        <v>441</v>
      </c>
      <c r="R402" s="9" t="s">
        <v>90</v>
      </c>
      <c r="S402" s="9" t="s">
        <v>91</v>
      </c>
      <c r="T402" s="9" t="s">
        <v>89</v>
      </c>
      <c r="U402" s="9" t="s">
        <v>435</v>
      </c>
      <c r="V402" s="9" t="s">
        <v>443</v>
      </c>
      <c r="W402" s="9" t="s">
        <v>93</v>
      </c>
    </row>
    <row r="403" spans="1:23">
      <c r="A403" s="9" t="s">
        <v>843</v>
      </c>
      <c r="B403" s="9">
        <f ca="1">+IF(A403=WORLDCUP!$BI$112,1,0)</f>
        <v>0</v>
      </c>
      <c r="C403" s="9" t="str">
        <f ca="1">+WORLDCUP!BD65</f>
        <v>Arabia Saudita</v>
      </c>
      <c r="D403" s="9" t="str">
        <f ca="1">+WORLDCUP!BD67</f>
        <v>Argelia</v>
      </c>
      <c r="E403" s="9" t="str">
        <f ca="1">+WORLDCUP!BD59</f>
        <v>Canadá</v>
      </c>
      <c r="F403" s="9" t="str">
        <f ca="1">+WORLDCUP!BD60</f>
        <v>Marruecos</v>
      </c>
      <c r="G403" s="9" t="str">
        <f ca="1">+WORLDCUP!BD58</f>
        <v>República Checa</v>
      </c>
      <c r="H403" s="9" t="str">
        <f ca="1">+WORLDCUP!BD64</f>
        <v>Egipto</v>
      </c>
      <c r="I403" s="9" t="str">
        <f ca="1">+WORLDCUP!BD62</f>
        <v>Ecuador</v>
      </c>
      <c r="J403" s="9" t="str">
        <f ca="1">+WORLDCUP!BD68</f>
        <v>RD Congo</v>
      </c>
      <c r="N403" s="9" t="s">
        <v>843</v>
      </c>
      <c r="O403" s="9">
        <v>402</v>
      </c>
      <c r="P403" s="9" t="s">
        <v>436</v>
      </c>
      <c r="Q403" s="9" t="s">
        <v>441</v>
      </c>
      <c r="R403" s="9" t="s">
        <v>90</v>
      </c>
      <c r="S403" s="9" t="s">
        <v>91</v>
      </c>
      <c r="T403" s="9" t="s">
        <v>89</v>
      </c>
      <c r="U403" s="9" t="s">
        <v>435</v>
      </c>
      <c r="V403" s="9" t="s">
        <v>93</v>
      </c>
      <c r="W403" s="9" t="s">
        <v>442</v>
      </c>
    </row>
    <row r="404" spans="1:23">
      <c r="A404" s="9" t="s">
        <v>842</v>
      </c>
      <c r="B404" s="9">
        <f ca="1">+IF(A404=WORLDCUP!$BI$112,1,0)</f>
        <v>0</v>
      </c>
      <c r="C404" s="9" t="str">
        <f ca="1">+WORLDCUP!BD62</f>
        <v>Ecuador</v>
      </c>
      <c r="D404" s="9" t="str">
        <f ca="1">+WORLDCUP!BD64</f>
        <v>Egipto</v>
      </c>
      <c r="E404" s="9" t="str">
        <f ca="1">+WORLDCUP!BD59</f>
        <v>Canadá</v>
      </c>
      <c r="F404" s="9" t="str">
        <f ca="1">+WORLDCUP!BD60</f>
        <v>Marruecos</v>
      </c>
      <c r="G404" s="9" t="str">
        <f ca="1">+WORLDCUP!BD58</f>
        <v>República Checa</v>
      </c>
      <c r="H404" s="9" t="str">
        <f ca="1">+WORLDCUP!BD65</f>
        <v>Arabia Saudita</v>
      </c>
      <c r="I404" s="9" t="str">
        <f ca="1">+WORLDCUP!BD69</f>
        <v>Ghana</v>
      </c>
      <c r="J404" s="9" t="str">
        <f ca="1">+WORLDCUP!BD66</f>
        <v>Senegal</v>
      </c>
      <c r="N404" s="9" t="s">
        <v>842</v>
      </c>
      <c r="O404" s="9">
        <v>403</v>
      </c>
      <c r="P404" s="9" t="s">
        <v>93</v>
      </c>
      <c r="Q404" s="9" t="s">
        <v>435</v>
      </c>
      <c r="R404" s="9" t="s">
        <v>90</v>
      </c>
      <c r="S404" s="9" t="s">
        <v>91</v>
      </c>
      <c r="T404" s="9" t="s">
        <v>89</v>
      </c>
      <c r="U404" s="9" t="s">
        <v>436</v>
      </c>
      <c r="V404" s="9" t="s">
        <v>443</v>
      </c>
      <c r="W404" s="9" t="s">
        <v>440</v>
      </c>
    </row>
    <row r="405" spans="1:23">
      <c r="A405" s="9" t="s">
        <v>841</v>
      </c>
      <c r="B405" s="9">
        <f ca="1">+IF(A405=WORLDCUP!$BI$112,1,0)</f>
        <v>0</v>
      </c>
      <c r="C405" s="9" t="str">
        <f ca="1">+WORLDCUP!BD62</f>
        <v>Ecuador</v>
      </c>
      <c r="D405" s="9" t="str">
        <f ca="1">+WORLDCUP!BD64</f>
        <v>Egipto</v>
      </c>
      <c r="E405" s="9" t="str">
        <f ca="1">+WORLDCUP!BD59</f>
        <v>Canadá</v>
      </c>
      <c r="F405" s="9" t="str">
        <f ca="1">+WORLDCUP!BD60</f>
        <v>Marruecos</v>
      </c>
      <c r="G405" s="9" t="str">
        <f ca="1">+WORLDCUP!BD58</f>
        <v>República Checa</v>
      </c>
      <c r="H405" s="9" t="str">
        <f ca="1">+WORLDCUP!BD65</f>
        <v>Arabia Saudita</v>
      </c>
      <c r="I405" s="9" t="str">
        <f ca="1">+WORLDCUP!BD66</f>
        <v>Senegal</v>
      </c>
      <c r="J405" s="9" t="str">
        <f ca="1">+WORLDCUP!BD68</f>
        <v>RD Congo</v>
      </c>
      <c r="N405" s="9" t="s">
        <v>841</v>
      </c>
      <c r="O405" s="9">
        <v>404</v>
      </c>
      <c r="P405" s="9" t="s">
        <v>93</v>
      </c>
      <c r="Q405" s="9" t="s">
        <v>435</v>
      </c>
      <c r="R405" s="9" t="s">
        <v>90</v>
      </c>
      <c r="S405" s="9" t="s">
        <v>91</v>
      </c>
      <c r="T405" s="9" t="s">
        <v>89</v>
      </c>
      <c r="U405" s="9" t="s">
        <v>436</v>
      </c>
      <c r="V405" s="9" t="s">
        <v>440</v>
      </c>
      <c r="W405" s="9" t="s">
        <v>442</v>
      </c>
    </row>
    <row r="406" spans="1:23">
      <c r="A406" s="9" t="s">
        <v>840</v>
      </c>
      <c r="B406" s="9">
        <f ca="1">+IF(A406=WORLDCUP!$BI$112,1,0)</f>
        <v>0</v>
      </c>
      <c r="C406" s="9" t="str">
        <f ca="1">+WORLDCUP!BD65</f>
        <v>Arabia Saudita</v>
      </c>
      <c r="D406" s="9" t="str">
        <f ca="1">+WORLDCUP!BD67</f>
        <v>Argelia</v>
      </c>
      <c r="E406" s="9" t="str">
        <f ca="1">+WORLDCUP!BD59</f>
        <v>Canadá</v>
      </c>
      <c r="F406" s="9" t="str">
        <f ca="1">+WORLDCUP!BD60</f>
        <v>Marruecos</v>
      </c>
      <c r="G406" s="9" t="str">
        <f ca="1">+WORLDCUP!BD58</f>
        <v>República Checa</v>
      </c>
      <c r="H406" s="9" t="str">
        <f ca="1">+WORLDCUP!BD64</f>
        <v>Egipto</v>
      </c>
      <c r="I406" s="9" t="str">
        <f ca="1">+WORLDCUP!BD62</f>
        <v>Ecuador</v>
      </c>
      <c r="J406" s="9" t="str">
        <f ca="1">+WORLDCUP!BD66</f>
        <v>Senegal</v>
      </c>
      <c r="N406" s="9" t="s">
        <v>840</v>
      </c>
      <c r="O406" s="9">
        <v>405</v>
      </c>
      <c r="P406" s="9" t="s">
        <v>436</v>
      </c>
      <c r="Q406" s="9" t="s">
        <v>441</v>
      </c>
      <c r="R406" s="9" t="s">
        <v>90</v>
      </c>
      <c r="S406" s="9" t="s">
        <v>91</v>
      </c>
      <c r="T406" s="9" t="s">
        <v>89</v>
      </c>
      <c r="U406" s="9" t="s">
        <v>435</v>
      </c>
      <c r="V406" s="9" t="s">
        <v>93</v>
      </c>
      <c r="W406" s="9" t="s">
        <v>440</v>
      </c>
    </row>
    <row r="407" spans="1:23">
      <c r="A407" s="9" t="s">
        <v>839</v>
      </c>
      <c r="B407" s="9">
        <f ca="1">+IF(A407=WORLDCUP!$BI$112,1,0)</f>
        <v>0</v>
      </c>
      <c r="C407" s="9" t="str">
        <f ca="1">+WORLDCUP!BD62</f>
        <v>Ecuador</v>
      </c>
      <c r="D407" s="9" t="str">
        <f ca="1">+WORLDCUP!BD67</f>
        <v>Argelia</v>
      </c>
      <c r="E407" s="9" t="str">
        <f ca="1">+WORLDCUP!BD59</f>
        <v>Canadá</v>
      </c>
      <c r="F407" s="9" t="str">
        <f ca="1">+WORLDCUP!BD60</f>
        <v>Marruecos</v>
      </c>
      <c r="G407" s="9" t="str">
        <f ca="1">+WORLDCUP!BD58</f>
        <v>República Checa</v>
      </c>
      <c r="H407" s="9" t="str">
        <f ca="1">+WORLDCUP!BD63</f>
        <v>Suecia</v>
      </c>
      <c r="I407" s="9" t="str">
        <f ca="1">+WORLDCUP!BD69</f>
        <v>Ghana</v>
      </c>
      <c r="J407" s="9" t="str">
        <f ca="1">+WORLDCUP!BD68</f>
        <v>RD Congo</v>
      </c>
      <c r="N407" s="9" t="s">
        <v>839</v>
      </c>
      <c r="O407" s="9">
        <v>406</v>
      </c>
      <c r="P407" s="9" t="s">
        <v>93</v>
      </c>
      <c r="Q407" s="9" t="s">
        <v>441</v>
      </c>
      <c r="R407" s="9" t="s">
        <v>90</v>
      </c>
      <c r="S407" s="9" t="s">
        <v>91</v>
      </c>
      <c r="T407" s="9" t="s">
        <v>89</v>
      </c>
      <c r="U407" s="9" t="s">
        <v>94</v>
      </c>
      <c r="V407" s="9" t="s">
        <v>443</v>
      </c>
      <c r="W407" s="9" t="s">
        <v>442</v>
      </c>
    </row>
    <row r="408" spans="1:23">
      <c r="A408" s="9" t="s">
        <v>838</v>
      </c>
      <c r="B408" s="9">
        <f ca="1">+IF(A408=WORLDCUP!$BI$112,1,0)</f>
        <v>0</v>
      </c>
      <c r="C408" s="9" t="str">
        <f ca="1">+WORLDCUP!BD62</f>
        <v>Ecuador</v>
      </c>
      <c r="D408" s="9" t="str">
        <f ca="1">+WORLDCUP!BD66</f>
        <v>Senegal</v>
      </c>
      <c r="E408" s="9" t="str">
        <f ca="1">+WORLDCUP!BD59</f>
        <v>Canadá</v>
      </c>
      <c r="F408" s="9" t="str">
        <f ca="1">+WORLDCUP!BD60</f>
        <v>Marruecos</v>
      </c>
      <c r="G408" s="9" t="str">
        <f ca="1">+WORLDCUP!BD58</f>
        <v>República Checa</v>
      </c>
      <c r="H408" s="9" t="str">
        <f ca="1">+WORLDCUP!BD63</f>
        <v>Suecia</v>
      </c>
      <c r="I408" s="9" t="str">
        <f ca="1">+WORLDCUP!BD69</f>
        <v>Ghana</v>
      </c>
      <c r="J408" s="9" t="str">
        <f ca="1">+WORLDCUP!BD68</f>
        <v>RD Congo</v>
      </c>
      <c r="N408" s="9" t="s">
        <v>838</v>
      </c>
      <c r="O408" s="9">
        <v>407</v>
      </c>
      <c r="P408" s="9" t="s">
        <v>93</v>
      </c>
      <c r="Q408" s="9" t="s">
        <v>440</v>
      </c>
      <c r="R408" s="9" t="s">
        <v>90</v>
      </c>
      <c r="S408" s="9" t="s">
        <v>91</v>
      </c>
      <c r="T408" s="9" t="s">
        <v>89</v>
      </c>
      <c r="U408" s="9" t="s">
        <v>94</v>
      </c>
      <c r="V408" s="9" t="s">
        <v>443</v>
      </c>
      <c r="W408" s="9" t="s">
        <v>442</v>
      </c>
    </row>
    <row r="409" spans="1:23">
      <c r="A409" s="9" t="s">
        <v>837</v>
      </c>
      <c r="B409" s="9">
        <f ca="1">+IF(A409=WORLDCUP!$BI$112,1,0)</f>
        <v>0</v>
      </c>
      <c r="C409" s="9" t="str">
        <f ca="1">+WORLDCUP!BD62</f>
        <v>Ecuador</v>
      </c>
      <c r="D409" s="9" t="str">
        <f ca="1">+WORLDCUP!BD67</f>
        <v>Argelia</v>
      </c>
      <c r="E409" s="9" t="str">
        <f ca="1">+WORLDCUP!BD59</f>
        <v>Canadá</v>
      </c>
      <c r="F409" s="9" t="str">
        <f ca="1">+WORLDCUP!BD60</f>
        <v>Marruecos</v>
      </c>
      <c r="G409" s="9" t="str">
        <f ca="1">+WORLDCUP!BD58</f>
        <v>República Checa</v>
      </c>
      <c r="H409" s="9" t="str">
        <f ca="1">+WORLDCUP!BD63</f>
        <v>Suecia</v>
      </c>
      <c r="I409" s="9" t="str">
        <f ca="1">+WORLDCUP!BD69</f>
        <v>Ghana</v>
      </c>
      <c r="J409" s="9" t="str">
        <f ca="1">+WORLDCUP!BD66</f>
        <v>Senegal</v>
      </c>
      <c r="N409" s="9" t="s">
        <v>837</v>
      </c>
      <c r="O409" s="9">
        <v>408</v>
      </c>
      <c r="P409" s="9" t="s">
        <v>93</v>
      </c>
      <c r="Q409" s="9" t="s">
        <v>441</v>
      </c>
      <c r="R409" s="9" t="s">
        <v>90</v>
      </c>
      <c r="S409" s="9" t="s">
        <v>91</v>
      </c>
      <c r="T409" s="9" t="s">
        <v>89</v>
      </c>
      <c r="U409" s="9" t="s">
        <v>94</v>
      </c>
      <c r="V409" s="9" t="s">
        <v>443</v>
      </c>
      <c r="W409" s="9" t="s">
        <v>440</v>
      </c>
    </row>
    <row r="410" spans="1:23">
      <c r="A410" s="9" t="s">
        <v>836</v>
      </c>
      <c r="B410" s="9">
        <f ca="1">+IF(A410=WORLDCUP!$BI$112,1,0)</f>
        <v>0</v>
      </c>
      <c r="C410" s="9" t="str">
        <f ca="1">+WORLDCUP!BD62</f>
        <v>Ecuador</v>
      </c>
      <c r="D410" s="9" t="str">
        <f ca="1">+WORLDCUP!BD67</f>
        <v>Argelia</v>
      </c>
      <c r="E410" s="9" t="str">
        <f ca="1">+WORLDCUP!BD59</f>
        <v>Canadá</v>
      </c>
      <c r="F410" s="9" t="str">
        <f ca="1">+WORLDCUP!BD60</f>
        <v>Marruecos</v>
      </c>
      <c r="G410" s="9" t="str">
        <f ca="1">+WORLDCUP!BD58</f>
        <v>República Checa</v>
      </c>
      <c r="H410" s="9" t="str">
        <f ca="1">+WORLDCUP!BD63</f>
        <v>Suecia</v>
      </c>
      <c r="I410" s="9" t="str">
        <f ca="1">+WORLDCUP!BD66</f>
        <v>Senegal</v>
      </c>
      <c r="J410" s="9" t="str">
        <f ca="1">+WORLDCUP!BD68</f>
        <v>RD Congo</v>
      </c>
      <c r="N410" s="9" t="s">
        <v>836</v>
      </c>
      <c r="O410" s="9">
        <v>409</v>
      </c>
      <c r="P410" s="9" t="s">
        <v>93</v>
      </c>
      <c r="Q410" s="9" t="s">
        <v>441</v>
      </c>
      <c r="R410" s="9" t="s">
        <v>90</v>
      </c>
      <c r="S410" s="9" t="s">
        <v>91</v>
      </c>
      <c r="T410" s="9" t="s">
        <v>89</v>
      </c>
      <c r="U410" s="9" t="s">
        <v>94</v>
      </c>
      <c r="V410" s="9" t="s">
        <v>440</v>
      </c>
      <c r="W410" s="9" t="s">
        <v>442</v>
      </c>
    </row>
    <row r="411" spans="1:23">
      <c r="A411" s="9" t="s">
        <v>835</v>
      </c>
      <c r="B411" s="9">
        <f ca="1">+IF(A411=WORLDCUP!$BI$112,1,0)</f>
        <v>0</v>
      </c>
      <c r="C411" s="9" t="str">
        <f ca="1">+WORLDCUP!BD65</f>
        <v>Arabia Saudita</v>
      </c>
      <c r="D411" s="9" t="str">
        <f ca="1">+WORLDCUP!BD62</f>
        <v>Ecuador</v>
      </c>
      <c r="E411" s="9" t="str">
        <f ca="1">+WORLDCUP!BD59</f>
        <v>Canadá</v>
      </c>
      <c r="F411" s="9" t="str">
        <f ca="1">+WORLDCUP!BD60</f>
        <v>Marruecos</v>
      </c>
      <c r="G411" s="9" t="str">
        <f ca="1">+WORLDCUP!BD58</f>
        <v>República Checa</v>
      </c>
      <c r="H411" s="9" t="str">
        <f ca="1">+WORLDCUP!BD63</f>
        <v>Suecia</v>
      </c>
      <c r="I411" s="9" t="str">
        <f ca="1">+WORLDCUP!BD69</f>
        <v>Ghana</v>
      </c>
      <c r="J411" s="9" t="str">
        <f ca="1">+WORLDCUP!BD68</f>
        <v>RD Congo</v>
      </c>
      <c r="N411" s="9" t="s">
        <v>835</v>
      </c>
      <c r="O411" s="9">
        <v>410</v>
      </c>
      <c r="P411" s="9" t="s">
        <v>436</v>
      </c>
      <c r="Q411" s="9" t="s">
        <v>93</v>
      </c>
      <c r="R411" s="9" t="s">
        <v>90</v>
      </c>
      <c r="S411" s="9" t="s">
        <v>91</v>
      </c>
      <c r="T411" s="9" t="s">
        <v>89</v>
      </c>
      <c r="U411" s="9" t="s">
        <v>94</v>
      </c>
      <c r="V411" s="9" t="s">
        <v>443</v>
      </c>
      <c r="W411" s="9" t="s">
        <v>442</v>
      </c>
    </row>
    <row r="412" spans="1:23">
      <c r="A412" s="9" t="s">
        <v>834</v>
      </c>
      <c r="B412" s="9">
        <f ca="1">+IF(A412=WORLDCUP!$BI$112,1,0)</f>
        <v>0</v>
      </c>
      <c r="C412" s="9" t="str">
        <f ca="1">+WORLDCUP!BD65</f>
        <v>Arabia Saudita</v>
      </c>
      <c r="D412" s="9" t="str">
        <f ca="1">+WORLDCUP!BD67</f>
        <v>Argelia</v>
      </c>
      <c r="E412" s="9" t="str">
        <f ca="1">+WORLDCUP!BD59</f>
        <v>Canadá</v>
      </c>
      <c r="F412" s="9" t="str">
        <f ca="1">+WORLDCUP!BD60</f>
        <v>Marruecos</v>
      </c>
      <c r="G412" s="9" t="str">
        <f ca="1">+WORLDCUP!BD58</f>
        <v>República Checa</v>
      </c>
      <c r="H412" s="9" t="str">
        <f ca="1">+WORLDCUP!BD63</f>
        <v>Suecia</v>
      </c>
      <c r="I412" s="9" t="str">
        <f ca="1">+WORLDCUP!BD69</f>
        <v>Ghana</v>
      </c>
      <c r="J412" s="9" t="str">
        <f ca="1">+WORLDCUP!BD62</f>
        <v>Ecuador</v>
      </c>
      <c r="N412" s="9" t="s">
        <v>834</v>
      </c>
      <c r="O412" s="9">
        <v>411</v>
      </c>
      <c r="P412" s="9" t="s">
        <v>436</v>
      </c>
      <c r="Q412" s="9" t="s">
        <v>441</v>
      </c>
      <c r="R412" s="9" t="s">
        <v>90</v>
      </c>
      <c r="S412" s="9" t="s">
        <v>91</v>
      </c>
      <c r="T412" s="9" t="s">
        <v>89</v>
      </c>
      <c r="U412" s="9" t="s">
        <v>94</v>
      </c>
      <c r="V412" s="9" t="s">
        <v>443</v>
      </c>
      <c r="W412" s="9" t="s">
        <v>93</v>
      </c>
    </row>
    <row r="413" spans="1:23">
      <c r="A413" s="9" t="s">
        <v>833</v>
      </c>
      <c r="B413" s="9">
        <f ca="1">+IF(A413=WORLDCUP!$BI$112,1,0)</f>
        <v>0</v>
      </c>
      <c r="C413" s="9" t="str">
        <f ca="1">+WORLDCUP!BD65</f>
        <v>Arabia Saudita</v>
      </c>
      <c r="D413" s="9" t="str">
        <f ca="1">+WORLDCUP!BD67</f>
        <v>Argelia</v>
      </c>
      <c r="E413" s="9" t="str">
        <f ca="1">+WORLDCUP!BD59</f>
        <v>Canadá</v>
      </c>
      <c r="F413" s="9" t="str">
        <f ca="1">+WORLDCUP!BD60</f>
        <v>Marruecos</v>
      </c>
      <c r="G413" s="9" t="str">
        <f ca="1">+WORLDCUP!BD58</f>
        <v>República Checa</v>
      </c>
      <c r="H413" s="9" t="str">
        <f ca="1">+WORLDCUP!BD63</f>
        <v>Suecia</v>
      </c>
      <c r="I413" s="9" t="str">
        <f ca="1">+WORLDCUP!BD62</f>
        <v>Ecuador</v>
      </c>
      <c r="J413" s="9" t="str">
        <f ca="1">+WORLDCUP!BD68</f>
        <v>RD Congo</v>
      </c>
      <c r="N413" s="9" t="s">
        <v>833</v>
      </c>
      <c r="O413" s="9">
        <v>412</v>
      </c>
      <c r="P413" s="9" t="s">
        <v>436</v>
      </c>
      <c r="Q413" s="9" t="s">
        <v>441</v>
      </c>
      <c r="R413" s="9" t="s">
        <v>90</v>
      </c>
      <c r="S413" s="9" t="s">
        <v>91</v>
      </c>
      <c r="T413" s="9" t="s">
        <v>89</v>
      </c>
      <c r="U413" s="9" t="s">
        <v>94</v>
      </c>
      <c r="V413" s="9" t="s">
        <v>93</v>
      </c>
      <c r="W413" s="9" t="s">
        <v>442</v>
      </c>
    </row>
    <row r="414" spans="1:23">
      <c r="A414" s="9" t="s">
        <v>765</v>
      </c>
      <c r="B414" s="9">
        <f ca="1">+IF(A414=WORLDCUP!$BI$112,1,0)</f>
        <v>0</v>
      </c>
      <c r="C414" s="9" t="str">
        <f ca="1">+WORLDCUP!BD65</f>
        <v>Arabia Saudita</v>
      </c>
      <c r="D414" s="9" t="str">
        <f ca="1">+WORLDCUP!BD62</f>
        <v>Ecuador</v>
      </c>
      <c r="E414" s="9" t="str">
        <f ca="1">+WORLDCUP!BD59</f>
        <v>Canadá</v>
      </c>
      <c r="F414" s="9" t="str">
        <f ca="1">+WORLDCUP!BD60</f>
        <v>Marruecos</v>
      </c>
      <c r="G414" s="9" t="str">
        <f ca="1">+WORLDCUP!BD58</f>
        <v>República Checa</v>
      </c>
      <c r="H414" s="9" t="str">
        <f ca="1">+WORLDCUP!BD63</f>
        <v>Suecia</v>
      </c>
      <c r="I414" s="9" t="str">
        <f ca="1">+WORLDCUP!BD69</f>
        <v>Ghana</v>
      </c>
      <c r="J414" s="9" t="str">
        <f ca="1">+WORLDCUP!BD66</f>
        <v>Senegal</v>
      </c>
      <c r="N414" s="9" t="s">
        <v>765</v>
      </c>
      <c r="O414" s="9">
        <v>413</v>
      </c>
      <c r="P414" s="9" t="s">
        <v>436</v>
      </c>
      <c r="Q414" s="9" t="s">
        <v>93</v>
      </c>
      <c r="R414" s="9" t="s">
        <v>90</v>
      </c>
      <c r="S414" s="9" t="s">
        <v>91</v>
      </c>
      <c r="T414" s="9" t="s">
        <v>89</v>
      </c>
      <c r="U414" s="9" t="s">
        <v>94</v>
      </c>
      <c r="V414" s="9" t="s">
        <v>443</v>
      </c>
      <c r="W414" s="9" t="s">
        <v>440</v>
      </c>
    </row>
    <row r="415" spans="1:23">
      <c r="A415" s="9" t="s">
        <v>832</v>
      </c>
      <c r="B415" s="9">
        <f ca="1">+IF(A415=WORLDCUP!$BI$112,1,0)</f>
        <v>0</v>
      </c>
      <c r="C415" s="9" t="str">
        <f ca="1">+WORLDCUP!BD65</f>
        <v>Arabia Saudita</v>
      </c>
      <c r="D415" s="9" t="str">
        <f ca="1">+WORLDCUP!BD62</f>
        <v>Ecuador</v>
      </c>
      <c r="E415" s="9" t="str">
        <f ca="1">+WORLDCUP!BD59</f>
        <v>Canadá</v>
      </c>
      <c r="F415" s="9" t="str">
        <f ca="1">+WORLDCUP!BD60</f>
        <v>Marruecos</v>
      </c>
      <c r="G415" s="9" t="str">
        <f ca="1">+WORLDCUP!BD58</f>
        <v>República Checa</v>
      </c>
      <c r="H415" s="9" t="str">
        <f ca="1">+WORLDCUP!BD63</f>
        <v>Suecia</v>
      </c>
      <c r="I415" s="9" t="str">
        <f ca="1">+WORLDCUP!BD66</f>
        <v>Senegal</v>
      </c>
      <c r="J415" s="9" t="str">
        <f ca="1">+WORLDCUP!BD68</f>
        <v>RD Congo</v>
      </c>
      <c r="N415" s="9" t="s">
        <v>832</v>
      </c>
      <c r="O415" s="9">
        <v>414</v>
      </c>
      <c r="P415" s="9" t="s">
        <v>436</v>
      </c>
      <c r="Q415" s="9" t="s">
        <v>93</v>
      </c>
      <c r="R415" s="9" t="s">
        <v>90</v>
      </c>
      <c r="S415" s="9" t="s">
        <v>91</v>
      </c>
      <c r="T415" s="9" t="s">
        <v>89</v>
      </c>
      <c r="U415" s="9" t="s">
        <v>94</v>
      </c>
      <c r="V415" s="9" t="s">
        <v>440</v>
      </c>
      <c r="W415" s="9" t="s">
        <v>442</v>
      </c>
    </row>
    <row r="416" spans="1:23">
      <c r="A416" s="9" t="s">
        <v>831</v>
      </c>
      <c r="B416" s="9">
        <f ca="1">+IF(A416=WORLDCUP!$BI$112,1,0)</f>
        <v>0</v>
      </c>
      <c r="C416" s="9" t="str">
        <f ca="1">+WORLDCUP!BD65</f>
        <v>Arabia Saudita</v>
      </c>
      <c r="D416" s="9" t="str">
        <f ca="1">+WORLDCUP!BD67</f>
        <v>Argelia</v>
      </c>
      <c r="E416" s="9" t="str">
        <f ca="1">+WORLDCUP!BD59</f>
        <v>Canadá</v>
      </c>
      <c r="F416" s="9" t="str">
        <f ca="1">+WORLDCUP!BD60</f>
        <v>Marruecos</v>
      </c>
      <c r="G416" s="9" t="str">
        <f ca="1">+WORLDCUP!BD58</f>
        <v>República Checa</v>
      </c>
      <c r="H416" s="9" t="str">
        <f ca="1">+WORLDCUP!BD63</f>
        <v>Suecia</v>
      </c>
      <c r="I416" s="9" t="str">
        <f ca="1">+WORLDCUP!BD62</f>
        <v>Ecuador</v>
      </c>
      <c r="J416" s="9" t="str">
        <f ca="1">+WORLDCUP!BD66</f>
        <v>Senegal</v>
      </c>
      <c r="N416" s="9" t="s">
        <v>831</v>
      </c>
      <c r="O416" s="9">
        <v>415</v>
      </c>
      <c r="P416" s="9" t="s">
        <v>436</v>
      </c>
      <c r="Q416" s="9" t="s">
        <v>441</v>
      </c>
      <c r="R416" s="9" t="s">
        <v>90</v>
      </c>
      <c r="S416" s="9" t="s">
        <v>91</v>
      </c>
      <c r="T416" s="9" t="s">
        <v>89</v>
      </c>
      <c r="U416" s="9" t="s">
        <v>94</v>
      </c>
      <c r="V416" s="9" t="s">
        <v>93</v>
      </c>
      <c r="W416" s="9" t="s">
        <v>440</v>
      </c>
    </row>
    <row r="417" spans="1:23">
      <c r="A417" s="9" t="s">
        <v>830</v>
      </c>
      <c r="B417" s="9">
        <f ca="1">+IF(A417=WORLDCUP!$BI$112,1,0)</f>
        <v>0</v>
      </c>
      <c r="C417" s="9" t="str">
        <f ca="1">+WORLDCUP!BD62</f>
        <v>Ecuador</v>
      </c>
      <c r="D417" s="9" t="str">
        <f ca="1">+WORLDCUP!BD64</f>
        <v>Egipto</v>
      </c>
      <c r="E417" s="9" t="str">
        <f ca="1">+WORLDCUP!BD59</f>
        <v>Canadá</v>
      </c>
      <c r="F417" s="9" t="str">
        <f ca="1">+WORLDCUP!BD60</f>
        <v>Marruecos</v>
      </c>
      <c r="G417" s="9" t="str">
        <f ca="1">+WORLDCUP!BD58</f>
        <v>República Checa</v>
      </c>
      <c r="H417" s="9" t="str">
        <f ca="1">+WORLDCUP!BD63</f>
        <v>Suecia</v>
      </c>
      <c r="I417" s="9" t="str">
        <f ca="1">+WORLDCUP!BD69</f>
        <v>Ghana</v>
      </c>
      <c r="J417" s="9" t="str">
        <f ca="1">+WORLDCUP!BD68</f>
        <v>RD Congo</v>
      </c>
      <c r="N417" s="9" t="s">
        <v>830</v>
      </c>
      <c r="O417" s="9">
        <v>416</v>
      </c>
      <c r="P417" s="9" t="s">
        <v>93</v>
      </c>
      <c r="Q417" s="9" t="s">
        <v>435</v>
      </c>
      <c r="R417" s="9" t="s">
        <v>90</v>
      </c>
      <c r="S417" s="9" t="s">
        <v>91</v>
      </c>
      <c r="T417" s="9" t="s">
        <v>89</v>
      </c>
      <c r="U417" s="9" t="s">
        <v>94</v>
      </c>
      <c r="V417" s="9" t="s">
        <v>443</v>
      </c>
      <c r="W417" s="9" t="s">
        <v>442</v>
      </c>
    </row>
    <row r="418" spans="1:23">
      <c r="A418" s="9" t="s">
        <v>829</v>
      </c>
      <c r="B418" s="9">
        <f ca="1">+IF(A418=WORLDCUP!$BI$112,1,0)</f>
        <v>0</v>
      </c>
      <c r="C418" s="9" t="str">
        <f ca="1">+WORLDCUP!BD62</f>
        <v>Ecuador</v>
      </c>
      <c r="D418" s="9" t="str">
        <f ca="1">+WORLDCUP!BD64</f>
        <v>Egipto</v>
      </c>
      <c r="E418" s="9" t="str">
        <f ca="1">+WORLDCUP!BD59</f>
        <v>Canadá</v>
      </c>
      <c r="F418" s="9" t="str">
        <f ca="1">+WORLDCUP!BD60</f>
        <v>Marruecos</v>
      </c>
      <c r="G418" s="9" t="str">
        <f ca="1">+WORLDCUP!BD58</f>
        <v>República Checa</v>
      </c>
      <c r="H418" s="9" t="str">
        <f ca="1">+WORLDCUP!BD63</f>
        <v>Suecia</v>
      </c>
      <c r="I418" s="9" t="str">
        <f ca="1">+WORLDCUP!BD69</f>
        <v>Ghana</v>
      </c>
      <c r="J418" s="9" t="str">
        <f ca="1">+WORLDCUP!BD67</f>
        <v>Argelia</v>
      </c>
      <c r="N418" s="9" t="s">
        <v>829</v>
      </c>
      <c r="O418" s="9">
        <v>417</v>
      </c>
      <c r="P418" s="9" t="s">
        <v>93</v>
      </c>
      <c r="Q418" s="9" t="s">
        <v>435</v>
      </c>
      <c r="R418" s="9" t="s">
        <v>90</v>
      </c>
      <c r="S418" s="9" t="s">
        <v>91</v>
      </c>
      <c r="T418" s="9" t="s">
        <v>89</v>
      </c>
      <c r="U418" s="9" t="s">
        <v>94</v>
      </c>
      <c r="V418" s="9" t="s">
        <v>443</v>
      </c>
      <c r="W418" s="9" t="s">
        <v>441</v>
      </c>
    </row>
    <row r="419" spans="1:23">
      <c r="A419" s="9" t="s">
        <v>828</v>
      </c>
      <c r="B419" s="9">
        <f ca="1">+IF(A419=WORLDCUP!$BI$112,1,0)</f>
        <v>0</v>
      </c>
      <c r="C419" s="9" t="str">
        <f ca="1">+WORLDCUP!BD62</f>
        <v>Ecuador</v>
      </c>
      <c r="D419" s="9" t="str">
        <f ca="1">+WORLDCUP!BD64</f>
        <v>Egipto</v>
      </c>
      <c r="E419" s="9" t="str">
        <f ca="1">+WORLDCUP!BD59</f>
        <v>Canadá</v>
      </c>
      <c r="F419" s="9" t="str">
        <f ca="1">+WORLDCUP!BD60</f>
        <v>Marruecos</v>
      </c>
      <c r="G419" s="9" t="str">
        <f ca="1">+WORLDCUP!BD58</f>
        <v>República Checa</v>
      </c>
      <c r="H419" s="9" t="str">
        <f ca="1">+WORLDCUP!BD63</f>
        <v>Suecia</v>
      </c>
      <c r="I419" s="9" t="str">
        <f ca="1">+WORLDCUP!BD67</f>
        <v>Argelia</v>
      </c>
      <c r="J419" s="9" t="str">
        <f ca="1">+WORLDCUP!BD68</f>
        <v>RD Congo</v>
      </c>
      <c r="N419" s="9" t="s">
        <v>828</v>
      </c>
      <c r="O419" s="9">
        <v>418</v>
      </c>
      <c r="P419" s="9" t="s">
        <v>93</v>
      </c>
      <c r="Q419" s="9" t="s">
        <v>435</v>
      </c>
      <c r="R419" s="9" t="s">
        <v>90</v>
      </c>
      <c r="S419" s="9" t="s">
        <v>91</v>
      </c>
      <c r="T419" s="9" t="s">
        <v>89</v>
      </c>
      <c r="U419" s="9" t="s">
        <v>94</v>
      </c>
      <c r="V419" s="9" t="s">
        <v>441</v>
      </c>
      <c r="W419" s="9" t="s">
        <v>442</v>
      </c>
    </row>
    <row r="420" spans="1:23">
      <c r="A420" s="9" t="s">
        <v>827</v>
      </c>
      <c r="B420" s="9">
        <f ca="1">+IF(A420=WORLDCUP!$BI$112,1,0)</f>
        <v>0</v>
      </c>
      <c r="C420" s="9" t="str">
        <f ca="1">+WORLDCUP!BD62</f>
        <v>Ecuador</v>
      </c>
      <c r="D420" s="9" t="str">
        <f ca="1">+WORLDCUP!BD64</f>
        <v>Egipto</v>
      </c>
      <c r="E420" s="9" t="str">
        <f ca="1">+WORLDCUP!BD59</f>
        <v>Canadá</v>
      </c>
      <c r="F420" s="9" t="str">
        <f ca="1">+WORLDCUP!BD60</f>
        <v>Marruecos</v>
      </c>
      <c r="G420" s="9" t="str">
        <f ca="1">+WORLDCUP!BD58</f>
        <v>República Checa</v>
      </c>
      <c r="H420" s="9" t="str">
        <f ca="1">+WORLDCUP!BD63</f>
        <v>Suecia</v>
      </c>
      <c r="I420" s="9" t="str">
        <f ca="1">+WORLDCUP!BD69</f>
        <v>Ghana</v>
      </c>
      <c r="J420" s="9" t="str">
        <f ca="1">+WORLDCUP!BD66</f>
        <v>Senegal</v>
      </c>
      <c r="N420" s="9" t="s">
        <v>827</v>
      </c>
      <c r="O420" s="9">
        <v>419</v>
      </c>
      <c r="P420" s="9" t="s">
        <v>93</v>
      </c>
      <c r="Q420" s="9" t="s">
        <v>435</v>
      </c>
      <c r="R420" s="9" t="s">
        <v>90</v>
      </c>
      <c r="S420" s="9" t="s">
        <v>91</v>
      </c>
      <c r="T420" s="9" t="s">
        <v>89</v>
      </c>
      <c r="U420" s="9" t="s">
        <v>94</v>
      </c>
      <c r="V420" s="9" t="s">
        <v>443</v>
      </c>
      <c r="W420" s="9" t="s">
        <v>440</v>
      </c>
    </row>
    <row r="421" spans="1:23">
      <c r="A421" s="9" t="s">
        <v>826</v>
      </c>
      <c r="B421" s="9">
        <f ca="1">+IF(A421=WORLDCUP!$BI$112,1,0)</f>
        <v>0</v>
      </c>
      <c r="C421" s="9" t="str">
        <f ca="1">+WORLDCUP!BD62</f>
        <v>Ecuador</v>
      </c>
      <c r="D421" s="9" t="str">
        <f ca="1">+WORLDCUP!BD64</f>
        <v>Egipto</v>
      </c>
      <c r="E421" s="9" t="str">
        <f ca="1">+WORLDCUP!BD59</f>
        <v>Canadá</v>
      </c>
      <c r="F421" s="9" t="str">
        <f ca="1">+WORLDCUP!BD60</f>
        <v>Marruecos</v>
      </c>
      <c r="G421" s="9" t="str">
        <f ca="1">+WORLDCUP!BD58</f>
        <v>República Checa</v>
      </c>
      <c r="H421" s="9" t="str">
        <f ca="1">+WORLDCUP!BD63</f>
        <v>Suecia</v>
      </c>
      <c r="I421" s="9" t="str">
        <f ca="1">+WORLDCUP!BD66</f>
        <v>Senegal</v>
      </c>
      <c r="J421" s="9" t="str">
        <f ca="1">+WORLDCUP!BD68</f>
        <v>RD Congo</v>
      </c>
      <c r="N421" s="9" t="s">
        <v>826</v>
      </c>
      <c r="O421" s="9">
        <v>420</v>
      </c>
      <c r="P421" s="9" t="s">
        <v>93</v>
      </c>
      <c r="Q421" s="9" t="s">
        <v>435</v>
      </c>
      <c r="R421" s="9" t="s">
        <v>90</v>
      </c>
      <c r="S421" s="9" t="s">
        <v>91</v>
      </c>
      <c r="T421" s="9" t="s">
        <v>89</v>
      </c>
      <c r="U421" s="9" t="s">
        <v>94</v>
      </c>
      <c r="V421" s="9" t="s">
        <v>440</v>
      </c>
      <c r="W421" s="9" t="s">
        <v>442</v>
      </c>
    </row>
    <row r="422" spans="1:23">
      <c r="A422" s="9" t="s">
        <v>825</v>
      </c>
      <c r="B422" s="9">
        <f ca="1">+IF(A422=WORLDCUP!$BI$112,1,0)</f>
        <v>0</v>
      </c>
      <c r="C422" s="9" t="str">
        <f ca="1">+WORLDCUP!BD62</f>
        <v>Ecuador</v>
      </c>
      <c r="D422" s="9" t="str">
        <f ca="1">+WORLDCUP!BD64</f>
        <v>Egipto</v>
      </c>
      <c r="E422" s="9" t="str">
        <f ca="1">+WORLDCUP!BD59</f>
        <v>Canadá</v>
      </c>
      <c r="F422" s="9" t="str">
        <f ca="1">+WORLDCUP!BD60</f>
        <v>Marruecos</v>
      </c>
      <c r="G422" s="9" t="str">
        <f ca="1">+WORLDCUP!BD58</f>
        <v>República Checa</v>
      </c>
      <c r="H422" s="9" t="str">
        <f ca="1">+WORLDCUP!BD63</f>
        <v>Suecia</v>
      </c>
      <c r="I422" s="9" t="str">
        <f ca="1">+WORLDCUP!BD66</f>
        <v>Senegal</v>
      </c>
      <c r="J422" s="9" t="str">
        <f ca="1">+WORLDCUP!BD67</f>
        <v>Argelia</v>
      </c>
      <c r="N422" s="9" t="s">
        <v>825</v>
      </c>
      <c r="O422" s="9">
        <v>421</v>
      </c>
      <c r="P422" s="9" t="s">
        <v>93</v>
      </c>
      <c r="Q422" s="9" t="s">
        <v>435</v>
      </c>
      <c r="R422" s="9" t="s">
        <v>90</v>
      </c>
      <c r="S422" s="9" t="s">
        <v>91</v>
      </c>
      <c r="T422" s="9" t="s">
        <v>89</v>
      </c>
      <c r="U422" s="9" t="s">
        <v>94</v>
      </c>
      <c r="V422" s="9" t="s">
        <v>440</v>
      </c>
      <c r="W422" s="9" t="s">
        <v>441</v>
      </c>
    </row>
    <row r="423" spans="1:23">
      <c r="A423" s="9" t="s">
        <v>824</v>
      </c>
      <c r="B423" s="9">
        <f ca="1">+IF(A423=WORLDCUP!$BI$112,1,0)</f>
        <v>0</v>
      </c>
      <c r="C423" s="9" t="str">
        <f ca="1">+WORLDCUP!BD65</f>
        <v>Arabia Saudita</v>
      </c>
      <c r="D423" s="9" t="str">
        <f ca="1">+WORLDCUP!BD64</f>
        <v>Egipto</v>
      </c>
      <c r="E423" s="9" t="str">
        <f ca="1">+WORLDCUP!BD59</f>
        <v>Canadá</v>
      </c>
      <c r="F423" s="9" t="str">
        <f ca="1">+WORLDCUP!BD60</f>
        <v>Marruecos</v>
      </c>
      <c r="G423" s="9" t="str">
        <f ca="1">+WORLDCUP!BD58</f>
        <v>República Checa</v>
      </c>
      <c r="H423" s="9" t="str">
        <f ca="1">+WORLDCUP!BD63</f>
        <v>Suecia</v>
      </c>
      <c r="I423" s="9" t="str">
        <f ca="1">+WORLDCUP!BD69</f>
        <v>Ghana</v>
      </c>
      <c r="J423" s="9" t="str">
        <f ca="1">+WORLDCUP!BD62</f>
        <v>Ecuador</v>
      </c>
      <c r="N423" s="9" t="s">
        <v>824</v>
      </c>
      <c r="O423" s="9">
        <v>422</v>
      </c>
      <c r="P423" s="9" t="s">
        <v>436</v>
      </c>
      <c r="Q423" s="9" t="s">
        <v>435</v>
      </c>
      <c r="R423" s="9" t="s">
        <v>90</v>
      </c>
      <c r="S423" s="9" t="s">
        <v>91</v>
      </c>
      <c r="T423" s="9" t="s">
        <v>89</v>
      </c>
      <c r="U423" s="9" t="s">
        <v>94</v>
      </c>
      <c r="V423" s="9" t="s">
        <v>443</v>
      </c>
      <c r="W423" s="9" t="s">
        <v>93</v>
      </c>
    </row>
    <row r="424" spans="1:23">
      <c r="A424" s="9" t="s">
        <v>823</v>
      </c>
      <c r="B424" s="9">
        <f ca="1">+IF(A424=WORLDCUP!$BI$112,1,0)</f>
        <v>0</v>
      </c>
      <c r="C424" s="9" t="str">
        <f ca="1">+WORLDCUP!BD65</f>
        <v>Arabia Saudita</v>
      </c>
      <c r="D424" s="9" t="str">
        <f ca="1">+WORLDCUP!BD64</f>
        <v>Egipto</v>
      </c>
      <c r="E424" s="9" t="str">
        <f ca="1">+WORLDCUP!BD59</f>
        <v>Canadá</v>
      </c>
      <c r="F424" s="9" t="str">
        <f ca="1">+WORLDCUP!BD60</f>
        <v>Marruecos</v>
      </c>
      <c r="G424" s="9" t="str">
        <f ca="1">+WORLDCUP!BD58</f>
        <v>República Checa</v>
      </c>
      <c r="H424" s="9" t="str">
        <f ca="1">+WORLDCUP!BD63</f>
        <v>Suecia</v>
      </c>
      <c r="I424" s="9" t="str">
        <f ca="1">+WORLDCUP!BD62</f>
        <v>Ecuador</v>
      </c>
      <c r="J424" s="9" t="str">
        <f ca="1">+WORLDCUP!BD68</f>
        <v>RD Congo</v>
      </c>
      <c r="N424" s="9" t="s">
        <v>823</v>
      </c>
      <c r="O424" s="9">
        <v>423</v>
      </c>
      <c r="P424" s="9" t="s">
        <v>436</v>
      </c>
      <c r="Q424" s="9" t="s">
        <v>435</v>
      </c>
      <c r="R424" s="9" t="s">
        <v>90</v>
      </c>
      <c r="S424" s="9" t="s">
        <v>91</v>
      </c>
      <c r="T424" s="9" t="s">
        <v>89</v>
      </c>
      <c r="U424" s="9" t="s">
        <v>94</v>
      </c>
      <c r="V424" s="9" t="s">
        <v>93</v>
      </c>
      <c r="W424" s="9" t="s">
        <v>442</v>
      </c>
    </row>
    <row r="425" spans="1:23">
      <c r="A425" s="9" t="s">
        <v>822</v>
      </c>
      <c r="B425" s="9">
        <f ca="1">+IF(A425=WORLDCUP!$BI$112,1,0)</f>
        <v>0</v>
      </c>
      <c r="C425" s="9" t="str">
        <f ca="1">+WORLDCUP!BD65</f>
        <v>Arabia Saudita</v>
      </c>
      <c r="D425" s="9" t="str">
        <f ca="1">+WORLDCUP!BD64</f>
        <v>Egipto</v>
      </c>
      <c r="E425" s="9" t="str">
        <f ca="1">+WORLDCUP!BD59</f>
        <v>Canadá</v>
      </c>
      <c r="F425" s="9" t="str">
        <f ca="1">+WORLDCUP!BD60</f>
        <v>Marruecos</v>
      </c>
      <c r="G425" s="9" t="str">
        <f ca="1">+WORLDCUP!BD58</f>
        <v>República Checa</v>
      </c>
      <c r="H425" s="9" t="str">
        <f ca="1">+WORLDCUP!BD63</f>
        <v>Suecia</v>
      </c>
      <c r="I425" s="9" t="str">
        <f ca="1">+WORLDCUP!BD62</f>
        <v>Ecuador</v>
      </c>
      <c r="J425" s="9" t="str">
        <f ca="1">+WORLDCUP!BD67</f>
        <v>Argelia</v>
      </c>
      <c r="N425" s="9" t="s">
        <v>822</v>
      </c>
      <c r="O425" s="9">
        <v>424</v>
      </c>
      <c r="P425" s="9" t="s">
        <v>436</v>
      </c>
      <c r="Q425" s="9" t="s">
        <v>435</v>
      </c>
      <c r="R425" s="9" t="s">
        <v>90</v>
      </c>
      <c r="S425" s="9" t="s">
        <v>91</v>
      </c>
      <c r="T425" s="9" t="s">
        <v>89</v>
      </c>
      <c r="U425" s="9" t="s">
        <v>94</v>
      </c>
      <c r="V425" s="9" t="s">
        <v>93</v>
      </c>
      <c r="W425" s="9" t="s">
        <v>441</v>
      </c>
    </row>
    <row r="426" spans="1:23">
      <c r="A426" s="9" t="s">
        <v>821</v>
      </c>
      <c r="B426" s="9">
        <f ca="1">+IF(A426=WORLDCUP!$BI$112,1,0)</f>
        <v>0</v>
      </c>
      <c r="C426" s="9" t="str">
        <f ca="1">+WORLDCUP!BD65</f>
        <v>Arabia Saudita</v>
      </c>
      <c r="D426" s="9" t="str">
        <f ca="1">+WORLDCUP!BD64</f>
        <v>Egipto</v>
      </c>
      <c r="E426" s="9" t="str">
        <f ca="1">+WORLDCUP!BD59</f>
        <v>Canadá</v>
      </c>
      <c r="F426" s="9" t="str">
        <f ca="1">+WORLDCUP!BD60</f>
        <v>Marruecos</v>
      </c>
      <c r="G426" s="9" t="str">
        <f ca="1">+WORLDCUP!BD58</f>
        <v>República Checa</v>
      </c>
      <c r="H426" s="9" t="str">
        <f ca="1">+WORLDCUP!BD63</f>
        <v>Suecia</v>
      </c>
      <c r="I426" s="9" t="str">
        <f ca="1">+WORLDCUP!BD62</f>
        <v>Ecuador</v>
      </c>
      <c r="J426" s="9" t="str">
        <f ca="1">+WORLDCUP!BD66</f>
        <v>Senegal</v>
      </c>
      <c r="N426" s="9" t="s">
        <v>821</v>
      </c>
      <c r="O426" s="9">
        <v>425</v>
      </c>
      <c r="P426" s="9" t="s">
        <v>436</v>
      </c>
      <c r="Q426" s="9" t="s">
        <v>435</v>
      </c>
      <c r="R426" s="9" t="s">
        <v>90</v>
      </c>
      <c r="S426" s="9" t="s">
        <v>91</v>
      </c>
      <c r="T426" s="9" t="s">
        <v>89</v>
      </c>
      <c r="U426" s="9" t="s">
        <v>94</v>
      </c>
      <c r="V426" s="9" t="s">
        <v>93</v>
      </c>
      <c r="W426" s="9" t="s">
        <v>440</v>
      </c>
    </row>
    <row r="427" spans="1:23">
      <c r="A427" s="9" t="s">
        <v>820</v>
      </c>
      <c r="B427" s="9">
        <f ca="1">+IF(A427=WORLDCUP!$BI$112,1,0)</f>
        <v>0</v>
      </c>
      <c r="C427" s="9" t="str">
        <f ca="1">+WORLDCUP!BD66</f>
        <v>Senegal</v>
      </c>
      <c r="D427" s="9" t="str">
        <f ca="1">+WORLDCUP!BD67</f>
        <v>Argelia</v>
      </c>
      <c r="E427" s="9" t="str">
        <f ca="1">+WORLDCUP!BD59</f>
        <v>Canadá</v>
      </c>
      <c r="F427" s="9" t="str">
        <f ca="1">+WORLDCUP!BD60</f>
        <v>Marruecos</v>
      </c>
      <c r="G427" s="9" t="str">
        <f ca="1">+WORLDCUP!BD58</f>
        <v>República Checa</v>
      </c>
      <c r="H427" s="9" t="str">
        <f ca="1">+WORLDCUP!BD61</f>
        <v>Paraguay</v>
      </c>
      <c r="I427" s="9" t="str">
        <f ca="1">+WORLDCUP!BD69</f>
        <v>Ghana</v>
      </c>
      <c r="J427" s="9" t="str">
        <f ca="1">+WORLDCUP!BD68</f>
        <v>RD Congo</v>
      </c>
      <c r="N427" s="9" t="s">
        <v>820</v>
      </c>
      <c r="O427" s="9">
        <v>426</v>
      </c>
      <c r="P427" s="9" t="s">
        <v>440</v>
      </c>
      <c r="Q427" s="9" t="s">
        <v>441</v>
      </c>
      <c r="R427" s="9" t="s">
        <v>90</v>
      </c>
      <c r="S427" s="9" t="s">
        <v>91</v>
      </c>
      <c r="T427" s="9" t="s">
        <v>89</v>
      </c>
      <c r="U427" s="9" t="s">
        <v>92</v>
      </c>
      <c r="V427" s="9" t="s">
        <v>443</v>
      </c>
      <c r="W427" s="9" t="s">
        <v>442</v>
      </c>
    </row>
    <row r="428" spans="1:23">
      <c r="A428" s="9" t="s">
        <v>819</v>
      </c>
      <c r="B428" s="9">
        <f ca="1">+IF(A428=WORLDCUP!$BI$112,1,0)</f>
        <v>0</v>
      </c>
      <c r="C428" s="9" t="str">
        <f ca="1">+WORLDCUP!BD65</f>
        <v>Arabia Saudita</v>
      </c>
      <c r="D428" s="9" t="str">
        <f ca="1">+WORLDCUP!BD67</f>
        <v>Argelia</v>
      </c>
      <c r="E428" s="9" t="str">
        <f ca="1">+WORLDCUP!BD59</f>
        <v>Canadá</v>
      </c>
      <c r="F428" s="9" t="str">
        <f ca="1">+WORLDCUP!BD60</f>
        <v>Marruecos</v>
      </c>
      <c r="G428" s="9" t="str">
        <f ca="1">+WORLDCUP!BD58</f>
        <v>República Checa</v>
      </c>
      <c r="H428" s="9" t="str">
        <f ca="1">+WORLDCUP!BD61</f>
        <v>Paraguay</v>
      </c>
      <c r="I428" s="9" t="str">
        <f ca="1">+WORLDCUP!BD69</f>
        <v>Ghana</v>
      </c>
      <c r="J428" s="9" t="str">
        <f ca="1">+WORLDCUP!BD68</f>
        <v>RD Congo</v>
      </c>
      <c r="N428" s="9" t="s">
        <v>819</v>
      </c>
      <c r="O428" s="9">
        <v>427</v>
      </c>
      <c r="P428" s="9" t="s">
        <v>436</v>
      </c>
      <c r="Q428" s="9" t="s">
        <v>441</v>
      </c>
      <c r="R428" s="9" t="s">
        <v>90</v>
      </c>
      <c r="S428" s="9" t="s">
        <v>91</v>
      </c>
      <c r="T428" s="9" t="s">
        <v>89</v>
      </c>
      <c r="U428" s="9" t="s">
        <v>92</v>
      </c>
      <c r="V428" s="9" t="s">
        <v>443</v>
      </c>
      <c r="W428" s="9" t="s">
        <v>442</v>
      </c>
    </row>
    <row r="429" spans="1:23">
      <c r="A429" s="9" t="s">
        <v>818</v>
      </c>
      <c r="B429" s="9">
        <f ca="1">+IF(A429=WORLDCUP!$BI$112,1,0)</f>
        <v>0</v>
      </c>
      <c r="C429" s="9" t="str">
        <f ca="1">+WORLDCUP!BD65</f>
        <v>Arabia Saudita</v>
      </c>
      <c r="D429" s="9" t="str">
        <f ca="1">+WORLDCUP!BD66</f>
        <v>Senegal</v>
      </c>
      <c r="E429" s="9" t="str">
        <f ca="1">+WORLDCUP!BD59</f>
        <v>Canadá</v>
      </c>
      <c r="F429" s="9" t="str">
        <f ca="1">+WORLDCUP!BD60</f>
        <v>Marruecos</v>
      </c>
      <c r="G429" s="9" t="str">
        <f ca="1">+WORLDCUP!BD58</f>
        <v>República Checa</v>
      </c>
      <c r="H429" s="9" t="str">
        <f ca="1">+WORLDCUP!BD61</f>
        <v>Paraguay</v>
      </c>
      <c r="I429" s="9" t="str">
        <f ca="1">+WORLDCUP!BD69</f>
        <v>Ghana</v>
      </c>
      <c r="J429" s="9" t="str">
        <f ca="1">+WORLDCUP!BD68</f>
        <v>RD Congo</v>
      </c>
      <c r="N429" s="9" t="s">
        <v>818</v>
      </c>
      <c r="O429" s="9">
        <v>428</v>
      </c>
      <c r="P429" s="9" t="s">
        <v>436</v>
      </c>
      <c r="Q429" s="9" t="s">
        <v>440</v>
      </c>
      <c r="R429" s="9" t="s">
        <v>90</v>
      </c>
      <c r="S429" s="9" t="s">
        <v>91</v>
      </c>
      <c r="T429" s="9" t="s">
        <v>89</v>
      </c>
      <c r="U429" s="9" t="s">
        <v>92</v>
      </c>
      <c r="V429" s="9" t="s">
        <v>443</v>
      </c>
      <c r="W429" s="9" t="s">
        <v>442</v>
      </c>
    </row>
    <row r="430" spans="1:23">
      <c r="A430" s="9" t="s">
        <v>817</v>
      </c>
      <c r="B430" s="9">
        <f ca="1">+IF(A430=WORLDCUP!$BI$112,1,0)</f>
        <v>0</v>
      </c>
      <c r="C430" s="9" t="str">
        <f ca="1">+WORLDCUP!BD65</f>
        <v>Arabia Saudita</v>
      </c>
      <c r="D430" s="9" t="str">
        <f ca="1">+WORLDCUP!BD67</f>
        <v>Argelia</v>
      </c>
      <c r="E430" s="9" t="str">
        <f ca="1">+WORLDCUP!BD59</f>
        <v>Canadá</v>
      </c>
      <c r="F430" s="9" t="str">
        <f ca="1">+WORLDCUP!BD60</f>
        <v>Marruecos</v>
      </c>
      <c r="G430" s="9" t="str">
        <f ca="1">+WORLDCUP!BD58</f>
        <v>República Checa</v>
      </c>
      <c r="H430" s="9" t="str">
        <f ca="1">+WORLDCUP!BD61</f>
        <v>Paraguay</v>
      </c>
      <c r="I430" s="9" t="str">
        <f ca="1">+WORLDCUP!BD69</f>
        <v>Ghana</v>
      </c>
      <c r="J430" s="9" t="str">
        <f ca="1">+WORLDCUP!BD66</f>
        <v>Senegal</v>
      </c>
      <c r="N430" s="9" t="s">
        <v>817</v>
      </c>
      <c r="O430" s="9">
        <v>429</v>
      </c>
      <c r="P430" s="9" t="s">
        <v>436</v>
      </c>
      <c r="Q430" s="9" t="s">
        <v>441</v>
      </c>
      <c r="R430" s="9" t="s">
        <v>90</v>
      </c>
      <c r="S430" s="9" t="s">
        <v>91</v>
      </c>
      <c r="T430" s="9" t="s">
        <v>89</v>
      </c>
      <c r="U430" s="9" t="s">
        <v>92</v>
      </c>
      <c r="V430" s="9" t="s">
        <v>443</v>
      </c>
      <c r="W430" s="9" t="s">
        <v>440</v>
      </c>
    </row>
    <row r="431" spans="1:23">
      <c r="A431" s="9" t="s">
        <v>816</v>
      </c>
      <c r="B431" s="9">
        <f ca="1">+IF(A431=WORLDCUP!$BI$112,1,0)</f>
        <v>0</v>
      </c>
      <c r="C431" s="9" t="str">
        <f ca="1">+WORLDCUP!BD65</f>
        <v>Arabia Saudita</v>
      </c>
      <c r="D431" s="9" t="str">
        <f ca="1">+WORLDCUP!BD67</f>
        <v>Argelia</v>
      </c>
      <c r="E431" s="9" t="str">
        <f ca="1">+WORLDCUP!BD59</f>
        <v>Canadá</v>
      </c>
      <c r="F431" s="9" t="str">
        <f ca="1">+WORLDCUP!BD60</f>
        <v>Marruecos</v>
      </c>
      <c r="G431" s="9" t="str">
        <f ca="1">+WORLDCUP!BD58</f>
        <v>República Checa</v>
      </c>
      <c r="H431" s="9" t="str">
        <f ca="1">+WORLDCUP!BD61</f>
        <v>Paraguay</v>
      </c>
      <c r="I431" s="9" t="str">
        <f ca="1">+WORLDCUP!BD66</f>
        <v>Senegal</v>
      </c>
      <c r="J431" s="9" t="str">
        <f ca="1">+WORLDCUP!BD68</f>
        <v>RD Congo</v>
      </c>
      <c r="N431" s="9" t="s">
        <v>816</v>
      </c>
      <c r="O431" s="9">
        <v>430</v>
      </c>
      <c r="P431" s="9" t="s">
        <v>436</v>
      </c>
      <c r="Q431" s="9" t="s">
        <v>441</v>
      </c>
      <c r="R431" s="9" t="s">
        <v>90</v>
      </c>
      <c r="S431" s="9" t="s">
        <v>91</v>
      </c>
      <c r="T431" s="9" t="s">
        <v>89</v>
      </c>
      <c r="U431" s="9" t="s">
        <v>92</v>
      </c>
      <c r="V431" s="9" t="s">
        <v>440</v>
      </c>
      <c r="W431" s="9" t="s">
        <v>442</v>
      </c>
    </row>
    <row r="432" spans="1:23">
      <c r="A432" s="9" t="s">
        <v>815</v>
      </c>
      <c r="B432" s="9">
        <f ca="1">+IF(A432=WORLDCUP!$BI$112,1,0)</f>
        <v>0</v>
      </c>
      <c r="C432" s="9" t="str">
        <f ca="1">+WORLDCUP!BD60</f>
        <v>Marruecos</v>
      </c>
      <c r="D432" s="9" t="str">
        <f ca="1">+WORLDCUP!BD67</f>
        <v>Argelia</v>
      </c>
      <c r="E432" s="9" t="str">
        <f ca="1">+WORLDCUP!BD59</f>
        <v>Canadá</v>
      </c>
      <c r="F432" s="9" t="str">
        <f ca="1">+WORLDCUP!BD61</f>
        <v>Paraguay</v>
      </c>
      <c r="G432" s="9" t="str">
        <f ca="1">+WORLDCUP!BD58</f>
        <v>República Checa</v>
      </c>
      <c r="H432" s="9" t="str">
        <f ca="1">+WORLDCUP!BD64</f>
        <v>Egipto</v>
      </c>
      <c r="I432" s="9" t="str">
        <f ca="1">+WORLDCUP!BD69</f>
        <v>Ghana</v>
      </c>
      <c r="J432" s="9" t="str">
        <f ca="1">+WORLDCUP!BD68</f>
        <v>RD Congo</v>
      </c>
      <c r="N432" s="9" t="s">
        <v>815</v>
      </c>
      <c r="O432" s="9">
        <v>431</v>
      </c>
      <c r="P432" s="9" t="s">
        <v>91</v>
      </c>
      <c r="Q432" s="9" t="s">
        <v>441</v>
      </c>
      <c r="R432" s="9" t="s">
        <v>90</v>
      </c>
      <c r="S432" s="9" t="s">
        <v>92</v>
      </c>
      <c r="T432" s="9" t="s">
        <v>89</v>
      </c>
      <c r="U432" s="9" t="s">
        <v>435</v>
      </c>
      <c r="V432" s="9" t="s">
        <v>443</v>
      </c>
      <c r="W432" s="9" t="s">
        <v>442</v>
      </c>
    </row>
    <row r="433" spans="1:23">
      <c r="A433" s="9" t="s">
        <v>814</v>
      </c>
      <c r="B433" s="9">
        <f ca="1">+IF(A433=WORLDCUP!$BI$112,1,0)</f>
        <v>0</v>
      </c>
      <c r="C433" s="9" t="str">
        <f ca="1">+WORLDCUP!BD66</f>
        <v>Senegal</v>
      </c>
      <c r="D433" s="9" t="str">
        <f ca="1">+WORLDCUP!BD64</f>
        <v>Egipto</v>
      </c>
      <c r="E433" s="9" t="str">
        <f ca="1">+WORLDCUP!BD59</f>
        <v>Canadá</v>
      </c>
      <c r="F433" s="9" t="str">
        <f ca="1">+WORLDCUP!BD60</f>
        <v>Marruecos</v>
      </c>
      <c r="G433" s="9" t="str">
        <f ca="1">+WORLDCUP!BD58</f>
        <v>República Checa</v>
      </c>
      <c r="H433" s="9" t="str">
        <f ca="1">+WORLDCUP!BD61</f>
        <v>Paraguay</v>
      </c>
      <c r="I433" s="9" t="str">
        <f ca="1">+WORLDCUP!BD69</f>
        <v>Ghana</v>
      </c>
      <c r="J433" s="9" t="str">
        <f ca="1">+WORLDCUP!BD68</f>
        <v>RD Congo</v>
      </c>
      <c r="N433" s="9" t="s">
        <v>814</v>
      </c>
      <c r="O433" s="9">
        <v>432</v>
      </c>
      <c r="P433" s="9" t="s">
        <v>440</v>
      </c>
      <c r="Q433" s="9" t="s">
        <v>435</v>
      </c>
      <c r="R433" s="9" t="s">
        <v>90</v>
      </c>
      <c r="S433" s="9" t="s">
        <v>91</v>
      </c>
      <c r="T433" s="9" t="s">
        <v>89</v>
      </c>
      <c r="U433" s="9" t="s">
        <v>92</v>
      </c>
      <c r="V433" s="9" t="s">
        <v>443</v>
      </c>
      <c r="W433" s="9" t="s">
        <v>442</v>
      </c>
    </row>
    <row r="434" spans="1:23">
      <c r="A434" s="9" t="s">
        <v>813</v>
      </c>
      <c r="B434" s="9">
        <f ca="1">+IF(A434=WORLDCUP!$BI$112,1,0)</f>
        <v>0</v>
      </c>
      <c r="C434" s="9" t="str">
        <f ca="1">+WORLDCUP!BD60</f>
        <v>Marruecos</v>
      </c>
      <c r="D434" s="9" t="str">
        <f ca="1">+WORLDCUP!BD67</f>
        <v>Argelia</v>
      </c>
      <c r="E434" s="9" t="str">
        <f ca="1">+WORLDCUP!BD59</f>
        <v>Canadá</v>
      </c>
      <c r="F434" s="9" t="str">
        <f ca="1">+WORLDCUP!BD61</f>
        <v>Paraguay</v>
      </c>
      <c r="G434" s="9" t="str">
        <f ca="1">+WORLDCUP!BD58</f>
        <v>República Checa</v>
      </c>
      <c r="H434" s="9" t="str">
        <f ca="1">+WORLDCUP!BD64</f>
        <v>Egipto</v>
      </c>
      <c r="I434" s="9" t="str">
        <f ca="1">+WORLDCUP!BD69</f>
        <v>Ghana</v>
      </c>
      <c r="J434" s="9" t="str">
        <f ca="1">+WORLDCUP!BD66</f>
        <v>Senegal</v>
      </c>
      <c r="N434" s="9" t="s">
        <v>813</v>
      </c>
      <c r="O434" s="9">
        <v>433</v>
      </c>
      <c r="P434" s="9" t="s">
        <v>91</v>
      </c>
      <c r="Q434" s="9" t="s">
        <v>441</v>
      </c>
      <c r="R434" s="9" t="s">
        <v>90</v>
      </c>
      <c r="S434" s="9" t="s">
        <v>92</v>
      </c>
      <c r="T434" s="9" t="s">
        <v>89</v>
      </c>
      <c r="U434" s="9" t="s">
        <v>435</v>
      </c>
      <c r="V434" s="9" t="s">
        <v>443</v>
      </c>
      <c r="W434" s="9" t="s">
        <v>440</v>
      </c>
    </row>
    <row r="435" spans="1:23">
      <c r="A435" s="9" t="s">
        <v>812</v>
      </c>
      <c r="B435" s="9">
        <f ca="1">+IF(A435=WORLDCUP!$BI$112,1,0)</f>
        <v>0</v>
      </c>
      <c r="C435" s="9" t="str">
        <f ca="1">+WORLDCUP!BD60</f>
        <v>Marruecos</v>
      </c>
      <c r="D435" s="9" t="str">
        <f ca="1">+WORLDCUP!BD67</f>
        <v>Argelia</v>
      </c>
      <c r="E435" s="9" t="str">
        <f ca="1">+WORLDCUP!BD59</f>
        <v>Canadá</v>
      </c>
      <c r="F435" s="9" t="str">
        <f ca="1">+WORLDCUP!BD61</f>
        <v>Paraguay</v>
      </c>
      <c r="G435" s="9" t="str">
        <f ca="1">+WORLDCUP!BD58</f>
        <v>República Checa</v>
      </c>
      <c r="H435" s="9" t="str">
        <f ca="1">+WORLDCUP!BD64</f>
        <v>Egipto</v>
      </c>
      <c r="I435" s="9" t="str">
        <f ca="1">+WORLDCUP!BD66</f>
        <v>Senegal</v>
      </c>
      <c r="J435" s="9" t="str">
        <f ca="1">+WORLDCUP!BD68</f>
        <v>RD Congo</v>
      </c>
      <c r="N435" s="9" t="s">
        <v>812</v>
      </c>
      <c r="O435" s="9">
        <v>434</v>
      </c>
      <c r="P435" s="9" t="s">
        <v>91</v>
      </c>
      <c r="Q435" s="9" t="s">
        <v>441</v>
      </c>
      <c r="R435" s="9" t="s">
        <v>90</v>
      </c>
      <c r="S435" s="9" t="s">
        <v>92</v>
      </c>
      <c r="T435" s="9" t="s">
        <v>89</v>
      </c>
      <c r="U435" s="9" t="s">
        <v>435</v>
      </c>
      <c r="V435" s="9" t="s">
        <v>440</v>
      </c>
      <c r="W435" s="9" t="s">
        <v>442</v>
      </c>
    </row>
    <row r="436" spans="1:23">
      <c r="A436" s="9" t="s">
        <v>811</v>
      </c>
      <c r="B436" s="9">
        <f ca="1">+IF(A436=WORLDCUP!$BI$112,1,0)</f>
        <v>0</v>
      </c>
      <c r="C436" s="9" t="str">
        <f ca="1">+WORLDCUP!BD65</f>
        <v>Arabia Saudita</v>
      </c>
      <c r="D436" s="9" t="str">
        <f ca="1">+WORLDCUP!BD64</f>
        <v>Egipto</v>
      </c>
      <c r="E436" s="9" t="str">
        <f ca="1">+WORLDCUP!BD59</f>
        <v>Canadá</v>
      </c>
      <c r="F436" s="9" t="str">
        <f ca="1">+WORLDCUP!BD60</f>
        <v>Marruecos</v>
      </c>
      <c r="G436" s="9" t="str">
        <f ca="1">+WORLDCUP!BD58</f>
        <v>República Checa</v>
      </c>
      <c r="H436" s="9" t="str">
        <f ca="1">+WORLDCUP!BD61</f>
        <v>Paraguay</v>
      </c>
      <c r="I436" s="9" t="str">
        <f ca="1">+WORLDCUP!BD69</f>
        <v>Ghana</v>
      </c>
      <c r="J436" s="9" t="str">
        <f ca="1">+WORLDCUP!BD68</f>
        <v>RD Congo</v>
      </c>
      <c r="N436" s="9" t="s">
        <v>811</v>
      </c>
      <c r="O436" s="9">
        <v>435</v>
      </c>
      <c r="P436" s="9" t="s">
        <v>436</v>
      </c>
      <c r="Q436" s="9" t="s">
        <v>435</v>
      </c>
      <c r="R436" s="9" t="s">
        <v>90</v>
      </c>
      <c r="S436" s="9" t="s">
        <v>91</v>
      </c>
      <c r="T436" s="9" t="s">
        <v>89</v>
      </c>
      <c r="U436" s="9" t="s">
        <v>92</v>
      </c>
      <c r="V436" s="9" t="s">
        <v>443</v>
      </c>
      <c r="W436" s="9" t="s">
        <v>442</v>
      </c>
    </row>
    <row r="437" spans="1:23">
      <c r="A437" s="9" t="s">
        <v>810</v>
      </c>
      <c r="B437" s="9">
        <f ca="1">+IF(A437=WORLDCUP!$BI$112,1,0)</f>
        <v>0</v>
      </c>
      <c r="C437" s="9" t="str">
        <f ca="1">+WORLDCUP!BD65</f>
        <v>Arabia Saudita</v>
      </c>
      <c r="D437" s="9" t="str">
        <f ca="1">+WORLDCUP!BD64</f>
        <v>Egipto</v>
      </c>
      <c r="E437" s="9" t="str">
        <f ca="1">+WORLDCUP!BD59</f>
        <v>Canadá</v>
      </c>
      <c r="F437" s="9" t="str">
        <f ca="1">+WORLDCUP!BD60</f>
        <v>Marruecos</v>
      </c>
      <c r="G437" s="9" t="str">
        <f ca="1">+WORLDCUP!BD58</f>
        <v>República Checa</v>
      </c>
      <c r="H437" s="9" t="str">
        <f ca="1">+WORLDCUP!BD61</f>
        <v>Paraguay</v>
      </c>
      <c r="I437" s="9" t="str">
        <f ca="1">+WORLDCUP!BD69</f>
        <v>Ghana</v>
      </c>
      <c r="J437" s="9" t="str">
        <f ca="1">+WORLDCUP!BD67</f>
        <v>Argelia</v>
      </c>
      <c r="N437" s="9" t="s">
        <v>810</v>
      </c>
      <c r="O437" s="9">
        <v>436</v>
      </c>
      <c r="P437" s="9" t="s">
        <v>436</v>
      </c>
      <c r="Q437" s="9" t="s">
        <v>435</v>
      </c>
      <c r="R437" s="9" t="s">
        <v>90</v>
      </c>
      <c r="S437" s="9" t="s">
        <v>91</v>
      </c>
      <c r="T437" s="9" t="s">
        <v>89</v>
      </c>
      <c r="U437" s="9" t="s">
        <v>92</v>
      </c>
      <c r="V437" s="9" t="s">
        <v>443</v>
      </c>
      <c r="W437" s="9" t="s">
        <v>441</v>
      </c>
    </row>
    <row r="438" spans="1:23">
      <c r="A438" s="9" t="s">
        <v>809</v>
      </c>
      <c r="B438" s="9">
        <f ca="1">+IF(A438=WORLDCUP!$BI$112,1,0)</f>
        <v>0</v>
      </c>
      <c r="C438" s="9" t="str">
        <f ca="1">+WORLDCUP!BD65</f>
        <v>Arabia Saudita</v>
      </c>
      <c r="D438" s="9" t="str">
        <f ca="1">+WORLDCUP!BD64</f>
        <v>Egipto</v>
      </c>
      <c r="E438" s="9" t="str">
        <f ca="1">+WORLDCUP!BD59</f>
        <v>Canadá</v>
      </c>
      <c r="F438" s="9" t="str">
        <f ca="1">+WORLDCUP!BD60</f>
        <v>Marruecos</v>
      </c>
      <c r="G438" s="9" t="str">
        <f ca="1">+WORLDCUP!BD58</f>
        <v>República Checa</v>
      </c>
      <c r="H438" s="9" t="str">
        <f ca="1">+WORLDCUP!BD61</f>
        <v>Paraguay</v>
      </c>
      <c r="I438" s="9" t="str">
        <f ca="1">+WORLDCUP!BD67</f>
        <v>Argelia</v>
      </c>
      <c r="J438" s="9" t="str">
        <f ca="1">+WORLDCUP!BD68</f>
        <v>RD Congo</v>
      </c>
      <c r="N438" s="9" t="s">
        <v>809</v>
      </c>
      <c r="O438" s="9">
        <v>437</v>
      </c>
      <c r="P438" s="9" t="s">
        <v>436</v>
      </c>
      <c r="Q438" s="9" t="s">
        <v>435</v>
      </c>
      <c r="R438" s="9" t="s">
        <v>90</v>
      </c>
      <c r="S438" s="9" t="s">
        <v>91</v>
      </c>
      <c r="T438" s="9" t="s">
        <v>89</v>
      </c>
      <c r="U438" s="9" t="s">
        <v>92</v>
      </c>
      <c r="V438" s="9" t="s">
        <v>441</v>
      </c>
      <c r="W438" s="9" t="s">
        <v>442</v>
      </c>
    </row>
    <row r="439" spans="1:23">
      <c r="A439" s="9" t="s">
        <v>808</v>
      </c>
      <c r="B439" s="9">
        <f ca="1">+IF(A439=WORLDCUP!$BI$112,1,0)</f>
        <v>0</v>
      </c>
      <c r="C439" s="9" t="str">
        <f ca="1">+WORLDCUP!BD65</f>
        <v>Arabia Saudita</v>
      </c>
      <c r="D439" s="9" t="str">
        <f ca="1">+WORLDCUP!BD64</f>
        <v>Egipto</v>
      </c>
      <c r="E439" s="9" t="str">
        <f ca="1">+WORLDCUP!BD59</f>
        <v>Canadá</v>
      </c>
      <c r="F439" s="9" t="str">
        <f ca="1">+WORLDCUP!BD60</f>
        <v>Marruecos</v>
      </c>
      <c r="G439" s="9" t="str">
        <f ca="1">+WORLDCUP!BD58</f>
        <v>República Checa</v>
      </c>
      <c r="H439" s="9" t="str">
        <f ca="1">+WORLDCUP!BD61</f>
        <v>Paraguay</v>
      </c>
      <c r="I439" s="9" t="str">
        <f ca="1">+WORLDCUP!BD69</f>
        <v>Ghana</v>
      </c>
      <c r="J439" s="9" t="str">
        <f ca="1">+WORLDCUP!BD66</f>
        <v>Senegal</v>
      </c>
      <c r="N439" s="9" t="s">
        <v>808</v>
      </c>
      <c r="O439" s="9">
        <v>438</v>
      </c>
      <c r="P439" s="9" t="s">
        <v>436</v>
      </c>
      <c r="Q439" s="9" t="s">
        <v>435</v>
      </c>
      <c r="R439" s="9" t="s">
        <v>90</v>
      </c>
      <c r="S439" s="9" t="s">
        <v>91</v>
      </c>
      <c r="T439" s="9" t="s">
        <v>89</v>
      </c>
      <c r="U439" s="9" t="s">
        <v>92</v>
      </c>
      <c r="V439" s="9" t="s">
        <v>443</v>
      </c>
      <c r="W439" s="9" t="s">
        <v>440</v>
      </c>
    </row>
    <row r="440" spans="1:23">
      <c r="A440" s="9" t="s">
        <v>807</v>
      </c>
      <c r="B440" s="9">
        <f ca="1">+IF(A440=WORLDCUP!$BI$112,1,0)</f>
        <v>0</v>
      </c>
      <c r="C440" s="9" t="str">
        <f ca="1">+WORLDCUP!BD65</f>
        <v>Arabia Saudita</v>
      </c>
      <c r="D440" s="9" t="str">
        <f ca="1">+WORLDCUP!BD64</f>
        <v>Egipto</v>
      </c>
      <c r="E440" s="9" t="str">
        <f ca="1">+WORLDCUP!BD59</f>
        <v>Canadá</v>
      </c>
      <c r="F440" s="9" t="str">
        <f ca="1">+WORLDCUP!BD60</f>
        <v>Marruecos</v>
      </c>
      <c r="G440" s="9" t="str">
        <f ca="1">+WORLDCUP!BD58</f>
        <v>República Checa</v>
      </c>
      <c r="H440" s="9" t="str">
        <f ca="1">+WORLDCUP!BD61</f>
        <v>Paraguay</v>
      </c>
      <c r="I440" s="9" t="str">
        <f ca="1">+WORLDCUP!BD66</f>
        <v>Senegal</v>
      </c>
      <c r="J440" s="9" t="str">
        <f ca="1">+WORLDCUP!BD68</f>
        <v>RD Congo</v>
      </c>
      <c r="N440" s="9" t="s">
        <v>807</v>
      </c>
      <c r="O440" s="9">
        <v>439</v>
      </c>
      <c r="P440" s="9" t="s">
        <v>436</v>
      </c>
      <c r="Q440" s="9" t="s">
        <v>435</v>
      </c>
      <c r="R440" s="9" t="s">
        <v>90</v>
      </c>
      <c r="S440" s="9" t="s">
        <v>91</v>
      </c>
      <c r="T440" s="9" t="s">
        <v>89</v>
      </c>
      <c r="U440" s="9" t="s">
        <v>92</v>
      </c>
      <c r="V440" s="9" t="s">
        <v>440</v>
      </c>
      <c r="W440" s="9" t="s">
        <v>442</v>
      </c>
    </row>
    <row r="441" spans="1:23">
      <c r="A441" s="9" t="s">
        <v>806</v>
      </c>
      <c r="B441" s="9">
        <f ca="1">+IF(A441=WORLDCUP!$BI$112,1,0)</f>
        <v>0</v>
      </c>
      <c r="C441" s="9" t="str">
        <f ca="1">+WORLDCUP!BD65</f>
        <v>Arabia Saudita</v>
      </c>
      <c r="D441" s="9" t="str">
        <f ca="1">+WORLDCUP!BD64</f>
        <v>Egipto</v>
      </c>
      <c r="E441" s="9" t="str">
        <f ca="1">+WORLDCUP!BD59</f>
        <v>Canadá</v>
      </c>
      <c r="F441" s="9" t="str">
        <f ca="1">+WORLDCUP!BD60</f>
        <v>Marruecos</v>
      </c>
      <c r="G441" s="9" t="str">
        <f ca="1">+WORLDCUP!BD58</f>
        <v>República Checa</v>
      </c>
      <c r="H441" s="9" t="str">
        <f ca="1">+WORLDCUP!BD61</f>
        <v>Paraguay</v>
      </c>
      <c r="I441" s="9" t="str">
        <f ca="1">+WORLDCUP!BD66</f>
        <v>Senegal</v>
      </c>
      <c r="J441" s="9" t="str">
        <f ca="1">+WORLDCUP!BD67</f>
        <v>Argelia</v>
      </c>
      <c r="N441" s="9" t="s">
        <v>806</v>
      </c>
      <c r="O441" s="9">
        <v>440</v>
      </c>
      <c r="P441" s="9" t="s">
        <v>436</v>
      </c>
      <c r="Q441" s="9" t="s">
        <v>435</v>
      </c>
      <c r="R441" s="9" t="s">
        <v>90</v>
      </c>
      <c r="S441" s="9" t="s">
        <v>91</v>
      </c>
      <c r="T441" s="9" t="s">
        <v>89</v>
      </c>
      <c r="U441" s="9" t="s">
        <v>92</v>
      </c>
      <c r="V441" s="9" t="s">
        <v>440</v>
      </c>
      <c r="W441" s="9" t="s">
        <v>441</v>
      </c>
    </row>
    <row r="442" spans="1:23">
      <c r="A442" s="9" t="s">
        <v>805</v>
      </c>
      <c r="B442" s="9">
        <f ca="1">+IF(A442=WORLDCUP!$BI$112,1,0)</f>
        <v>0</v>
      </c>
      <c r="C442" s="9" t="str">
        <f ca="1">+WORLDCUP!BD60</f>
        <v>Marruecos</v>
      </c>
      <c r="D442" s="9" t="str">
        <f ca="1">+WORLDCUP!BD67</f>
        <v>Argelia</v>
      </c>
      <c r="E442" s="9" t="str">
        <f ca="1">+WORLDCUP!BD59</f>
        <v>Canadá</v>
      </c>
      <c r="F442" s="9" t="str">
        <f ca="1">+WORLDCUP!BD61</f>
        <v>Paraguay</v>
      </c>
      <c r="G442" s="9" t="str">
        <f ca="1">+WORLDCUP!BD58</f>
        <v>República Checa</v>
      </c>
      <c r="H442" s="9" t="str">
        <f ca="1">+WORLDCUP!BD63</f>
        <v>Suecia</v>
      </c>
      <c r="I442" s="9" t="str">
        <f ca="1">+WORLDCUP!BD69</f>
        <v>Ghana</v>
      </c>
      <c r="J442" s="9" t="str">
        <f ca="1">+WORLDCUP!BD68</f>
        <v>RD Congo</v>
      </c>
      <c r="N442" s="9" t="s">
        <v>805</v>
      </c>
      <c r="O442" s="9">
        <v>441</v>
      </c>
      <c r="P442" s="9" t="s">
        <v>91</v>
      </c>
      <c r="Q442" s="9" t="s">
        <v>441</v>
      </c>
      <c r="R442" s="9" t="s">
        <v>90</v>
      </c>
      <c r="S442" s="9" t="s">
        <v>92</v>
      </c>
      <c r="T442" s="9" t="s">
        <v>89</v>
      </c>
      <c r="U442" s="9" t="s">
        <v>94</v>
      </c>
      <c r="V442" s="9" t="s">
        <v>443</v>
      </c>
      <c r="W442" s="9" t="s">
        <v>442</v>
      </c>
    </row>
    <row r="443" spans="1:23">
      <c r="A443" s="9" t="s">
        <v>804</v>
      </c>
      <c r="B443" s="9">
        <f ca="1">+IF(A443=WORLDCUP!$BI$112,1,0)</f>
        <v>0</v>
      </c>
      <c r="C443" s="9" t="str">
        <f ca="1">+WORLDCUP!BD60</f>
        <v>Marruecos</v>
      </c>
      <c r="D443" s="9" t="str">
        <f ca="1">+WORLDCUP!BD66</f>
        <v>Senegal</v>
      </c>
      <c r="E443" s="9" t="str">
        <f ca="1">+WORLDCUP!BD59</f>
        <v>Canadá</v>
      </c>
      <c r="F443" s="9" t="str">
        <f ca="1">+WORLDCUP!BD61</f>
        <v>Paraguay</v>
      </c>
      <c r="G443" s="9" t="str">
        <f ca="1">+WORLDCUP!BD58</f>
        <v>República Checa</v>
      </c>
      <c r="H443" s="9" t="str">
        <f ca="1">+WORLDCUP!BD63</f>
        <v>Suecia</v>
      </c>
      <c r="I443" s="9" t="str">
        <f ca="1">+WORLDCUP!BD69</f>
        <v>Ghana</v>
      </c>
      <c r="J443" s="9" t="str">
        <f ca="1">+WORLDCUP!BD68</f>
        <v>RD Congo</v>
      </c>
      <c r="N443" s="9" t="s">
        <v>804</v>
      </c>
      <c r="O443" s="9">
        <v>442</v>
      </c>
      <c r="P443" s="9" t="s">
        <v>91</v>
      </c>
      <c r="Q443" s="9" t="s">
        <v>440</v>
      </c>
      <c r="R443" s="9" t="s">
        <v>90</v>
      </c>
      <c r="S443" s="9" t="s">
        <v>92</v>
      </c>
      <c r="T443" s="9" t="s">
        <v>89</v>
      </c>
      <c r="U443" s="9" t="s">
        <v>94</v>
      </c>
      <c r="V443" s="9" t="s">
        <v>443</v>
      </c>
      <c r="W443" s="9" t="s">
        <v>442</v>
      </c>
    </row>
    <row r="444" spans="1:23">
      <c r="A444" s="9" t="s">
        <v>803</v>
      </c>
      <c r="B444" s="9">
        <f ca="1">+IF(A444=WORLDCUP!$BI$112,1,0)</f>
        <v>0</v>
      </c>
      <c r="C444" s="9" t="str">
        <f ca="1">+WORLDCUP!BD60</f>
        <v>Marruecos</v>
      </c>
      <c r="D444" s="9" t="str">
        <f ca="1">+WORLDCUP!BD67</f>
        <v>Argelia</v>
      </c>
      <c r="E444" s="9" t="str">
        <f ca="1">+WORLDCUP!BD59</f>
        <v>Canadá</v>
      </c>
      <c r="F444" s="9" t="str">
        <f ca="1">+WORLDCUP!BD61</f>
        <v>Paraguay</v>
      </c>
      <c r="G444" s="9" t="str">
        <f ca="1">+WORLDCUP!BD58</f>
        <v>República Checa</v>
      </c>
      <c r="H444" s="9" t="str">
        <f ca="1">+WORLDCUP!BD63</f>
        <v>Suecia</v>
      </c>
      <c r="I444" s="9" t="str">
        <f ca="1">+WORLDCUP!BD69</f>
        <v>Ghana</v>
      </c>
      <c r="J444" s="9" t="str">
        <f ca="1">+WORLDCUP!BD66</f>
        <v>Senegal</v>
      </c>
      <c r="N444" s="9" t="s">
        <v>803</v>
      </c>
      <c r="O444" s="9">
        <v>443</v>
      </c>
      <c r="P444" s="9" t="s">
        <v>91</v>
      </c>
      <c r="Q444" s="9" t="s">
        <v>441</v>
      </c>
      <c r="R444" s="9" t="s">
        <v>90</v>
      </c>
      <c r="S444" s="9" t="s">
        <v>92</v>
      </c>
      <c r="T444" s="9" t="s">
        <v>89</v>
      </c>
      <c r="U444" s="9" t="s">
        <v>94</v>
      </c>
      <c r="V444" s="9" t="s">
        <v>443</v>
      </c>
      <c r="W444" s="9" t="s">
        <v>440</v>
      </c>
    </row>
    <row r="445" spans="1:23">
      <c r="A445" s="9" t="s">
        <v>802</v>
      </c>
      <c r="B445" s="9">
        <f ca="1">+IF(A445=WORLDCUP!$BI$112,1,0)</f>
        <v>0</v>
      </c>
      <c r="C445" s="9" t="str">
        <f ca="1">+WORLDCUP!BD60</f>
        <v>Marruecos</v>
      </c>
      <c r="D445" s="9" t="str">
        <f ca="1">+WORLDCUP!BD67</f>
        <v>Argelia</v>
      </c>
      <c r="E445" s="9" t="str">
        <f ca="1">+WORLDCUP!BD59</f>
        <v>Canadá</v>
      </c>
      <c r="F445" s="9" t="str">
        <f ca="1">+WORLDCUP!BD61</f>
        <v>Paraguay</v>
      </c>
      <c r="G445" s="9" t="str">
        <f ca="1">+WORLDCUP!BD58</f>
        <v>República Checa</v>
      </c>
      <c r="H445" s="9" t="str">
        <f ca="1">+WORLDCUP!BD63</f>
        <v>Suecia</v>
      </c>
      <c r="I445" s="9" t="str">
        <f ca="1">+WORLDCUP!BD66</f>
        <v>Senegal</v>
      </c>
      <c r="J445" s="9" t="str">
        <f ca="1">+WORLDCUP!BD68</f>
        <v>RD Congo</v>
      </c>
      <c r="N445" s="9" t="s">
        <v>802</v>
      </c>
      <c r="O445" s="9">
        <v>444</v>
      </c>
      <c r="P445" s="9" t="s">
        <v>91</v>
      </c>
      <c r="Q445" s="9" t="s">
        <v>441</v>
      </c>
      <c r="R445" s="9" t="s">
        <v>90</v>
      </c>
      <c r="S445" s="9" t="s">
        <v>92</v>
      </c>
      <c r="T445" s="9" t="s">
        <v>89</v>
      </c>
      <c r="U445" s="9" t="s">
        <v>94</v>
      </c>
      <c r="V445" s="9" t="s">
        <v>440</v>
      </c>
      <c r="W445" s="9" t="s">
        <v>442</v>
      </c>
    </row>
    <row r="446" spans="1:23">
      <c r="A446" s="9" t="s">
        <v>801</v>
      </c>
      <c r="B446" s="9">
        <f ca="1">+IF(A446=WORLDCUP!$BI$112,1,0)</f>
        <v>0</v>
      </c>
      <c r="C446" s="9" t="str">
        <f ca="1">+WORLDCUP!BD65</f>
        <v>Arabia Saudita</v>
      </c>
      <c r="D446" s="9" t="str">
        <f ca="1">+WORLDCUP!BD63</f>
        <v>Suecia</v>
      </c>
      <c r="E446" s="9" t="str">
        <f ca="1">+WORLDCUP!BD59</f>
        <v>Canadá</v>
      </c>
      <c r="F446" s="9" t="str">
        <f ca="1">+WORLDCUP!BD60</f>
        <v>Marruecos</v>
      </c>
      <c r="G446" s="9" t="str">
        <f ca="1">+WORLDCUP!BD58</f>
        <v>República Checa</v>
      </c>
      <c r="H446" s="9" t="str">
        <f ca="1">+WORLDCUP!BD61</f>
        <v>Paraguay</v>
      </c>
      <c r="I446" s="9" t="str">
        <f ca="1">+WORLDCUP!BD69</f>
        <v>Ghana</v>
      </c>
      <c r="J446" s="9" t="str">
        <f ca="1">+WORLDCUP!BD68</f>
        <v>RD Congo</v>
      </c>
      <c r="N446" s="9" t="s">
        <v>801</v>
      </c>
      <c r="O446" s="9">
        <v>445</v>
      </c>
      <c r="P446" s="9" t="s">
        <v>436</v>
      </c>
      <c r="Q446" s="9" t="s">
        <v>94</v>
      </c>
      <c r="R446" s="9" t="s">
        <v>90</v>
      </c>
      <c r="S446" s="9" t="s">
        <v>91</v>
      </c>
      <c r="T446" s="9" t="s">
        <v>89</v>
      </c>
      <c r="U446" s="9" t="s">
        <v>92</v>
      </c>
      <c r="V446" s="9" t="s">
        <v>443</v>
      </c>
      <c r="W446" s="9" t="s">
        <v>442</v>
      </c>
    </row>
    <row r="447" spans="1:23">
      <c r="A447" s="9" t="s">
        <v>800</v>
      </c>
      <c r="B447" s="9">
        <f ca="1">+IF(A447=WORLDCUP!$BI$112,1,0)</f>
        <v>0</v>
      </c>
      <c r="C447" s="9" t="str">
        <f ca="1">+WORLDCUP!BD60</f>
        <v>Marruecos</v>
      </c>
      <c r="D447" s="9" t="str">
        <f ca="1">+WORLDCUP!BD67</f>
        <v>Argelia</v>
      </c>
      <c r="E447" s="9" t="str">
        <f ca="1">+WORLDCUP!BD59</f>
        <v>Canadá</v>
      </c>
      <c r="F447" s="9" t="str">
        <f ca="1">+WORLDCUP!BD61</f>
        <v>Paraguay</v>
      </c>
      <c r="G447" s="9" t="str">
        <f ca="1">+WORLDCUP!BD58</f>
        <v>República Checa</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c r="A448" s="9" t="s">
        <v>799</v>
      </c>
      <c r="B448" s="9">
        <f ca="1">+IF(A448=WORLDCUP!$BI$112,1,0)</f>
        <v>0</v>
      </c>
      <c r="C448" s="9" t="str">
        <f ca="1">+WORLDCUP!BD65</f>
        <v>Arabia Saudita</v>
      </c>
      <c r="D448" s="9" t="str">
        <f ca="1">+WORLDCUP!BD67</f>
        <v>Argelia</v>
      </c>
      <c r="E448" s="9" t="str">
        <f ca="1">+WORLDCUP!BD59</f>
        <v>Canadá</v>
      </c>
      <c r="F448" s="9" t="str">
        <f ca="1">+WORLDCUP!BD60</f>
        <v>Marruecos</v>
      </c>
      <c r="G448" s="9" t="str">
        <f ca="1">+WORLDCUP!BD58</f>
        <v>República Checa</v>
      </c>
      <c r="H448" s="9" t="str">
        <f ca="1">+WORLDCUP!BD63</f>
        <v>Suecia</v>
      </c>
      <c r="I448" s="9" t="str">
        <f ca="1">+WORLDCUP!BD61</f>
        <v>Paraguay</v>
      </c>
      <c r="J448" s="9" t="str">
        <f ca="1">+WORLDCUP!BD68</f>
        <v>RD Congo</v>
      </c>
      <c r="N448" s="9" t="s">
        <v>799</v>
      </c>
      <c r="O448" s="9">
        <v>447</v>
      </c>
      <c r="P448" s="9" t="s">
        <v>436</v>
      </c>
      <c r="Q448" s="9" t="s">
        <v>441</v>
      </c>
      <c r="R448" s="9" t="s">
        <v>90</v>
      </c>
      <c r="S448" s="9" t="s">
        <v>91</v>
      </c>
      <c r="T448" s="9" t="s">
        <v>89</v>
      </c>
      <c r="U448" s="9" t="s">
        <v>94</v>
      </c>
      <c r="V448" s="9" t="s">
        <v>92</v>
      </c>
      <c r="W448" s="9" t="s">
        <v>442</v>
      </c>
    </row>
    <row r="449" spans="1:23">
      <c r="A449" s="9" t="s">
        <v>798</v>
      </c>
      <c r="B449" s="9">
        <f ca="1">+IF(A449=WORLDCUP!$BI$112,1,0)</f>
        <v>0</v>
      </c>
      <c r="C449" s="9" t="str">
        <f ca="1">+WORLDCUP!BD65</f>
        <v>Arabia Saudita</v>
      </c>
      <c r="D449" s="9" t="str">
        <f ca="1">+WORLDCUP!BD63</f>
        <v>Suecia</v>
      </c>
      <c r="E449" s="9" t="str">
        <f ca="1">+WORLDCUP!BD59</f>
        <v>Canadá</v>
      </c>
      <c r="F449" s="9" t="str">
        <f ca="1">+WORLDCUP!BD60</f>
        <v>Marruecos</v>
      </c>
      <c r="G449" s="9" t="str">
        <f ca="1">+WORLDCUP!BD58</f>
        <v>República Checa</v>
      </c>
      <c r="H449" s="9" t="str">
        <f ca="1">+WORLDCUP!BD61</f>
        <v>Paraguay</v>
      </c>
      <c r="I449" s="9" t="str">
        <f ca="1">+WORLDCUP!BD69</f>
        <v>Ghana</v>
      </c>
      <c r="J449" s="9" t="str">
        <f ca="1">+WORLDCUP!BD66</f>
        <v>Senegal</v>
      </c>
      <c r="N449" s="9" t="s">
        <v>798</v>
      </c>
      <c r="O449" s="9">
        <v>448</v>
      </c>
      <c r="P449" s="9" t="s">
        <v>436</v>
      </c>
      <c r="Q449" s="9" t="s">
        <v>94</v>
      </c>
      <c r="R449" s="9" t="s">
        <v>90</v>
      </c>
      <c r="S449" s="9" t="s">
        <v>91</v>
      </c>
      <c r="T449" s="9" t="s">
        <v>89</v>
      </c>
      <c r="U449" s="9" t="s">
        <v>92</v>
      </c>
      <c r="V449" s="9" t="s">
        <v>443</v>
      </c>
      <c r="W449" s="9" t="s">
        <v>440</v>
      </c>
    </row>
    <row r="450" spans="1:23">
      <c r="A450" s="9" t="s">
        <v>797</v>
      </c>
      <c r="B450" s="9">
        <f ca="1">+IF(A450=WORLDCUP!$BI$112,1,0)</f>
        <v>0</v>
      </c>
      <c r="C450" s="9" t="str">
        <f ca="1">+WORLDCUP!BD65</f>
        <v>Arabia Saudita</v>
      </c>
      <c r="D450" s="9" t="str">
        <f ca="1">+WORLDCUP!BD63</f>
        <v>Suecia</v>
      </c>
      <c r="E450" s="9" t="str">
        <f ca="1">+WORLDCUP!BD59</f>
        <v>Canadá</v>
      </c>
      <c r="F450" s="9" t="str">
        <f ca="1">+WORLDCUP!BD60</f>
        <v>Marruecos</v>
      </c>
      <c r="G450" s="9" t="str">
        <f ca="1">+WORLDCUP!BD58</f>
        <v>República Checa</v>
      </c>
      <c r="H450" s="9" t="str">
        <f ca="1">+WORLDCUP!BD61</f>
        <v>Paraguay</v>
      </c>
      <c r="I450" s="9" t="str">
        <f ca="1">+WORLDCUP!BD66</f>
        <v>Senegal</v>
      </c>
      <c r="J450" s="9" t="str">
        <f ca="1">+WORLDCUP!BD68</f>
        <v>RD Congo</v>
      </c>
      <c r="N450" s="9" t="s">
        <v>797</v>
      </c>
      <c r="O450" s="9">
        <v>449</v>
      </c>
      <c r="P450" s="9" t="s">
        <v>436</v>
      </c>
      <c r="Q450" s="9" t="s">
        <v>94</v>
      </c>
      <c r="R450" s="9" t="s">
        <v>90</v>
      </c>
      <c r="S450" s="9" t="s">
        <v>91</v>
      </c>
      <c r="T450" s="9" t="s">
        <v>89</v>
      </c>
      <c r="U450" s="9" t="s">
        <v>92</v>
      </c>
      <c r="V450" s="9" t="s">
        <v>440</v>
      </c>
      <c r="W450" s="9" t="s">
        <v>442</v>
      </c>
    </row>
    <row r="451" spans="1:23">
      <c r="A451" s="9" t="s">
        <v>796</v>
      </c>
      <c r="B451" s="9">
        <f ca="1">+IF(A451=WORLDCUP!$BI$112,1,0)</f>
        <v>0</v>
      </c>
      <c r="C451" s="9" t="str">
        <f ca="1">+WORLDCUP!BD65</f>
        <v>Arabia Saudita</v>
      </c>
      <c r="D451" s="9" t="str">
        <f ca="1">+WORLDCUP!BD67</f>
        <v>Argelia</v>
      </c>
      <c r="E451" s="9" t="str">
        <f ca="1">+WORLDCUP!BD59</f>
        <v>Canadá</v>
      </c>
      <c r="F451" s="9" t="str">
        <f ca="1">+WORLDCUP!BD60</f>
        <v>Marruecos</v>
      </c>
      <c r="G451" s="9" t="str">
        <f ca="1">+WORLDCUP!BD58</f>
        <v>República Checa</v>
      </c>
      <c r="H451" s="9" t="str">
        <f ca="1">+WORLDCUP!BD63</f>
        <v>Suecia</v>
      </c>
      <c r="I451" s="9" t="str">
        <f ca="1">+WORLDCUP!BD61</f>
        <v>Paraguay</v>
      </c>
      <c r="J451" s="9" t="str">
        <f ca="1">+WORLDCUP!BD66</f>
        <v>Senegal</v>
      </c>
      <c r="N451" s="9" t="s">
        <v>796</v>
      </c>
      <c r="O451" s="9">
        <v>450</v>
      </c>
      <c r="P451" s="9" t="s">
        <v>436</v>
      </c>
      <c r="Q451" s="9" t="s">
        <v>441</v>
      </c>
      <c r="R451" s="9" t="s">
        <v>90</v>
      </c>
      <c r="S451" s="9" t="s">
        <v>91</v>
      </c>
      <c r="T451" s="9" t="s">
        <v>89</v>
      </c>
      <c r="U451" s="9" t="s">
        <v>94</v>
      </c>
      <c r="V451" s="9" t="s">
        <v>92</v>
      </c>
      <c r="W451" s="9" t="s">
        <v>440</v>
      </c>
    </row>
    <row r="452" spans="1:23">
      <c r="A452" s="9" t="s">
        <v>795</v>
      </c>
      <c r="B452" s="9">
        <f ca="1">+IF(A452=WORLDCUP!$BI$112,1,0)</f>
        <v>0</v>
      </c>
      <c r="C452" s="9" t="str">
        <f ca="1">+WORLDCUP!BD60</f>
        <v>Marruecos</v>
      </c>
      <c r="D452" s="9" t="str">
        <f ca="1">+WORLDCUP!BD64</f>
        <v>Egipto</v>
      </c>
      <c r="E452" s="9" t="str">
        <f ca="1">+WORLDCUP!BD59</f>
        <v>Canadá</v>
      </c>
      <c r="F452" s="9" t="str">
        <f ca="1">+WORLDCUP!BD61</f>
        <v>Paraguay</v>
      </c>
      <c r="G452" s="9" t="str">
        <f ca="1">+WORLDCUP!BD58</f>
        <v>República Checa</v>
      </c>
      <c r="H452" s="9" t="str">
        <f ca="1">+WORLDCUP!BD63</f>
        <v>Suecia</v>
      </c>
      <c r="I452" s="9" t="str">
        <f ca="1">+WORLDCUP!BD69</f>
        <v>Ghana</v>
      </c>
      <c r="J452" s="9" t="str">
        <f ca="1">+WORLDCUP!BD68</f>
        <v>RD Congo</v>
      </c>
      <c r="N452" s="9" t="s">
        <v>795</v>
      </c>
      <c r="O452" s="9">
        <v>451</v>
      </c>
      <c r="P452" s="9" t="s">
        <v>91</v>
      </c>
      <c r="Q452" s="9" t="s">
        <v>435</v>
      </c>
      <c r="R452" s="9" t="s">
        <v>90</v>
      </c>
      <c r="S452" s="9" t="s">
        <v>92</v>
      </c>
      <c r="T452" s="9" t="s">
        <v>89</v>
      </c>
      <c r="U452" s="9" t="s">
        <v>94</v>
      </c>
      <c r="V452" s="9" t="s">
        <v>443</v>
      </c>
      <c r="W452" s="9" t="s">
        <v>442</v>
      </c>
    </row>
    <row r="453" spans="1:23">
      <c r="A453" s="9" t="s">
        <v>794</v>
      </c>
      <c r="B453" s="9">
        <f ca="1">+IF(A453=WORLDCUP!$BI$112,1,0)</f>
        <v>0</v>
      </c>
      <c r="C453" s="9" t="str">
        <f ca="1">+WORLDCUP!BD60</f>
        <v>Marruecos</v>
      </c>
      <c r="D453" s="9" t="str">
        <f ca="1">+WORLDCUP!BD64</f>
        <v>Egipto</v>
      </c>
      <c r="E453" s="9" t="str">
        <f ca="1">+WORLDCUP!BD59</f>
        <v>Canadá</v>
      </c>
      <c r="F453" s="9" t="str">
        <f ca="1">+WORLDCUP!BD61</f>
        <v>Paraguay</v>
      </c>
      <c r="G453" s="9" t="str">
        <f ca="1">+WORLDCUP!BD58</f>
        <v>República Checa</v>
      </c>
      <c r="H453" s="9" t="str">
        <f ca="1">+WORLDCUP!BD63</f>
        <v>Suecia</v>
      </c>
      <c r="I453" s="9" t="str">
        <f ca="1">+WORLDCUP!BD69</f>
        <v>Ghana</v>
      </c>
      <c r="J453" s="9" t="str">
        <f ca="1">+WORLDCUP!BD67</f>
        <v>Argelia</v>
      </c>
      <c r="N453" s="9" t="s">
        <v>794</v>
      </c>
      <c r="O453" s="9">
        <v>452</v>
      </c>
      <c r="P453" s="9" t="s">
        <v>91</v>
      </c>
      <c r="Q453" s="9" t="s">
        <v>435</v>
      </c>
      <c r="R453" s="9" t="s">
        <v>90</v>
      </c>
      <c r="S453" s="9" t="s">
        <v>92</v>
      </c>
      <c r="T453" s="9" t="s">
        <v>89</v>
      </c>
      <c r="U453" s="9" t="s">
        <v>94</v>
      </c>
      <c r="V453" s="9" t="s">
        <v>443</v>
      </c>
      <c r="W453" s="9" t="s">
        <v>441</v>
      </c>
    </row>
    <row r="454" spans="1:23">
      <c r="A454" s="9" t="s">
        <v>793</v>
      </c>
      <c r="B454" s="9">
        <f ca="1">+IF(A454=WORLDCUP!$BI$112,1,0)</f>
        <v>0</v>
      </c>
      <c r="C454" s="9" t="str">
        <f ca="1">+WORLDCUP!BD60</f>
        <v>Marruecos</v>
      </c>
      <c r="D454" s="9" t="str">
        <f ca="1">+WORLDCUP!BD64</f>
        <v>Egipto</v>
      </c>
      <c r="E454" s="9" t="str">
        <f ca="1">+WORLDCUP!BD59</f>
        <v>Canadá</v>
      </c>
      <c r="F454" s="9" t="str">
        <f ca="1">+WORLDCUP!BD61</f>
        <v>Paraguay</v>
      </c>
      <c r="G454" s="9" t="str">
        <f ca="1">+WORLDCUP!BD58</f>
        <v>República Checa</v>
      </c>
      <c r="H454" s="9" t="str">
        <f ca="1">+WORLDCUP!BD63</f>
        <v>Suecia</v>
      </c>
      <c r="I454" s="9" t="str">
        <f ca="1">+WORLDCUP!BD67</f>
        <v>Argelia</v>
      </c>
      <c r="J454" s="9" t="str">
        <f ca="1">+WORLDCUP!BD68</f>
        <v>RD Congo</v>
      </c>
      <c r="N454" s="9" t="s">
        <v>793</v>
      </c>
      <c r="O454" s="9">
        <v>453</v>
      </c>
      <c r="P454" s="9" t="s">
        <v>91</v>
      </c>
      <c r="Q454" s="9" t="s">
        <v>435</v>
      </c>
      <c r="R454" s="9" t="s">
        <v>90</v>
      </c>
      <c r="S454" s="9" t="s">
        <v>92</v>
      </c>
      <c r="T454" s="9" t="s">
        <v>89</v>
      </c>
      <c r="U454" s="9" t="s">
        <v>94</v>
      </c>
      <c r="V454" s="9" t="s">
        <v>441</v>
      </c>
      <c r="W454" s="9" t="s">
        <v>442</v>
      </c>
    </row>
    <row r="455" spans="1:23">
      <c r="A455" s="9" t="s">
        <v>792</v>
      </c>
      <c r="B455" s="9">
        <f ca="1">+IF(A455=WORLDCUP!$BI$112,1,0)</f>
        <v>0</v>
      </c>
      <c r="C455" s="9" t="str">
        <f ca="1">+WORLDCUP!BD60</f>
        <v>Marruecos</v>
      </c>
      <c r="D455" s="9" t="str">
        <f ca="1">+WORLDCUP!BD64</f>
        <v>Egipto</v>
      </c>
      <c r="E455" s="9" t="str">
        <f ca="1">+WORLDCUP!BD59</f>
        <v>Canadá</v>
      </c>
      <c r="F455" s="9" t="str">
        <f ca="1">+WORLDCUP!BD61</f>
        <v>Paraguay</v>
      </c>
      <c r="G455" s="9" t="str">
        <f ca="1">+WORLDCUP!BD58</f>
        <v>República Checa</v>
      </c>
      <c r="H455" s="9" t="str">
        <f ca="1">+WORLDCUP!BD63</f>
        <v>Suecia</v>
      </c>
      <c r="I455" s="9" t="str">
        <f ca="1">+WORLDCUP!BD69</f>
        <v>Ghana</v>
      </c>
      <c r="J455" s="9" t="str">
        <f ca="1">+WORLDCUP!BD66</f>
        <v>Senegal</v>
      </c>
      <c r="N455" s="9" t="s">
        <v>792</v>
      </c>
      <c r="O455" s="9">
        <v>454</v>
      </c>
      <c r="P455" s="9" t="s">
        <v>91</v>
      </c>
      <c r="Q455" s="9" t="s">
        <v>435</v>
      </c>
      <c r="R455" s="9" t="s">
        <v>90</v>
      </c>
      <c r="S455" s="9" t="s">
        <v>92</v>
      </c>
      <c r="T455" s="9" t="s">
        <v>89</v>
      </c>
      <c r="U455" s="9" t="s">
        <v>94</v>
      </c>
      <c r="V455" s="9" t="s">
        <v>443</v>
      </c>
      <c r="W455" s="9" t="s">
        <v>440</v>
      </c>
    </row>
    <row r="456" spans="1:23">
      <c r="A456" s="9" t="s">
        <v>791</v>
      </c>
      <c r="B456" s="9">
        <f ca="1">+IF(A456=WORLDCUP!$BI$112,1,0)</f>
        <v>0</v>
      </c>
      <c r="C456" s="9" t="str">
        <f ca="1">+WORLDCUP!BD60</f>
        <v>Marruecos</v>
      </c>
      <c r="D456" s="9" t="str">
        <f ca="1">+WORLDCUP!BD64</f>
        <v>Egipto</v>
      </c>
      <c r="E456" s="9" t="str">
        <f ca="1">+WORLDCUP!BD59</f>
        <v>Canadá</v>
      </c>
      <c r="F456" s="9" t="str">
        <f ca="1">+WORLDCUP!BD61</f>
        <v>Paraguay</v>
      </c>
      <c r="G456" s="9" t="str">
        <f ca="1">+WORLDCUP!BD58</f>
        <v>República Checa</v>
      </c>
      <c r="H456" s="9" t="str">
        <f ca="1">+WORLDCUP!BD63</f>
        <v>Suecia</v>
      </c>
      <c r="I456" s="9" t="str">
        <f ca="1">+WORLDCUP!BD66</f>
        <v>Senegal</v>
      </c>
      <c r="J456" s="9" t="str">
        <f ca="1">+WORLDCUP!BD68</f>
        <v>RD Congo</v>
      </c>
      <c r="N456" s="9" t="s">
        <v>791</v>
      </c>
      <c r="O456" s="9">
        <v>455</v>
      </c>
      <c r="P456" s="9" t="s">
        <v>91</v>
      </c>
      <c r="Q456" s="9" t="s">
        <v>435</v>
      </c>
      <c r="R456" s="9" t="s">
        <v>90</v>
      </c>
      <c r="S456" s="9" t="s">
        <v>92</v>
      </c>
      <c r="T456" s="9" t="s">
        <v>89</v>
      </c>
      <c r="U456" s="9" t="s">
        <v>94</v>
      </c>
      <c r="V456" s="9" t="s">
        <v>440</v>
      </c>
      <c r="W456" s="9" t="s">
        <v>442</v>
      </c>
    </row>
    <row r="457" spans="1:23">
      <c r="A457" s="9" t="s">
        <v>790</v>
      </c>
      <c r="B457" s="9">
        <f ca="1">+IF(A457=WORLDCUP!$BI$112,1,0)</f>
        <v>0</v>
      </c>
      <c r="C457" s="9" t="str">
        <f ca="1">+WORLDCUP!BD60</f>
        <v>Marruecos</v>
      </c>
      <c r="D457" s="9" t="str">
        <f ca="1">+WORLDCUP!BD64</f>
        <v>Egipto</v>
      </c>
      <c r="E457" s="9" t="str">
        <f ca="1">+WORLDCUP!BD59</f>
        <v>Canadá</v>
      </c>
      <c r="F457" s="9" t="str">
        <f ca="1">+WORLDCUP!BD61</f>
        <v>Paraguay</v>
      </c>
      <c r="G457" s="9" t="str">
        <f ca="1">+WORLDCUP!BD58</f>
        <v>República Checa</v>
      </c>
      <c r="H457" s="9" t="str">
        <f ca="1">+WORLDCUP!BD63</f>
        <v>Suecia</v>
      </c>
      <c r="I457" s="9" t="str">
        <f ca="1">+WORLDCUP!BD66</f>
        <v>Senegal</v>
      </c>
      <c r="J457" s="9" t="str">
        <f ca="1">+WORLDCUP!BD67</f>
        <v>Argelia</v>
      </c>
      <c r="N457" s="9" t="s">
        <v>790</v>
      </c>
      <c r="O457" s="9">
        <v>456</v>
      </c>
      <c r="P457" s="9" t="s">
        <v>91</v>
      </c>
      <c r="Q457" s="9" t="s">
        <v>435</v>
      </c>
      <c r="R457" s="9" t="s">
        <v>90</v>
      </c>
      <c r="S457" s="9" t="s">
        <v>92</v>
      </c>
      <c r="T457" s="9" t="s">
        <v>89</v>
      </c>
      <c r="U457" s="9" t="s">
        <v>94</v>
      </c>
      <c r="V457" s="9" t="s">
        <v>440</v>
      </c>
      <c r="W457" s="9" t="s">
        <v>441</v>
      </c>
    </row>
    <row r="458" spans="1:23">
      <c r="A458" s="9" t="s">
        <v>789</v>
      </c>
      <c r="B458" s="9">
        <f ca="1">+IF(A458=WORLDCUP!$BI$112,1,0)</f>
        <v>0</v>
      </c>
      <c r="C458" s="9" t="str">
        <f ca="1">+WORLDCUP!BD60</f>
        <v>Marruecos</v>
      </c>
      <c r="D458" s="9" t="str">
        <f ca="1">+WORLDCUP!BD64</f>
        <v>Egipto</v>
      </c>
      <c r="E458" s="9" t="str">
        <f ca="1">+WORLDCUP!BD59</f>
        <v>Canadá</v>
      </c>
      <c r="F458" s="9" t="str">
        <f ca="1">+WORLDCUP!BD61</f>
        <v>Paraguay</v>
      </c>
      <c r="G458" s="9" t="str">
        <f ca="1">+WORLDCUP!BD58</f>
        <v>República Checa</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c r="A459" s="9" t="s">
        <v>788</v>
      </c>
      <c r="B459" s="9">
        <f ca="1">+IF(A459=WORLDCUP!$BI$112,1,0)</f>
        <v>0</v>
      </c>
      <c r="C459" s="9" t="str">
        <f ca="1">+WORLDCUP!BD65</f>
        <v>Arabia Saudita</v>
      </c>
      <c r="D459" s="9" t="str">
        <f ca="1">+WORLDCUP!BD64</f>
        <v>Egipto</v>
      </c>
      <c r="E459" s="9" t="str">
        <f ca="1">+WORLDCUP!BD59</f>
        <v>Canadá</v>
      </c>
      <c r="F459" s="9" t="str">
        <f ca="1">+WORLDCUP!BD60</f>
        <v>Marruecos</v>
      </c>
      <c r="G459" s="9" t="str">
        <f ca="1">+WORLDCUP!BD58</f>
        <v>República Checa</v>
      </c>
      <c r="H459" s="9" t="str">
        <f ca="1">+WORLDCUP!BD63</f>
        <v>Suecia</v>
      </c>
      <c r="I459" s="9" t="str">
        <f ca="1">+WORLDCUP!BD61</f>
        <v>Paraguay</v>
      </c>
      <c r="J459" s="9" t="str">
        <f ca="1">+WORLDCUP!BD68</f>
        <v>RD Congo</v>
      </c>
      <c r="N459" s="9" t="s">
        <v>788</v>
      </c>
      <c r="O459" s="9">
        <v>458</v>
      </c>
      <c r="P459" s="9" t="s">
        <v>436</v>
      </c>
      <c r="Q459" s="9" t="s">
        <v>435</v>
      </c>
      <c r="R459" s="9" t="s">
        <v>90</v>
      </c>
      <c r="S459" s="9" t="s">
        <v>91</v>
      </c>
      <c r="T459" s="9" t="s">
        <v>89</v>
      </c>
      <c r="U459" s="9" t="s">
        <v>94</v>
      </c>
      <c r="V459" s="9" t="s">
        <v>92</v>
      </c>
      <c r="W459" s="9" t="s">
        <v>442</v>
      </c>
    </row>
    <row r="460" spans="1:23">
      <c r="A460" s="9" t="s">
        <v>787</v>
      </c>
      <c r="B460" s="9">
        <f ca="1">+IF(A460=WORLDCUP!$BI$112,1,0)</f>
        <v>0</v>
      </c>
      <c r="C460" s="9" t="str">
        <f ca="1">+WORLDCUP!BD65</f>
        <v>Arabia Saudita</v>
      </c>
      <c r="D460" s="9" t="str">
        <f ca="1">+WORLDCUP!BD64</f>
        <v>Egipto</v>
      </c>
      <c r="E460" s="9" t="str">
        <f ca="1">+WORLDCUP!BD59</f>
        <v>Canadá</v>
      </c>
      <c r="F460" s="9" t="str">
        <f ca="1">+WORLDCUP!BD60</f>
        <v>Marruecos</v>
      </c>
      <c r="G460" s="9" t="str">
        <f ca="1">+WORLDCUP!BD58</f>
        <v>República Checa</v>
      </c>
      <c r="H460" s="9" t="str">
        <f ca="1">+WORLDCUP!BD63</f>
        <v>Suecia</v>
      </c>
      <c r="I460" s="9" t="str">
        <f ca="1">+WORLDCUP!BD61</f>
        <v>Paraguay</v>
      </c>
      <c r="J460" s="9" t="str">
        <f ca="1">+WORLDCUP!BD67</f>
        <v>Argelia</v>
      </c>
      <c r="N460" s="9" t="s">
        <v>787</v>
      </c>
      <c r="O460" s="9">
        <v>459</v>
      </c>
      <c r="P460" s="9" t="s">
        <v>436</v>
      </c>
      <c r="Q460" s="9" t="s">
        <v>435</v>
      </c>
      <c r="R460" s="9" t="s">
        <v>90</v>
      </c>
      <c r="S460" s="9" t="s">
        <v>91</v>
      </c>
      <c r="T460" s="9" t="s">
        <v>89</v>
      </c>
      <c r="U460" s="9" t="s">
        <v>94</v>
      </c>
      <c r="V460" s="9" t="s">
        <v>92</v>
      </c>
      <c r="W460" s="9" t="s">
        <v>441</v>
      </c>
    </row>
    <row r="461" spans="1:23">
      <c r="A461" s="9" t="s">
        <v>786</v>
      </c>
      <c r="B461" s="9">
        <f ca="1">+IF(A461=WORLDCUP!$BI$112,1,0)</f>
        <v>0</v>
      </c>
      <c r="C461" s="9" t="str">
        <f ca="1">+WORLDCUP!BD65</f>
        <v>Arabia Saudita</v>
      </c>
      <c r="D461" s="9" t="str">
        <f ca="1">+WORLDCUP!BD64</f>
        <v>Egipto</v>
      </c>
      <c r="E461" s="9" t="str">
        <f ca="1">+WORLDCUP!BD59</f>
        <v>Canadá</v>
      </c>
      <c r="F461" s="9" t="str">
        <f ca="1">+WORLDCUP!BD60</f>
        <v>Marruecos</v>
      </c>
      <c r="G461" s="9" t="str">
        <f ca="1">+WORLDCUP!BD58</f>
        <v>República Checa</v>
      </c>
      <c r="H461" s="9" t="str">
        <f ca="1">+WORLDCUP!BD63</f>
        <v>Suecia</v>
      </c>
      <c r="I461" s="9" t="str">
        <f ca="1">+WORLDCUP!BD61</f>
        <v>Paraguay</v>
      </c>
      <c r="J461" s="9" t="str">
        <f ca="1">+WORLDCUP!BD66</f>
        <v>Senegal</v>
      </c>
      <c r="N461" s="9" t="s">
        <v>786</v>
      </c>
      <c r="O461" s="9">
        <v>460</v>
      </c>
      <c r="P461" s="9" t="s">
        <v>436</v>
      </c>
      <c r="Q461" s="9" t="s">
        <v>435</v>
      </c>
      <c r="R461" s="9" t="s">
        <v>90</v>
      </c>
      <c r="S461" s="9" t="s">
        <v>91</v>
      </c>
      <c r="T461" s="9" t="s">
        <v>89</v>
      </c>
      <c r="U461" s="9" t="s">
        <v>94</v>
      </c>
      <c r="V461" s="9" t="s">
        <v>92</v>
      </c>
      <c r="W461" s="9" t="s">
        <v>440</v>
      </c>
    </row>
    <row r="462" spans="1:23">
      <c r="A462" s="9" t="s">
        <v>785</v>
      </c>
      <c r="B462" s="9">
        <f ca="1">+IF(A462=WORLDCUP!$BI$112,1,0)</f>
        <v>0</v>
      </c>
      <c r="C462" s="9" t="str">
        <f ca="1">+WORLDCUP!BD62</f>
        <v>Ecuador</v>
      </c>
      <c r="D462" s="9" t="str">
        <f ca="1">+WORLDCUP!BD67</f>
        <v>Argelia</v>
      </c>
      <c r="E462" s="9" t="str">
        <f ca="1">+WORLDCUP!BD59</f>
        <v>Canadá</v>
      </c>
      <c r="F462" s="9" t="str">
        <f ca="1">+WORLDCUP!BD60</f>
        <v>Marruecos</v>
      </c>
      <c r="G462" s="9" t="str">
        <f ca="1">+WORLDCUP!BD58</f>
        <v>República Checa</v>
      </c>
      <c r="H462" s="9" t="str">
        <f ca="1">+WORLDCUP!BD61</f>
        <v>Paraguay</v>
      </c>
      <c r="I462" s="9" t="str">
        <f ca="1">+WORLDCUP!BD69</f>
        <v>Ghana</v>
      </c>
      <c r="J462" s="9" t="str">
        <f ca="1">+WORLDCUP!BD68</f>
        <v>RD Congo</v>
      </c>
      <c r="N462" s="9" t="s">
        <v>785</v>
      </c>
      <c r="O462" s="9">
        <v>461</v>
      </c>
      <c r="P462" s="9" t="s">
        <v>93</v>
      </c>
      <c r="Q462" s="9" t="s">
        <v>441</v>
      </c>
      <c r="R462" s="9" t="s">
        <v>90</v>
      </c>
      <c r="S462" s="9" t="s">
        <v>91</v>
      </c>
      <c r="T462" s="9" t="s">
        <v>89</v>
      </c>
      <c r="U462" s="9" t="s">
        <v>92</v>
      </c>
      <c r="V462" s="9" t="s">
        <v>443</v>
      </c>
      <c r="W462" s="9" t="s">
        <v>442</v>
      </c>
    </row>
    <row r="463" spans="1:23">
      <c r="A463" s="9" t="s">
        <v>784</v>
      </c>
      <c r="B463" s="9">
        <f ca="1">+IF(A463=WORLDCUP!$BI$112,1,0)</f>
        <v>0</v>
      </c>
      <c r="C463" s="9" t="str">
        <f ca="1">+WORLDCUP!BD62</f>
        <v>Ecuador</v>
      </c>
      <c r="D463" s="9" t="str">
        <f ca="1">+WORLDCUP!BD66</f>
        <v>Senegal</v>
      </c>
      <c r="E463" s="9" t="str">
        <f ca="1">+WORLDCUP!BD59</f>
        <v>Canadá</v>
      </c>
      <c r="F463" s="9" t="str">
        <f ca="1">+WORLDCUP!BD60</f>
        <v>Marruecos</v>
      </c>
      <c r="G463" s="9" t="str">
        <f ca="1">+WORLDCUP!BD58</f>
        <v>República Checa</v>
      </c>
      <c r="H463" s="9" t="str">
        <f ca="1">+WORLDCUP!BD61</f>
        <v>Paraguay</v>
      </c>
      <c r="I463" s="9" t="str">
        <f ca="1">+WORLDCUP!BD69</f>
        <v>Ghana</v>
      </c>
      <c r="J463" s="9" t="str">
        <f ca="1">+WORLDCUP!BD68</f>
        <v>RD Congo</v>
      </c>
      <c r="N463" s="9" t="s">
        <v>784</v>
      </c>
      <c r="O463" s="9">
        <v>462</v>
      </c>
      <c r="P463" s="9" t="s">
        <v>93</v>
      </c>
      <c r="Q463" s="9" t="s">
        <v>440</v>
      </c>
      <c r="R463" s="9" t="s">
        <v>90</v>
      </c>
      <c r="S463" s="9" t="s">
        <v>91</v>
      </c>
      <c r="T463" s="9" t="s">
        <v>89</v>
      </c>
      <c r="U463" s="9" t="s">
        <v>92</v>
      </c>
      <c r="V463" s="9" t="s">
        <v>443</v>
      </c>
      <c r="W463" s="9" t="s">
        <v>442</v>
      </c>
    </row>
    <row r="464" spans="1:23">
      <c r="A464" s="9" t="s">
        <v>783</v>
      </c>
      <c r="B464" s="9">
        <f ca="1">+IF(A464=WORLDCUP!$BI$112,1,0)</f>
        <v>0</v>
      </c>
      <c r="C464" s="9" t="str">
        <f ca="1">+WORLDCUP!BD62</f>
        <v>Ecuador</v>
      </c>
      <c r="D464" s="9" t="str">
        <f ca="1">+WORLDCUP!BD67</f>
        <v>Argelia</v>
      </c>
      <c r="E464" s="9" t="str">
        <f ca="1">+WORLDCUP!BD59</f>
        <v>Canadá</v>
      </c>
      <c r="F464" s="9" t="str">
        <f ca="1">+WORLDCUP!BD60</f>
        <v>Marruecos</v>
      </c>
      <c r="G464" s="9" t="str">
        <f ca="1">+WORLDCUP!BD58</f>
        <v>República Checa</v>
      </c>
      <c r="H464" s="9" t="str">
        <f ca="1">+WORLDCUP!BD61</f>
        <v>Paraguay</v>
      </c>
      <c r="I464" s="9" t="str">
        <f ca="1">+WORLDCUP!BD69</f>
        <v>Ghana</v>
      </c>
      <c r="J464" s="9" t="str">
        <f ca="1">+WORLDCUP!BD66</f>
        <v>Senegal</v>
      </c>
      <c r="N464" s="9" t="s">
        <v>783</v>
      </c>
      <c r="O464" s="9">
        <v>463</v>
      </c>
      <c r="P464" s="9" t="s">
        <v>93</v>
      </c>
      <c r="Q464" s="9" t="s">
        <v>441</v>
      </c>
      <c r="R464" s="9" t="s">
        <v>90</v>
      </c>
      <c r="S464" s="9" t="s">
        <v>91</v>
      </c>
      <c r="T464" s="9" t="s">
        <v>89</v>
      </c>
      <c r="U464" s="9" t="s">
        <v>92</v>
      </c>
      <c r="V464" s="9" t="s">
        <v>443</v>
      </c>
      <c r="W464" s="9" t="s">
        <v>440</v>
      </c>
    </row>
    <row r="465" spans="1:23">
      <c r="A465" s="9" t="s">
        <v>782</v>
      </c>
      <c r="B465" s="9">
        <f ca="1">+IF(A465=WORLDCUP!$BI$112,1,0)</f>
        <v>0</v>
      </c>
      <c r="C465" s="9" t="str">
        <f ca="1">+WORLDCUP!BD62</f>
        <v>Ecuador</v>
      </c>
      <c r="D465" s="9" t="str">
        <f ca="1">+WORLDCUP!BD67</f>
        <v>Argelia</v>
      </c>
      <c r="E465" s="9" t="str">
        <f ca="1">+WORLDCUP!BD59</f>
        <v>Canadá</v>
      </c>
      <c r="F465" s="9" t="str">
        <f ca="1">+WORLDCUP!BD60</f>
        <v>Marruecos</v>
      </c>
      <c r="G465" s="9" t="str">
        <f ca="1">+WORLDCUP!BD58</f>
        <v>República Checa</v>
      </c>
      <c r="H465" s="9" t="str">
        <f ca="1">+WORLDCUP!BD61</f>
        <v>Paraguay</v>
      </c>
      <c r="I465" s="9" t="str">
        <f ca="1">+WORLDCUP!BD66</f>
        <v>Senegal</v>
      </c>
      <c r="J465" s="9" t="str">
        <f ca="1">+WORLDCUP!BD68</f>
        <v>RD Congo</v>
      </c>
      <c r="N465" s="9" t="s">
        <v>782</v>
      </c>
      <c r="O465" s="9">
        <v>464</v>
      </c>
      <c r="P465" s="9" t="s">
        <v>93</v>
      </c>
      <c r="Q465" s="9" t="s">
        <v>441</v>
      </c>
      <c r="R465" s="9" t="s">
        <v>90</v>
      </c>
      <c r="S465" s="9" t="s">
        <v>91</v>
      </c>
      <c r="T465" s="9" t="s">
        <v>89</v>
      </c>
      <c r="U465" s="9" t="s">
        <v>92</v>
      </c>
      <c r="V465" s="9" t="s">
        <v>440</v>
      </c>
      <c r="W465" s="9" t="s">
        <v>442</v>
      </c>
    </row>
    <row r="466" spans="1:23">
      <c r="A466" s="9" t="s">
        <v>781</v>
      </c>
      <c r="B466" s="9">
        <f ca="1">+IF(A466=WORLDCUP!$BI$112,1,0)</f>
        <v>0</v>
      </c>
      <c r="C466" s="9" t="str">
        <f ca="1">+WORLDCUP!BD65</f>
        <v>Arabia Saudita</v>
      </c>
      <c r="D466" s="9" t="str">
        <f ca="1">+WORLDCUP!BD62</f>
        <v>Ecuador</v>
      </c>
      <c r="E466" s="9" t="str">
        <f ca="1">+WORLDCUP!BD59</f>
        <v>Canadá</v>
      </c>
      <c r="F466" s="9" t="str">
        <f ca="1">+WORLDCUP!BD60</f>
        <v>Marruecos</v>
      </c>
      <c r="G466" s="9" t="str">
        <f ca="1">+WORLDCUP!BD58</f>
        <v>República Checa</v>
      </c>
      <c r="H466" s="9" t="str">
        <f ca="1">+WORLDCUP!BD61</f>
        <v>Paraguay</v>
      </c>
      <c r="I466" s="9" t="str">
        <f ca="1">+WORLDCUP!BD69</f>
        <v>Ghana</v>
      </c>
      <c r="J466" s="9" t="str">
        <f ca="1">+WORLDCUP!BD68</f>
        <v>RD Congo</v>
      </c>
      <c r="N466" s="9" t="s">
        <v>781</v>
      </c>
      <c r="O466" s="9">
        <v>465</v>
      </c>
      <c r="P466" s="9" t="s">
        <v>436</v>
      </c>
      <c r="Q466" s="9" t="s">
        <v>93</v>
      </c>
      <c r="R466" s="9" t="s">
        <v>90</v>
      </c>
      <c r="S466" s="9" t="s">
        <v>91</v>
      </c>
      <c r="T466" s="9" t="s">
        <v>89</v>
      </c>
      <c r="U466" s="9" t="s">
        <v>92</v>
      </c>
      <c r="V466" s="9" t="s">
        <v>443</v>
      </c>
      <c r="W466" s="9" t="s">
        <v>442</v>
      </c>
    </row>
    <row r="467" spans="1:23">
      <c r="A467" s="9" t="s">
        <v>780</v>
      </c>
      <c r="B467" s="9">
        <f ca="1">+IF(A467=WORLDCUP!$BI$112,1,0)</f>
        <v>0</v>
      </c>
      <c r="C467" s="9" t="str">
        <f ca="1">+WORLDCUP!BD65</f>
        <v>Arabia Saudita</v>
      </c>
      <c r="D467" s="9" t="str">
        <f ca="1">+WORLDCUP!BD67</f>
        <v>Argelia</v>
      </c>
      <c r="E467" s="9" t="str">
        <f ca="1">+WORLDCUP!BD59</f>
        <v>Canadá</v>
      </c>
      <c r="F467" s="9" t="str">
        <f ca="1">+WORLDCUP!BD60</f>
        <v>Marruecos</v>
      </c>
      <c r="G467" s="9" t="str">
        <f ca="1">+WORLDCUP!BD58</f>
        <v>República Checa</v>
      </c>
      <c r="H467" s="9" t="str">
        <f ca="1">+WORLDCUP!BD61</f>
        <v>Paraguay</v>
      </c>
      <c r="I467" s="9" t="str">
        <f ca="1">+WORLDCUP!BD69</f>
        <v>Ghana</v>
      </c>
      <c r="J467" s="9" t="str">
        <f ca="1">+WORLDCUP!BD62</f>
        <v>Ecuador</v>
      </c>
      <c r="N467" s="9" t="s">
        <v>780</v>
      </c>
      <c r="O467" s="9">
        <v>466</v>
      </c>
      <c r="P467" s="9" t="s">
        <v>436</v>
      </c>
      <c r="Q467" s="9" t="s">
        <v>441</v>
      </c>
      <c r="R467" s="9" t="s">
        <v>90</v>
      </c>
      <c r="S467" s="9" t="s">
        <v>91</v>
      </c>
      <c r="T467" s="9" t="s">
        <v>89</v>
      </c>
      <c r="U467" s="9" t="s">
        <v>92</v>
      </c>
      <c r="V467" s="9" t="s">
        <v>443</v>
      </c>
      <c r="W467" s="9" t="s">
        <v>93</v>
      </c>
    </row>
    <row r="468" spans="1:23">
      <c r="A468" s="9" t="s">
        <v>779</v>
      </c>
      <c r="B468" s="9">
        <f ca="1">+IF(A468=WORLDCUP!$BI$112,1,0)</f>
        <v>0</v>
      </c>
      <c r="C468" s="9" t="str">
        <f ca="1">+WORLDCUP!BD65</f>
        <v>Arabia Saudita</v>
      </c>
      <c r="D468" s="9" t="str">
        <f ca="1">+WORLDCUP!BD67</f>
        <v>Argelia</v>
      </c>
      <c r="E468" s="9" t="str">
        <f ca="1">+WORLDCUP!BD59</f>
        <v>Canadá</v>
      </c>
      <c r="F468" s="9" t="str">
        <f ca="1">+WORLDCUP!BD60</f>
        <v>Marruecos</v>
      </c>
      <c r="G468" s="9" t="str">
        <f ca="1">+WORLDCUP!BD58</f>
        <v>República Checa</v>
      </c>
      <c r="H468" s="9" t="str">
        <f ca="1">+WORLDCUP!BD61</f>
        <v>Paraguay</v>
      </c>
      <c r="I468" s="9" t="str">
        <f ca="1">+WORLDCUP!BD62</f>
        <v>Ecuador</v>
      </c>
      <c r="J468" s="9" t="str">
        <f ca="1">+WORLDCUP!BD68</f>
        <v>RD Congo</v>
      </c>
      <c r="N468" s="9" t="s">
        <v>779</v>
      </c>
      <c r="O468" s="9">
        <v>467</v>
      </c>
      <c r="P468" s="9" t="s">
        <v>436</v>
      </c>
      <c r="Q468" s="9" t="s">
        <v>441</v>
      </c>
      <c r="R468" s="9" t="s">
        <v>90</v>
      </c>
      <c r="S468" s="9" t="s">
        <v>91</v>
      </c>
      <c r="T468" s="9" t="s">
        <v>89</v>
      </c>
      <c r="U468" s="9" t="s">
        <v>92</v>
      </c>
      <c r="V468" s="9" t="s">
        <v>93</v>
      </c>
      <c r="W468" s="9" t="s">
        <v>442</v>
      </c>
    </row>
    <row r="469" spans="1:23">
      <c r="A469" s="9" t="s">
        <v>778</v>
      </c>
      <c r="B469" s="9">
        <f ca="1">+IF(A469=WORLDCUP!$BI$112,1,0)</f>
        <v>0</v>
      </c>
      <c r="C469" s="9" t="str">
        <f ca="1">+WORLDCUP!BD65</f>
        <v>Arabia Saudita</v>
      </c>
      <c r="D469" s="9" t="str">
        <f ca="1">+WORLDCUP!BD62</f>
        <v>Ecuador</v>
      </c>
      <c r="E469" s="9" t="str">
        <f ca="1">+WORLDCUP!BD59</f>
        <v>Canadá</v>
      </c>
      <c r="F469" s="9" t="str">
        <f ca="1">+WORLDCUP!BD60</f>
        <v>Marruecos</v>
      </c>
      <c r="G469" s="9" t="str">
        <f ca="1">+WORLDCUP!BD58</f>
        <v>República Checa</v>
      </c>
      <c r="H469" s="9" t="str">
        <f ca="1">+WORLDCUP!BD61</f>
        <v>Paraguay</v>
      </c>
      <c r="I469" s="9" t="str">
        <f ca="1">+WORLDCUP!BD69</f>
        <v>Ghana</v>
      </c>
      <c r="J469" s="9" t="str">
        <f ca="1">+WORLDCUP!BD66</f>
        <v>Senegal</v>
      </c>
      <c r="N469" s="9" t="s">
        <v>778</v>
      </c>
      <c r="O469" s="9">
        <v>468</v>
      </c>
      <c r="P469" s="9" t="s">
        <v>436</v>
      </c>
      <c r="Q469" s="9" t="s">
        <v>93</v>
      </c>
      <c r="R469" s="9" t="s">
        <v>90</v>
      </c>
      <c r="S469" s="9" t="s">
        <v>91</v>
      </c>
      <c r="T469" s="9" t="s">
        <v>89</v>
      </c>
      <c r="U469" s="9" t="s">
        <v>92</v>
      </c>
      <c r="V469" s="9" t="s">
        <v>443</v>
      </c>
      <c r="W469" s="9" t="s">
        <v>440</v>
      </c>
    </row>
    <row r="470" spans="1:23">
      <c r="A470" s="9" t="s">
        <v>777</v>
      </c>
      <c r="B470" s="9">
        <f ca="1">+IF(A470=WORLDCUP!$BI$112,1,0)</f>
        <v>0</v>
      </c>
      <c r="C470" s="9" t="str">
        <f ca="1">+WORLDCUP!BD65</f>
        <v>Arabia Saudita</v>
      </c>
      <c r="D470" s="9" t="str">
        <f ca="1">+WORLDCUP!BD62</f>
        <v>Ecuador</v>
      </c>
      <c r="E470" s="9" t="str">
        <f ca="1">+WORLDCUP!BD59</f>
        <v>Canadá</v>
      </c>
      <c r="F470" s="9" t="str">
        <f ca="1">+WORLDCUP!BD60</f>
        <v>Marruecos</v>
      </c>
      <c r="G470" s="9" t="str">
        <f ca="1">+WORLDCUP!BD58</f>
        <v>República Checa</v>
      </c>
      <c r="H470" s="9" t="str">
        <f ca="1">+WORLDCUP!BD61</f>
        <v>Paraguay</v>
      </c>
      <c r="I470" s="9" t="str">
        <f ca="1">+WORLDCUP!BD66</f>
        <v>Senegal</v>
      </c>
      <c r="J470" s="9" t="str">
        <f ca="1">+WORLDCUP!BD68</f>
        <v>RD Congo</v>
      </c>
      <c r="N470" s="9" t="s">
        <v>777</v>
      </c>
      <c r="O470" s="9">
        <v>469</v>
      </c>
      <c r="P470" s="9" t="s">
        <v>436</v>
      </c>
      <c r="Q470" s="9" t="s">
        <v>93</v>
      </c>
      <c r="R470" s="9" t="s">
        <v>90</v>
      </c>
      <c r="S470" s="9" t="s">
        <v>91</v>
      </c>
      <c r="T470" s="9" t="s">
        <v>89</v>
      </c>
      <c r="U470" s="9" t="s">
        <v>92</v>
      </c>
      <c r="V470" s="9" t="s">
        <v>440</v>
      </c>
      <c r="W470" s="9" t="s">
        <v>442</v>
      </c>
    </row>
    <row r="471" spans="1:23">
      <c r="A471" s="9" t="s">
        <v>776</v>
      </c>
      <c r="B471" s="9">
        <f ca="1">+IF(A471=WORLDCUP!$BI$112,1,0)</f>
        <v>0</v>
      </c>
      <c r="C471" s="9" t="str">
        <f ca="1">+WORLDCUP!BD65</f>
        <v>Arabia Saudita</v>
      </c>
      <c r="D471" s="9" t="str">
        <f ca="1">+WORLDCUP!BD67</f>
        <v>Argelia</v>
      </c>
      <c r="E471" s="9" t="str">
        <f ca="1">+WORLDCUP!BD59</f>
        <v>Canadá</v>
      </c>
      <c r="F471" s="9" t="str">
        <f ca="1">+WORLDCUP!BD60</f>
        <v>Marruecos</v>
      </c>
      <c r="G471" s="9" t="str">
        <f ca="1">+WORLDCUP!BD58</f>
        <v>República Checa</v>
      </c>
      <c r="H471" s="9" t="str">
        <f ca="1">+WORLDCUP!BD61</f>
        <v>Paraguay</v>
      </c>
      <c r="I471" s="9" t="str">
        <f ca="1">+WORLDCUP!BD62</f>
        <v>Ecuador</v>
      </c>
      <c r="J471" s="9" t="str">
        <f ca="1">+WORLDCUP!BD66</f>
        <v>Senegal</v>
      </c>
      <c r="N471" s="9" t="s">
        <v>776</v>
      </c>
      <c r="O471" s="9">
        <v>470</v>
      </c>
      <c r="P471" s="9" t="s">
        <v>436</v>
      </c>
      <c r="Q471" s="9" t="s">
        <v>441</v>
      </c>
      <c r="R471" s="9" t="s">
        <v>90</v>
      </c>
      <c r="S471" s="9" t="s">
        <v>91</v>
      </c>
      <c r="T471" s="9" t="s">
        <v>89</v>
      </c>
      <c r="U471" s="9" t="s">
        <v>92</v>
      </c>
      <c r="V471" s="9" t="s">
        <v>93</v>
      </c>
      <c r="W471" s="9" t="s">
        <v>440</v>
      </c>
    </row>
    <row r="472" spans="1:23">
      <c r="A472" s="9" t="s">
        <v>775</v>
      </c>
      <c r="B472" s="9">
        <f ca="1">+IF(A472=WORLDCUP!$BI$112,1,0)</f>
        <v>0</v>
      </c>
      <c r="C472" s="9" t="str">
        <f ca="1">+WORLDCUP!BD62</f>
        <v>Ecuador</v>
      </c>
      <c r="D472" s="9" t="str">
        <f ca="1">+WORLDCUP!BD64</f>
        <v>Egipto</v>
      </c>
      <c r="E472" s="9" t="str">
        <f ca="1">+WORLDCUP!BD59</f>
        <v>Canadá</v>
      </c>
      <c r="F472" s="9" t="str">
        <f ca="1">+WORLDCUP!BD60</f>
        <v>Marruecos</v>
      </c>
      <c r="G472" s="9" t="str">
        <f ca="1">+WORLDCUP!BD58</f>
        <v>República Checa</v>
      </c>
      <c r="H472" s="9" t="str">
        <f ca="1">+WORLDCUP!BD61</f>
        <v>Paraguay</v>
      </c>
      <c r="I472" s="9" t="str">
        <f ca="1">+WORLDCUP!BD69</f>
        <v>Ghana</v>
      </c>
      <c r="J472" s="9" t="str">
        <f ca="1">+WORLDCUP!BD68</f>
        <v>RD Congo</v>
      </c>
      <c r="N472" s="9" t="s">
        <v>775</v>
      </c>
      <c r="O472" s="9">
        <v>471</v>
      </c>
      <c r="P472" s="9" t="s">
        <v>93</v>
      </c>
      <c r="Q472" s="9" t="s">
        <v>435</v>
      </c>
      <c r="R472" s="9" t="s">
        <v>90</v>
      </c>
      <c r="S472" s="9" t="s">
        <v>91</v>
      </c>
      <c r="T472" s="9" t="s">
        <v>89</v>
      </c>
      <c r="U472" s="9" t="s">
        <v>92</v>
      </c>
      <c r="V472" s="9" t="s">
        <v>443</v>
      </c>
      <c r="W472" s="9" t="s">
        <v>442</v>
      </c>
    </row>
    <row r="473" spans="1:23">
      <c r="A473" s="9" t="s">
        <v>774</v>
      </c>
      <c r="B473" s="9">
        <f ca="1">+IF(A473=WORLDCUP!$BI$112,1,0)</f>
        <v>0</v>
      </c>
      <c r="C473" s="9" t="str">
        <f ca="1">+WORLDCUP!BD62</f>
        <v>Ecuador</v>
      </c>
      <c r="D473" s="9" t="str">
        <f ca="1">+WORLDCUP!BD64</f>
        <v>Egipto</v>
      </c>
      <c r="E473" s="9" t="str">
        <f ca="1">+WORLDCUP!BD59</f>
        <v>Canadá</v>
      </c>
      <c r="F473" s="9" t="str">
        <f ca="1">+WORLDCUP!BD60</f>
        <v>Marruecos</v>
      </c>
      <c r="G473" s="9" t="str">
        <f ca="1">+WORLDCUP!BD58</f>
        <v>República Checa</v>
      </c>
      <c r="H473" s="9" t="str">
        <f ca="1">+WORLDCUP!BD61</f>
        <v>Paraguay</v>
      </c>
      <c r="I473" s="9" t="str">
        <f ca="1">+WORLDCUP!BD69</f>
        <v>Ghana</v>
      </c>
      <c r="J473" s="9" t="str">
        <f ca="1">+WORLDCUP!BD67</f>
        <v>Argelia</v>
      </c>
      <c r="N473" s="9" t="s">
        <v>774</v>
      </c>
      <c r="O473" s="9">
        <v>472</v>
      </c>
      <c r="P473" s="9" t="s">
        <v>93</v>
      </c>
      <c r="Q473" s="9" t="s">
        <v>435</v>
      </c>
      <c r="R473" s="9" t="s">
        <v>90</v>
      </c>
      <c r="S473" s="9" t="s">
        <v>91</v>
      </c>
      <c r="T473" s="9" t="s">
        <v>89</v>
      </c>
      <c r="U473" s="9" t="s">
        <v>92</v>
      </c>
      <c r="V473" s="9" t="s">
        <v>443</v>
      </c>
      <c r="W473" s="9" t="s">
        <v>441</v>
      </c>
    </row>
    <row r="474" spans="1:23">
      <c r="A474" s="9" t="s">
        <v>773</v>
      </c>
      <c r="B474" s="9">
        <f ca="1">+IF(A474=WORLDCUP!$BI$112,1,0)</f>
        <v>0</v>
      </c>
      <c r="C474" s="9" t="str">
        <f ca="1">+WORLDCUP!BD62</f>
        <v>Ecuador</v>
      </c>
      <c r="D474" s="9" t="str">
        <f ca="1">+WORLDCUP!BD64</f>
        <v>Egipto</v>
      </c>
      <c r="E474" s="9" t="str">
        <f ca="1">+WORLDCUP!BD59</f>
        <v>Canadá</v>
      </c>
      <c r="F474" s="9" t="str">
        <f ca="1">+WORLDCUP!BD60</f>
        <v>Marruecos</v>
      </c>
      <c r="G474" s="9" t="str">
        <f ca="1">+WORLDCUP!BD58</f>
        <v>República Checa</v>
      </c>
      <c r="H474" s="9" t="str">
        <f ca="1">+WORLDCUP!BD61</f>
        <v>Paraguay</v>
      </c>
      <c r="I474" s="9" t="str">
        <f ca="1">+WORLDCUP!BD67</f>
        <v>Argelia</v>
      </c>
      <c r="J474" s="9" t="str">
        <f ca="1">+WORLDCUP!BD68</f>
        <v>RD Congo</v>
      </c>
      <c r="N474" s="9" t="s">
        <v>773</v>
      </c>
      <c r="O474" s="9">
        <v>473</v>
      </c>
      <c r="P474" s="9" t="s">
        <v>93</v>
      </c>
      <c r="Q474" s="9" t="s">
        <v>435</v>
      </c>
      <c r="R474" s="9" t="s">
        <v>90</v>
      </c>
      <c r="S474" s="9" t="s">
        <v>91</v>
      </c>
      <c r="T474" s="9" t="s">
        <v>89</v>
      </c>
      <c r="U474" s="9" t="s">
        <v>92</v>
      </c>
      <c r="V474" s="9" t="s">
        <v>441</v>
      </c>
      <c r="W474" s="9" t="s">
        <v>442</v>
      </c>
    </row>
    <row r="475" spans="1:23">
      <c r="A475" s="9" t="s">
        <v>772</v>
      </c>
      <c r="B475" s="9">
        <f ca="1">+IF(A475=WORLDCUP!$BI$112,1,0)</f>
        <v>0</v>
      </c>
      <c r="C475" s="9" t="str">
        <f ca="1">+WORLDCUP!BD62</f>
        <v>Ecuador</v>
      </c>
      <c r="D475" s="9" t="str">
        <f ca="1">+WORLDCUP!BD64</f>
        <v>Egipto</v>
      </c>
      <c r="E475" s="9" t="str">
        <f ca="1">+WORLDCUP!BD59</f>
        <v>Canadá</v>
      </c>
      <c r="F475" s="9" t="str">
        <f ca="1">+WORLDCUP!BD60</f>
        <v>Marruecos</v>
      </c>
      <c r="G475" s="9" t="str">
        <f ca="1">+WORLDCUP!BD58</f>
        <v>República Checa</v>
      </c>
      <c r="H475" s="9" t="str">
        <f ca="1">+WORLDCUP!BD61</f>
        <v>Paraguay</v>
      </c>
      <c r="I475" s="9" t="str">
        <f ca="1">+WORLDCUP!BD69</f>
        <v>Ghana</v>
      </c>
      <c r="J475" s="9" t="str">
        <f ca="1">+WORLDCUP!BD66</f>
        <v>Senegal</v>
      </c>
      <c r="N475" s="9" t="s">
        <v>772</v>
      </c>
      <c r="O475" s="9">
        <v>474</v>
      </c>
      <c r="P475" s="9" t="s">
        <v>93</v>
      </c>
      <c r="Q475" s="9" t="s">
        <v>435</v>
      </c>
      <c r="R475" s="9" t="s">
        <v>90</v>
      </c>
      <c r="S475" s="9" t="s">
        <v>91</v>
      </c>
      <c r="T475" s="9" t="s">
        <v>89</v>
      </c>
      <c r="U475" s="9" t="s">
        <v>92</v>
      </c>
      <c r="V475" s="9" t="s">
        <v>443</v>
      </c>
      <c r="W475" s="9" t="s">
        <v>440</v>
      </c>
    </row>
    <row r="476" spans="1:23">
      <c r="A476" s="9" t="s">
        <v>771</v>
      </c>
      <c r="B476" s="9">
        <f ca="1">+IF(A476=WORLDCUP!$BI$112,1,0)</f>
        <v>0</v>
      </c>
      <c r="C476" s="9" t="str">
        <f ca="1">+WORLDCUP!BD62</f>
        <v>Ecuador</v>
      </c>
      <c r="D476" s="9" t="str">
        <f ca="1">+WORLDCUP!BD64</f>
        <v>Egipto</v>
      </c>
      <c r="E476" s="9" t="str">
        <f ca="1">+WORLDCUP!BD59</f>
        <v>Canadá</v>
      </c>
      <c r="F476" s="9" t="str">
        <f ca="1">+WORLDCUP!BD60</f>
        <v>Marruecos</v>
      </c>
      <c r="G476" s="9" t="str">
        <f ca="1">+WORLDCUP!BD58</f>
        <v>República Checa</v>
      </c>
      <c r="H476" s="9" t="str">
        <f ca="1">+WORLDCUP!BD61</f>
        <v>Paraguay</v>
      </c>
      <c r="I476" s="9" t="str">
        <f ca="1">+WORLDCUP!BD66</f>
        <v>Senegal</v>
      </c>
      <c r="J476" s="9" t="str">
        <f ca="1">+WORLDCUP!BD68</f>
        <v>RD Congo</v>
      </c>
      <c r="N476" s="9" t="s">
        <v>771</v>
      </c>
      <c r="O476" s="9">
        <v>475</v>
      </c>
      <c r="P476" s="9" t="s">
        <v>93</v>
      </c>
      <c r="Q476" s="9" t="s">
        <v>435</v>
      </c>
      <c r="R476" s="9" t="s">
        <v>90</v>
      </c>
      <c r="S476" s="9" t="s">
        <v>91</v>
      </c>
      <c r="T476" s="9" t="s">
        <v>89</v>
      </c>
      <c r="U476" s="9" t="s">
        <v>92</v>
      </c>
      <c r="V476" s="9" t="s">
        <v>440</v>
      </c>
      <c r="W476" s="9" t="s">
        <v>442</v>
      </c>
    </row>
    <row r="477" spans="1:23">
      <c r="A477" s="9" t="s">
        <v>770</v>
      </c>
      <c r="B477" s="9">
        <f ca="1">+IF(A477=WORLDCUP!$BI$112,1,0)</f>
        <v>0</v>
      </c>
      <c r="C477" s="9" t="str">
        <f ca="1">+WORLDCUP!BD62</f>
        <v>Ecuador</v>
      </c>
      <c r="D477" s="9" t="str">
        <f ca="1">+WORLDCUP!BD64</f>
        <v>Egipto</v>
      </c>
      <c r="E477" s="9" t="str">
        <f ca="1">+WORLDCUP!BD59</f>
        <v>Canadá</v>
      </c>
      <c r="F477" s="9" t="str">
        <f ca="1">+WORLDCUP!BD60</f>
        <v>Marruecos</v>
      </c>
      <c r="G477" s="9" t="str">
        <f ca="1">+WORLDCUP!BD58</f>
        <v>República Checa</v>
      </c>
      <c r="H477" s="9" t="str">
        <f ca="1">+WORLDCUP!BD61</f>
        <v>Paraguay</v>
      </c>
      <c r="I477" s="9" t="str">
        <f ca="1">+WORLDCUP!BD66</f>
        <v>Senegal</v>
      </c>
      <c r="J477" s="9" t="str">
        <f ca="1">+WORLDCUP!BD67</f>
        <v>Argelia</v>
      </c>
      <c r="N477" s="9" t="s">
        <v>770</v>
      </c>
      <c r="O477" s="9">
        <v>476</v>
      </c>
      <c r="P477" s="9" t="s">
        <v>93</v>
      </c>
      <c r="Q477" s="9" t="s">
        <v>435</v>
      </c>
      <c r="R477" s="9" t="s">
        <v>90</v>
      </c>
      <c r="S477" s="9" t="s">
        <v>91</v>
      </c>
      <c r="T477" s="9" t="s">
        <v>89</v>
      </c>
      <c r="U477" s="9" t="s">
        <v>92</v>
      </c>
      <c r="V477" s="9" t="s">
        <v>440</v>
      </c>
      <c r="W477" s="9" t="s">
        <v>441</v>
      </c>
    </row>
    <row r="478" spans="1:23">
      <c r="A478" s="9" t="s">
        <v>769</v>
      </c>
      <c r="B478" s="9">
        <f ca="1">+IF(A478=WORLDCUP!$BI$112,1,0)</f>
        <v>0</v>
      </c>
      <c r="C478" s="9" t="str">
        <f ca="1">+WORLDCUP!BD65</f>
        <v>Arabia Saudita</v>
      </c>
      <c r="D478" s="9" t="str">
        <f ca="1">+WORLDCUP!BD64</f>
        <v>Egipto</v>
      </c>
      <c r="E478" s="9" t="str">
        <f ca="1">+WORLDCUP!BD59</f>
        <v>Canadá</v>
      </c>
      <c r="F478" s="9" t="str">
        <f ca="1">+WORLDCUP!BD60</f>
        <v>Marruecos</v>
      </c>
      <c r="G478" s="9" t="str">
        <f ca="1">+WORLDCUP!BD58</f>
        <v>República Checa</v>
      </c>
      <c r="H478" s="9" t="str">
        <f ca="1">+WORLDCUP!BD61</f>
        <v>Paraguay</v>
      </c>
      <c r="I478" s="9" t="str">
        <f ca="1">+WORLDCUP!BD69</f>
        <v>Ghana</v>
      </c>
      <c r="J478" s="9" t="str">
        <f ca="1">+WORLDCUP!BD62</f>
        <v>Ecuador</v>
      </c>
      <c r="N478" s="9" t="s">
        <v>769</v>
      </c>
      <c r="O478" s="9">
        <v>477</v>
      </c>
      <c r="P478" s="9" t="s">
        <v>436</v>
      </c>
      <c r="Q478" s="9" t="s">
        <v>435</v>
      </c>
      <c r="R478" s="9" t="s">
        <v>90</v>
      </c>
      <c r="S478" s="9" t="s">
        <v>91</v>
      </c>
      <c r="T478" s="9" t="s">
        <v>89</v>
      </c>
      <c r="U478" s="9" t="s">
        <v>92</v>
      </c>
      <c r="V478" s="9" t="s">
        <v>443</v>
      </c>
      <c r="W478" s="9" t="s">
        <v>93</v>
      </c>
    </row>
    <row r="479" spans="1:23">
      <c r="A479" s="9" t="s">
        <v>768</v>
      </c>
      <c r="B479" s="9">
        <f ca="1">+IF(A479=WORLDCUP!$BI$112,1,0)</f>
        <v>0</v>
      </c>
      <c r="C479" s="9" t="str">
        <f ca="1">+WORLDCUP!BD65</f>
        <v>Arabia Saudita</v>
      </c>
      <c r="D479" s="9" t="str">
        <f ca="1">+WORLDCUP!BD64</f>
        <v>Egipto</v>
      </c>
      <c r="E479" s="9" t="str">
        <f ca="1">+WORLDCUP!BD59</f>
        <v>Canadá</v>
      </c>
      <c r="F479" s="9" t="str">
        <f ca="1">+WORLDCUP!BD60</f>
        <v>Marruecos</v>
      </c>
      <c r="G479" s="9" t="str">
        <f ca="1">+WORLDCUP!BD58</f>
        <v>República Checa</v>
      </c>
      <c r="H479" s="9" t="str">
        <f ca="1">+WORLDCUP!BD61</f>
        <v>Paraguay</v>
      </c>
      <c r="I479" s="9" t="str">
        <f ca="1">+WORLDCUP!BD62</f>
        <v>Ecuador</v>
      </c>
      <c r="J479" s="9" t="str">
        <f ca="1">+WORLDCUP!BD68</f>
        <v>RD Congo</v>
      </c>
      <c r="N479" s="9" t="s">
        <v>768</v>
      </c>
      <c r="O479" s="9">
        <v>478</v>
      </c>
      <c r="P479" s="9" t="s">
        <v>436</v>
      </c>
      <c r="Q479" s="9" t="s">
        <v>435</v>
      </c>
      <c r="R479" s="9" t="s">
        <v>90</v>
      </c>
      <c r="S479" s="9" t="s">
        <v>91</v>
      </c>
      <c r="T479" s="9" t="s">
        <v>89</v>
      </c>
      <c r="U479" s="9" t="s">
        <v>92</v>
      </c>
      <c r="V479" s="9" t="s">
        <v>93</v>
      </c>
      <c r="W479" s="9" t="s">
        <v>442</v>
      </c>
    </row>
    <row r="480" spans="1:23">
      <c r="A480" s="9" t="s">
        <v>767</v>
      </c>
      <c r="B480" s="9">
        <f ca="1">+IF(A480=WORLDCUP!$BI$112,1,0)</f>
        <v>0</v>
      </c>
      <c r="C480" s="9" t="str">
        <f ca="1">+WORLDCUP!BD65</f>
        <v>Arabia Saudita</v>
      </c>
      <c r="D480" s="9" t="str">
        <f ca="1">+WORLDCUP!BD64</f>
        <v>Egipto</v>
      </c>
      <c r="E480" s="9" t="str">
        <f ca="1">+WORLDCUP!BD59</f>
        <v>Canadá</v>
      </c>
      <c r="F480" s="9" t="str">
        <f ca="1">+WORLDCUP!BD60</f>
        <v>Marruecos</v>
      </c>
      <c r="G480" s="9" t="str">
        <f ca="1">+WORLDCUP!BD58</f>
        <v>República Checa</v>
      </c>
      <c r="H480" s="9" t="str">
        <f ca="1">+WORLDCUP!BD61</f>
        <v>Paraguay</v>
      </c>
      <c r="I480" s="9" t="str">
        <f ca="1">+WORLDCUP!BD62</f>
        <v>Ecuador</v>
      </c>
      <c r="J480" s="9" t="str">
        <f ca="1">+WORLDCUP!BD67</f>
        <v>Argelia</v>
      </c>
      <c r="N480" s="9" t="s">
        <v>767</v>
      </c>
      <c r="O480" s="9">
        <v>479</v>
      </c>
      <c r="P480" s="9" t="s">
        <v>436</v>
      </c>
      <c r="Q480" s="9" t="s">
        <v>435</v>
      </c>
      <c r="R480" s="9" t="s">
        <v>90</v>
      </c>
      <c r="S480" s="9" t="s">
        <v>91</v>
      </c>
      <c r="T480" s="9" t="s">
        <v>89</v>
      </c>
      <c r="U480" s="9" t="s">
        <v>92</v>
      </c>
      <c r="V480" s="9" t="s">
        <v>93</v>
      </c>
      <c r="W480" s="9" t="s">
        <v>441</v>
      </c>
    </row>
    <row r="481" spans="1:23">
      <c r="A481" s="9" t="s">
        <v>766</v>
      </c>
      <c r="B481" s="9">
        <f ca="1">+IF(A481=WORLDCUP!$BI$112,1,0)</f>
        <v>0</v>
      </c>
      <c r="C481" s="9" t="str">
        <f ca="1">+WORLDCUP!BD65</f>
        <v>Arabia Saudita</v>
      </c>
      <c r="D481" s="9" t="str">
        <f ca="1">+WORLDCUP!BD64</f>
        <v>Egipto</v>
      </c>
      <c r="E481" s="9" t="str">
        <f ca="1">+WORLDCUP!BD59</f>
        <v>Canadá</v>
      </c>
      <c r="F481" s="9" t="str">
        <f ca="1">+WORLDCUP!BD60</f>
        <v>Marruecos</v>
      </c>
      <c r="G481" s="9" t="str">
        <f ca="1">+WORLDCUP!BD58</f>
        <v>República Checa</v>
      </c>
      <c r="H481" s="9" t="str">
        <f ca="1">+WORLDCUP!BD61</f>
        <v>Paraguay</v>
      </c>
      <c r="I481" s="9" t="str">
        <f ca="1">+WORLDCUP!BD62</f>
        <v>Ecuador</v>
      </c>
      <c r="J481" s="9" t="str">
        <f ca="1">+WORLDCUP!BD66</f>
        <v>Senegal</v>
      </c>
      <c r="N481" s="9" t="s">
        <v>766</v>
      </c>
      <c r="O481" s="9">
        <v>480</v>
      </c>
      <c r="P481" s="9" t="s">
        <v>436</v>
      </c>
      <c r="Q481" s="9" t="s">
        <v>435</v>
      </c>
      <c r="R481" s="9" t="s">
        <v>90</v>
      </c>
      <c r="S481" s="9" t="s">
        <v>91</v>
      </c>
      <c r="T481" s="9" t="s">
        <v>89</v>
      </c>
      <c r="U481" s="9" t="s">
        <v>92</v>
      </c>
      <c r="V481" s="9" t="s">
        <v>93</v>
      </c>
      <c r="W481" s="9" t="s">
        <v>440</v>
      </c>
    </row>
    <row r="482" spans="1:23">
      <c r="A482" s="9" t="s">
        <v>459</v>
      </c>
      <c r="B482" s="9">
        <f ca="1">+IF(A482=WORLDCUP!$BI$112,1,0)</f>
        <v>0</v>
      </c>
      <c r="C482" s="9" t="str">
        <f ca="1">+WORLDCUP!BD60</f>
        <v>Marruecos</v>
      </c>
      <c r="D482" s="9" t="str">
        <f ca="1">+WORLDCUP!BD62</f>
        <v>Ecuador</v>
      </c>
      <c r="E482" s="9" t="str">
        <f ca="1">+WORLDCUP!BD59</f>
        <v>Canadá</v>
      </c>
      <c r="F482" s="9" t="str">
        <f ca="1">+WORLDCUP!BD61</f>
        <v>Paraguay</v>
      </c>
      <c r="G482" s="9" t="str">
        <f ca="1">+WORLDCUP!BD58</f>
        <v>República Checa</v>
      </c>
      <c r="H482" s="9" t="str">
        <f ca="1">+WORLDCUP!BD63</f>
        <v>Suecia</v>
      </c>
      <c r="I482" s="9" t="str">
        <f ca="1">+WORLDCUP!BD69</f>
        <v>Ghana</v>
      </c>
      <c r="J482" s="9" t="str">
        <f ca="1">+WORLDCUP!BD68</f>
        <v>RD Congo</v>
      </c>
      <c r="N482" s="9" t="s">
        <v>459</v>
      </c>
      <c r="O482" s="9">
        <v>481</v>
      </c>
      <c r="P482" s="9" t="s">
        <v>91</v>
      </c>
      <c r="Q482" s="9" t="s">
        <v>93</v>
      </c>
      <c r="R482" s="9" t="s">
        <v>90</v>
      </c>
      <c r="S482" s="9" t="s">
        <v>92</v>
      </c>
      <c r="T482" s="9" t="s">
        <v>89</v>
      </c>
      <c r="U482" s="9" t="s">
        <v>94</v>
      </c>
      <c r="V482" s="9" t="s">
        <v>443</v>
      </c>
      <c r="W482" s="9" t="s">
        <v>442</v>
      </c>
    </row>
    <row r="483" spans="1:23">
      <c r="A483" s="9" t="s">
        <v>458</v>
      </c>
      <c r="B483" s="9">
        <f ca="1">+IF(A483=WORLDCUP!$BI$112,1,0)</f>
        <v>0</v>
      </c>
      <c r="C483" s="9" t="str">
        <f ca="1">+WORLDCUP!BD60</f>
        <v>Marruecos</v>
      </c>
      <c r="D483" s="9" t="str">
        <f ca="1">+WORLDCUP!BD67</f>
        <v>Argelia</v>
      </c>
      <c r="E483" s="9" t="str">
        <f ca="1">+WORLDCUP!BD59</f>
        <v>Canadá</v>
      </c>
      <c r="F483" s="9" t="str">
        <f ca="1">+WORLDCUP!BD61</f>
        <v>Paraguay</v>
      </c>
      <c r="G483" s="9" t="str">
        <f ca="1">+WORLDCUP!BD58</f>
        <v>República Checa</v>
      </c>
      <c r="H483" s="9" t="str">
        <f ca="1">+WORLDCUP!BD63</f>
        <v>Suecia</v>
      </c>
      <c r="I483" s="9" t="str">
        <f ca="1">+WORLDCUP!BD69</f>
        <v>Ghana</v>
      </c>
      <c r="J483" s="9" t="str">
        <f ca="1">+WORLDCUP!BD62</f>
        <v>Ecuador</v>
      </c>
      <c r="N483" s="9" t="s">
        <v>458</v>
      </c>
      <c r="O483" s="9">
        <v>482</v>
      </c>
      <c r="P483" s="9" t="s">
        <v>91</v>
      </c>
      <c r="Q483" s="9" t="s">
        <v>441</v>
      </c>
      <c r="R483" s="9" t="s">
        <v>90</v>
      </c>
      <c r="S483" s="9" t="s">
        <v>92</v>
      </c>
      <c r="T483" s="9" t="s">
        <v>89</v>
      </c>
      <c r="U483" s="9" t="s">
        <v>94</v>
      </c>
      <c r="V483" s="9" t="s">
        <v>443</v>
      </c>
      <c r="W483" s="9" t="s">
        <v>93</v>
      </c>
    </row>
    <row r="484" spans="1:23">
      <c r="A484" s="9" t="s">
        <v>457</v>
      </c>
      <c r="B484" s="9">
        <f ca="1">+IF(A484=WORLDCUP!$BI$112,1,0)</f>
        <v>0</v>
      </c>
      <c r="C484" s="9" t="str">
        <f ca="1">+WORLDCUP!BD60</f>
        <v>Marruecos</v>
      </c>
      <c r="D484" s="9" t="str">
        <f ca="1">+WORLDCUP!BD67</f>
        <v>Argelia</v>
      </c>
      <c r="E484" s="9" t="str">
        <f ca="1">+WORLDCUP!BD59</f>
        <v>Canadá</v>
      </c>
      <c r="F484" s="9" t="str">
        <f ca="1">+WORLDCUP!BD61</f>
        <v>Paraguay</v>
      </c>
      <c r="G484" s="9" t="str">
        <f ca="1">+WORLDCUP!BD58</f>
        <v>República Checa</v>
      </c>
      <c r="H484" s="9" t="str">
        <f ca="1">+WORLDCUP!BD63</f>
        <v>Suecia</v>
      </c>
      <c r="I484" s="9" t="str">
        <f ca="1">+WORLDCUP!BD62</f>
        <v>Ecuador</v>
      </c>
      <c r="J484" s="9" t="str">
        <f ca="1">+WORLDCUP!BD68</f>
        <v>RD Congo</v>
      </c>
      <c r="N484" s="9" t="s">
        <v>457</v>
      </c>
      <c r="O484" s="9">
        <v>483</v>
      </c>
      <c r="P484" s="9" t="s">
        <v>91</v>
      </c>
      <c r="Q484" s="9" t="s">
        <v>441</v>
      </c>
      <c r="R484" s="9" t="s">
        <v>90</v>
      </c>
      <c r="S484" s="9" t="s">
        <v>92</v>
      </c>
      <c r="T484" s="9" t="s">
        <v>89</v>
      </c>
      <c r="U484" s="9" t="s">
        <v>94</v>
      </c>
      <c r="V484" s="9" t="s">
        <v>93</v>
      </c>
      <c r="W484" s="9" t="s">
        <v>442</v>
      </c>
    </row>
    <row r="485" spans="1:23">
      <c r="A485" s="9" t="s">
        <v>456</v>
      </c>
      <c r="B485" s="9">
        <f ca="1">+IF(A485=WORLDCUP!$BI$112,1,0)</f>
        <v>0</v>
      </c>
      <c r="C485" s="9" t="str">
        <f ca="1">+WORLDCUP!BD60</f>
        <v>Marruecos</v>
      </c>
      <c r="D485" s="9" t="str">
        <f ca="1">+WORLDCUP!BD62</f>
        <v>Ecuador</v>
      </c>
      <c r="E485" s="9" t="str">
        <f ca="1">+WORLDCUP!BD59</f>
        <v>Canadá</v>
      </c>
      <c r="F485" s="9" t="str">
        <f ca="1">+WORLDCUP!BD61</f>
        <v>Paraguay</v>
      </c>
      <c r="G485" s="9" t="str">
        <f ca="1">+WORLDCUP!BD58</f>
        <v>República Checa</v>
      </c>
      <c r="H485" s="9" t="str">
        <f ca="1">+WORLDCUP!BD63</f>
        <v>Suecia</v>
      </c>
      <c r="I485" s="9" t="str">
        <f ca="1">+WORLDCUP!BD69</f>
        <v>Ghana</v>
      </c>
      <c r="J485" s="9" t="str">
        <f ca="1">+WORLDCUP!BD66</f>
        <v>Senegal</v>
      </c>
      <c r="N485" s="9" t="s">
        <v>456</v>
      </c>
      <c r="O485" s="9">
        <v>484</v>
      </c>
      <c r="P485" s="9" t="s">
        <v>91</v>
      </c>
      <c r="Q485" s="9" t="s">
        <v>93</v>
      </c>
      <c r="R485" s="9" t="s">
        <v>90</v>
      </c>
      <c r="S485" s="9" t="s">
        <v>92</v>
      </c>
      <c r="T485" s="9" t="s">
        <v>89</v>
      </c>
      <c r="U485" s="9" t="s">
        <v>94</v>
      </c>
      <c r="V485" s="9" t="s">
        <v>443</v>
      </c>
      <c r="W485" s="9" t="s">
        <v>440</v>
      </c>
    </row>
    <row r="486" spans="1:23">
      <c r="A486" s="9" t="s">
        <v>455</v>
      </c>
      <c r="B486" s="9">
        <f ca="1">+IF(A486=WORLDCUP!$BI$112,1,0)</f>
        <v>0</v>
      </c>
      <c r="C486" s="9" t="str">
        <f ca="1">+WORLDCUP!BD60</f>
        <v>Marruecos</v>
      </c>
      <c r="D486" s="9" t="str">
        <f ca="1">+WORLDCUP!BD62</f>
        <v>Ecuador</v>
      </c>
      <c r="E486" s="9" t="str">
        <f ca="1">+WORLDCUP!BD59</f>
        <v>Canadá</v>
      </c>
      <c r="F486" s="9" t="str">
        <f ca="1">+WORLDCUP!BD61</f>
        <v>Paraguay</v>
      </c>
      <c r="G486" s="9" t="str">
        <f ca="1">+WORLDCUP!BD58</f>
        <v>República Checa</v>
      </c>
      <c r="H486" s="9" t="str">
        <f ca="1">+WORLDCUP!BD63</f>
        <v>Suecia</v>
      </c>
      <c r="I486" s="9" t="str">
        <f ca="1">+WORLDCUP!BD66</f>
        <v>Senegal</v>
      </c>
      <c r="J486" s="9" t="str">
        <f ca="1">+WORLDCUP!BD68</f>
        <v>RD Congo</v>
      </c>
      <c r="N486" s="9" t="s">
        <v>455</v>
      </c>
      <c r="O486" s="9">
        <v>485</v>
      </c>
      <c r="P486" s="9" t="s">
        <v>91</v>
      </c>
      <c r="Q486" s="9" t="s">
        <v>93</v>
      </c>
      <c r="R486" s="9" t="s">
        <v>90</v>
      </c>
      <c r="S486" s="9" t="s">
        <v>92</v>
      </c>
      <c r="T486" s="9" t="s">
        <v>89</v>
      </c>
      <c r="U486" s="9" t="s">
        <v>94</v>
      </c>
      <c r="V486" s="9" t="s">
        <v>440</v>
      </c>
      <c r="W486" s="9" t="s">
        <v>442</v>
      </c>
    </row>
    <row r="487" spans="1:23">
      <c r="A487" s="9" t="s">
        <v>454</v>
      </c>
      <c r="B487" s="9">
        <f ca="1">+IF(A487=WORLDCUP!$BI$112,1,0)</f>
        <v>0</v>
      </c>
      <c r="C487" s="9" t="str">
        <f ca="1">+WORLDCUP!BD60</f>
        <v>Marruecos</v>
      </c>
      <c r="D487" s="9" t="str">
        <f ca="1">+WORLDCUP!BD67</f>
        <v>Argelia</v>
      </c>
      <c r="E487" s="9" t="str">
        <f ca="1">+WORLDCUP!BD59</f>
        <v>Canadá</v>
      </c>
      <c r="F487" s="9" t="str">
        <f ca="1">+WORLDCUP!BD61</f>
        <v>Paraguay</v>
      </c>
      <c r="G487" s="9" t="str">
        <f ca="1">+WORLDCUP!BD58</f>
        <v>República Checa</v>
      </c>
      <c r="H487" s="9" t="str">
        <f ca="1">+WORLDCUP!BD63</f>
        <v>Suecia</v>
      </c>
      <c r="I487" s="9" t="str">
        <f ca="1">+WORLDCUP!BD62</f>
        <v>Ecuador</v>
      </c>
      <c r="J487" s="9" t="str">
        <f ca="1">+WORLDCUP!BD66</f>
        <v>Senegal</v>
      </c>
      <c r="N487" s="9" t="s">
        <v>454</v>
      </c>
      <c r="O487" s="9">
        <v>486</v>
      </c>
      <c r="P487" s="9" t="s">
        <v>91</v>
      </c>
      <c r="Q487" s="9" t="s">
        <v>441</v>
      </c>
      <c r="R487" s="9" t="s">
        <v>90</v>
      </c>
      <c r="S487" s="9" t="s">
        <v>92</v>
      </c>
      <c r="T487" s="9" t="s">
        <v>89</v>
      </c>
      <c r="U487" s="9" t="s">
        <v>94</v>
      </c>
      <c r="V487" s="9" t="s">
        <v>93</v>
      </c>
      <c r="W487" s="9" t="s">
        <v>440</v>
      </c>
    </row>
    <row r="488" spans="1:23">
      <c r="A488" s="9" t="s">
        <v>453</v>
      </c>
      <c r="B488" s="9">
        <f ca="1">+IF(A488=WORLDCUP!$BI$112,1,0)</f>
        <v>0</v>
      </c>
      <c r="C488" s="9" t="str">
        <f ca="1">+WORLDCUP!BD65</f>
        <v>Arabia Saudita</v>
      </c>
      <c r="D488" s="9" t="str">
        <f ca="1">+WORLDCUP!BD63</f>
        <v>Suecia</v>
      </c>
      <c r="E488" s="9" t="str">
        <f ca="1">+WORLDCUP!BD59</f>
        <v>Canadá</v>
      </c>
      <c r="F488" s="9" t="str">
        <f ca="1">+WORLDCUP!BD60</f>
        <v>Marruecos</v>
      </c>
      <c r="G488" s="9" t="str">
        <f ca="1">+WORLDCUP!BD58</f>
        <v>República Checa</v>
      </c>
      <c r="H488" s="9" t="str">
        <f ca="1">+WORLDCUP!BD61</f>
        <v>Paraguay</v>
      </c>
      <c r="I488" s="9" t="str">
        <f ca="1">+WORLDCUP!BD69</f>
        <v>Ghana</v>
      </c>
      <c r="J488" s="9" t="str">
        <f ca="1">+WORLDCUP!BD62</f>
        <v>Ecuador</v>
      </c>
      <c r="N488" s="9" t="s">
        <v>453</v>
      </c>
      <c r="O488" s="9">
        <v>487</v>
      </c>
      <c r="P488" s="9" t="s">
        <v>436</v>
      </c>
      <c r="Q488" s="9" t="s">
        <v>94</v>
      </c>
      <c r="R488" s="9" t="s">
        <v>90</v>
      </c>
      <c r="S488" s="9" t="s">
        <v>91</v>
      </c>
      <c r="T488" s="9" t="s">
        <v>89</v>
      </c>
      <c r="U488" s="9" t="s">
        <v>92</v>
      </c>
      <c r="V488" s="9" t="s">
        <v>443</v>
      </c>
      <c r="W488" s="9" t="s">
        <v>93</v>
      </c>
    </row>
    <row r="489" spans="1:23">
      <c r="A489" s="9" t="s">
        <v>452</v>
      </c>
      <c r="B489" s="9">
        <f ca="1">+IF(A489=WORLDCUP!$BI$112,1,0)</f>
        <v>0</v>
      </c>
      <c r="C489" s="9" t="str">
        <f ca="1">+WORLDCUP!BD65</f>
        <v>Arabia Saudita</v>
      </c>
      <c r="D489" s="9" t="str">
        <f ca="1">+WORLDCUP!BD62</f>
        <v>Ecuador</v>
      </c>
      <c r="E489" s="9" t="str">
        <f ca="1">+WORLDCUP!BD59</f>
        <v>Canadá</v>
      </c>
      <c r="F489" s="9" t="str">
        <f ca="1">+WORLDCUP!BD60</f>
        <v>Marruecos</v>
      </c>
      <c r="G489" s="9" t="str">
        <f ca="1">+WORLDCUP!BD58</f>
        <v>República Checa</v>
      </c>
      <c r="H489" s="9" t="str">
        <f ca="1">+WORLDCUP!BD63</f>
        <v>Suecia</v>
      </c>
      <c r="I489" s="9" t="str">
        <f ca="1">+WORLDCUP!BD61</f>
        <v>Paraguay</v>
      </c>
      <c r="J489" s="9" t="str">
        <f ca="1">+WORLDCUP!BD68</f>
        <v>RD Congo</v>
      </c>
      <c r="N489" s="9" t="s">
        <v>452</v>
      </c>
      <c r="O489" s="9">
        <v>488</v>
      </c>
      <c r="P489" s="9" t="s">
        <v>436</v>
      </c>
      <c r="Q489" s="9" t="s">
        <v>93</v>
      </c>
      <c r="R489" s="9" t="s">
        <v>90</v>
      </c>
      <c r="S489" s="9" t="s">
        <v>91</v>
      </c>
      <c r="T489" s="9" t="s">
        <v>89</v>
      </c>
      <c r="U489" s="9" t="s">
        <v>94</v>
      </c>
      <c r="V489" s="9" t="s">
        <v>92</v>
      </c>
      <c r="W489" s="9" t="s">
        <v>442</v>
      </c>
    </row>
    <row r="490" spans="1:23">
      <c r="A490" s="9" t="s">
        <v>451</v>
      </c>
      <c r="B490" s="9">
        <f ca="1">+IF(A490=WORLDCUP!$BI$112,1,0)</f>
        <v>0</v>
      </c>
      <c r="C490" s="9" t="str">
        <f ca="1">+WORLDCUP!BD65</f>
        <v>Arabia Saudita</v>
      </c>
      <c r="D490" s="9" t="str">
        <f ca="1">+WORLDCUP!BD67</f>
        <v>Argelia</v>
      </c>
      <c r="E490" s="9" t="str">
        <f ca="1">+WORLDCUP!BD59</f>
        <v>Canadá</v>
      </c>
      <c r="F490" s="9" t="str">
        <f ca="1">+WORLDCUP!BD60</f>
        <v>Marruecos</v>
      </c>
      <c r="G490" s="9" t="str">
        <f ca="1">+WORLDCUP!BD58</f>
        <v>República Checa</v>
      </c>
      <c r="H490" s="9" t="str">
        <f ca="1">+WORLDCUP!BD63</f>
        <v>Suecia</v>
      </c>
      <c r="I490" s="9" t="str">
        <f ca="1">+WORLDCUP!BD61</f>
        <v>Paraguay</v>
      </c>
      <c r="J490" s="9" t="str">
        <f ca="1">+WORLDCUP!BD62</f>
        <v>Ecuador</v>
      </c>
      <c r="N490" s="9" t="s">
        <v>451</v>
      </c>
      <c r="O490" s="9">
        <v>489</v>
      </c>
      <c r="P490" s="9" t="s">
        <v>436</v>
      </c>
      <c r="Q490" s="9" t="s">
        <v>441</v>
      </c>
      <c r="R490" s="9" t="s">
        <v>90</v>
      </c>
      <c r="S490" s="9" t="s">
        <v>91</v>
      </c>
      <c r="T490" s="9" t="s">
        <v>89</v>
      </c>
      <c r="U490" s="9" t="s">
        <v>94</v>
      </c>
      <c r="V490" s="9" t="s">
        <v>92</v>
      </c>
      <c r="W490" s="9" t="s">
        <v>93</v>
      </c>
    </row>
    <row r="491" spans="1:23">
      <c r="A491" s="9" t="s">
        <v>450</v>
      </c>
      <c r="B491" s="9">
        <f ca="1">+IF(A491=WORLDCUP!$BI$112,1,0)</f>
        <v>0</v>
      </c>
      <c r="C491" s="9" t="str">
        <f ca="1">+WORLDCUP!BD65</f>
        <v>Arabia Saudita</v>
      </c>
      <c r="D491" s="9" t="str">
        <f ca="1">+WORLDCUP!BD62</f>
        <v>Ecuador</v>
      </c>
      <c r="E491" s="9" t="str">
        <f ca="1">+WORLDCUP!BD59</f>
        <v>Canadá</v>
      </c>
      <c r="F491" s="9" t="str">
        <f ca="1">+WORLDCUP!BD60</f>
        <v>Marruecos</v>
      </c>
      <c r="G491" s="9" t="str">
        <f ca="1">+WORLDCUP!BD58</f>
        <v>República Checa</v>
      </c>
      <c r="H491" s="9" t="str">
        <f ca="1">+WORLDCUP!BD63</f>
        <v>Suecia</v>
      </c>
      <c r="I491" s="9" t="str">
        <f ca="1">+WORLDCUP!BD61</f>
        <v>Paraguay</v>
      </c>
      <c r="J491" s="9" t="str">
        <f ca="1">+WORLDCUP!BD66</f>
        <v>Senegal</v>
      </c>
      <c r="N491" s="9" t="s">
        <v>450</v>
      </c>
      <c r="O491" s="9">
        <v>490</v>
      </c>
      <c r="P491" s="9" t="s">
        <v>436</v>
      </c>
      <c r="Q491" s="9" t="s">
        <v>93</v>
      </c>
      <c r="R491" s="9" t="s">
        <v>90</v>
      </c>
      <c r="S491" s="9" t="s">
        <v>91</v>
      </c>
      <c r="T491" s="9" t="s">
        <v>89</v>
      </c>
      <c r="U491" s="9" t="s">
        <v>94</v>
      </c>
      <c r="V491" s="9" t="s">
        <v>92</v>
      </c>
      <c r="W491" s="9" t="s">
        <v>440</v>
      </c>
    </row>
    <row r="492" spans="1:23">
      <c r="A492" s="9" t="s">
        <v>449</v>
      </c>
      <c r="B492" s="9">
        <f ca="1">+IF(A492=WORLDCUP!$BI$112,1,0)</f>
        <v>0</v>
      </c>
      <c r="C492" s="9" t="str">
        <f ca="1">+WORLDCUP!BD60</f>
        <v>Marruecos</v>
      </c>
      <c r="D492" s="9" t="str">
        <f ca="1">+WORLDCUP!BD64</f>
        <v>Egipto</v>
      </c>
      <c r="E492" s="9" t="str">
        <f ca="1">+WORLDCUP!BD59</f>
        <v>Canadá</v>
      </c>
      <c r="F492" s="9" t="str">
        <f ca="1">+WORLDCUP!BD61</f>
        <v>Paraguay</v>
      </c>
      <c r="G492" s="9" t="str">
        <f ca="1">+WORLDCUP!BD58</f>
        <v>República Checa</v>
      </c>
      <c r="H492" s="9" t="str">
        <f ca="1">+WORLDCUP!BD63</f>
        <v>Suecia</v>
      </c>
      <c r="I492" s="9" t="str">
        <f ca="1">+WORLDCUP!BD69</f>
        <v>Ghana</v>
      </c>
      <c r="J492" s="9" t="str">
        <f ca="1">+WORLDCUP!BD62</f>
        <v>Ecuador</v>
      </c>
      <c r="N492" s="9" t="s">
        <v>449</v>
      </c>
      <c r="O492" s="9">
        <v>491</v>
      </c>
      <c r="P492" s="9" t="s">
        <v>91</v>
      </c>
      <c r="Q492" s="9" t="s">
        <v>435</v>
      </c>
      <c r="R492" s="9" t="s">
        <v>90</v>
      </c>
      <c r="S492" s="9" t="s">
        <v>92</v>
      </c>
      <c r="T492" s="9" t="s">
        <v>89</v>
      </c>
      <c r="U492" s="9" t="s">
        <v>94</v>
      </c>
      <c r="V492" s="9" t="s">
        <v>443</v>
      </c>
      <c r="W492" s="9" t="s">
        <v>93</v>
      </c>
    </row>
    <row r="493" spans="1:23">
      <c r="A493" s="9" t="s">
        <v>448</v>
      </c>
      <c r="B493" s="9">
        <f ca="1">+IF(A493=WORLDCUP!$BI$112,1,0)</f>
        <v>0</v>
      </c>
      <c r="C493" s="9" t="str">
        <f ca="1">+WORLDCUP!BD60</f>
        <v>Marruecos</v>
      </c>
      <c r="D493" s="9" t="str">
        <f ca="1">+WORLDCUP!BD64</f>
        <v>Egipto</v>
      </c>
      <c r="E493" s="9" t="str">
        <f ca="1">+WORLDCUP!BD59</f>
        <v>Canadá</v>
      </c>
      <c r="F493" s="9" t="str">
        <f ca="1">+WORLDCUP!BD61</f>
        <v>Paraguay</v>
      </c>
      <c r="G493" s="9" t="str">
        <f ca="1">+WORLDCUP!BD58</f>
        <v>República Checa</v>
      </c>
      <c r="H493" s="9" t="str">
        <f ca="1">+WORLDCUP!BD63</f>
        <v>Suecia</v>
      </c>
      <c r="I493" s="9" t="str">
        <f ca="1">+WORLDCUP!BD62</f>
        <v>Ecuador</v>
      </c>
      <c r="J493" s="9" t="str">
        <f ca="1">+WORLDCUP!BD68</f>
        <v>RD Congo</v>
      </c>
      <c r="N493" s="9" t="s">
        <v>448</v>
      </c>
      <c r="O493" s="9">
        <v>492</v>
      </c>
      <c r="P493" s="9" t="s">
        <v>91</v>
      </c>
      <c r="Q493" s="9" t="s">
        <v>435</v>
      </c>
      <c r="R493" s="9" t="s">
        <v>90</v>
      </c>
      <c r="S493" s="9" t="s">
        <v>92</v>
      </c>
      <c r="T493" s="9" t="s">
        <v>89</v>
      </c>
      <c r="U493" s="9" t="s">
        <v>94</v>
      </c>
      <c r="V493" s="9" t="s">
        <v>93</v>
      </c>
      <c r="W493" s="9" t="s">
        <v>442</v>
      </c>
    </row>
    <row r="494" spans="1:23">
      <c r="A494" s="9" t="s">
        <v>447</v>
      </c>
      <c r="B494" s="9">
        <f ca="1">+IF(A494=WORLDCUP!$BI$112,1,0)</f>
        <v>0</v>
      </c>
      <c r="C494" s="9" t="str">
        <f ca="1">+WORLDCUP!BD60</f>
        <v>Marruecos</v>
      </c>
      <c r="D494" s="9" t="str">
        <f ca="1">+WORLDCUP!BD64</f>
        <v>Egipto</v>
      </c>
      <c r="E494" s="9" t="str">
        <f ca="1">+WORLDCUP!BD59</f>
        <v>Canadá</v>
      </c>
      <c r="F494" s="9" t="str">
        <f ca="1">+WORLDCUP!BD61</f>
        <v>Paraguay</v>
      </c>
      <c r="G494" s="9" t="str">
        <f ca="1">+WORLDCUP!BD58</f>
        <v>República Checa</v>
      </c>
      <c r="H494" s="9" t="str">
        <f ca="1">+WORLDCUP!BD63</f>
        <v>Suecia</v>
      </c>
      <c r="I494" s="9" t="str">
        <f ca="1">+WORLDCUP!BD62</f>
        <v>Ecuador</v>
      </c>
      <c r="J494" s="9" t="str">
        <f ca="1">+WORLDCUP!BD67</f>
        <v>Argelia</v>
      </c>
      <c r="N494" s="9" t="s">
        <v>447</v>
      </c>
      <c r="O494" s="9">
        <v>493</v>
      </c>
      <c r="P494" s="9" t="s">
        <v>91</v>
      </c>
      <c r="Q494" s="9" t="s">
        <v>435</v>
      </c>
      <c r="R494" s="9" t="s">
        <v>90</v>
      </c>
      <c r="S494" s="9" t="s">
        <v>92</v>
      </c>
      <c r="T494" s="9" t="s">
        <v>89</v>
      </c>
      <c r="U494" s="9" t="s">
        <v>94</v>
      </c>
      <c r="V494" s="9" t="s">
        <v>93</v>
      </c>
      <c r="W494" s="9" t="s">
        <v>441</v>
      </c>
    </row>
    <row r="495" spans="1:23">
      <c r="A495" s="9" t="s">
        <v>446</v>
      </c>
      <c r="B495" s="9">
        <f ca="1">+IF(A495=WORLDCUP!$BI$112,1,0)</f>
        <v>0</v>
      </c>
      <c r="C495" s="9" t="str">
        <f ca="1">+WORLDCUP!BD60</f>
        <v>Marruecos</v>
      </c>
      <c r="D495" s="9" t="str">
        <f ca="1">+WORLDCUP!BD64</f>
        <v>Egipto</v>
      </c>
      <c r="E495" s="9" t="str">
        <f ca="1">+WORLDCUP!BD59</f>
        <v>Canadá</v>
      </c>
      <c r="F495" s="9" t="str">
        <f ca="1">+WORLDCUP!BD61</f>
        <v>Paraguay</v>
      </c>
      <c r="G495" s="9" t="str">
        <f ca="1">+WORLDCUP!BD58</f>
        <v>República Checa</v>
      </c>
      <c r="H495" s="9" t="str">
        <f ca="1">+WORLDCUP!BD63</f>
        <v>Suecia</v>
      </c>
      <c r="I495" s="9" t="str">
        <f ca="1">+WORLDCUP!BD62</f>
        <v>Ecuador</v>
      </c>
      <c r="J495" s="9" t="str">
        <f ca="1">+WORLDCUP!BD66</f>
        <v>Senegal</v>
      </c>
      <c r="N495" s="9" t="s">
        <v>446</v>
      </c>
      <c r="O495" s="9">
        <v>494</v>
      </c>
      <c r="P495" s="9" t="s">
        <v>91</v>
      </c>
      <c r="Q495" s="9" t="s">
        <v>435</v>
      </c>
      <c r="R495" s="9" t="s">
        <v>90</v>
      </c>
      <c r="S495" s="9" t="s">
        <v>92</v>
      </c>
      <c r="T495" s="9" t="s">
        <v>89</v>
      </c>
      <c r="U495" s="9" t="s">
        <v>94</v>
      </c>
      <c r="V495" s="9" t="s">
        <v>93</v>
      </c>
      <c r="W495" s="9" t="s">
        <v>440</v>
      </c>
    </row>
    <row r="496" spans="1:23">
      <c r="A496" s="9" t="s">
        <v>445</v>
      </c>
      <c r="B496" s="9">
        <f ca="1">+IF(A496=WORLDCUP!$BI$112,1,0)</f>
        <v>0</v>
      </c>
      <c r="C496" s="9" t="str">
        <f ca="1">+WORLDCUP!BD65</f>
        <v>Arabia Saudita</v>
      </c>
      <c r="D496" s="9" t="str">
        <f ca="1">+WORLDCUP!BD64</f>
        <v>Egipto</v>
      </c>
      <c r="E496" s="9" t="str">
        <f ca="1">+WORLDCUP!BD59</f>
        <v>Canadá</v>
      </c>
      <c r="F496" s="9" t="str">
        <f ca="1">+WORLDCUP!BD60</f>
        <v>Marruecos</v>
      </c>
      <c r="G496" s="9" t="str">
        <f ca="1">+WORLDCUP!BD58</f>
        <v>República Checa</v>
      </c>
      <c r="H496" s="9" t="str">
        <f ca="1">+WORLDCUP!BD63</f>
        <v>Suecia</v>
      </c>
      <c r="I496" s="9" t="str">
        <f ca="1">+WORLDCUP!BD61</f>
        <v>Paraguay</v>
      </c>
      <c r="J496" s="9" t="str">
        <f ca="1">+WORLDCUP!BD62</f>
        <v>Ecuador</v>
      </c>
      <c r="N496" s="9" t="s">
        <v>445</v>
      </c>
      <c r="O496" s="9">
        <v>495</v>
      </c>
      <c r="P496" s="9" t="s">
        <v>436</v>
      </c>
      <c r="Q496" s="9" t="s">
        <v>435</v>
      </c>
      <c r="R496" s="9" t="s">
        <v>90</v>
      </c>
      <c r="S496" s="9" t="s">
        <v>91</v>
      </c>
      <c r="T496" s="9" t="s">
        <v>89</v>
      </c>
      <c r="U496" s="9" t="s">
        <v>94</v>
      </c>
      <c r="V496" s="9" t="s">
        <v>92</v>
      </c>
      <c r="W496" s="9" t="s">
        <v>93</v>
      </c>
    </row>
    <row r="497" spans="1:2">
      <c r="A497" s="9" t="s">
        <v>721</v>
      </c>
      <c r="B497" s="9" t="str">
        <f ca="1">+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4.5"/>
  <cols>
    <col min="4" max="4" width="10.81640625" customWidth="1"/>
  </cols>
  <sheetData>
    <row r="1" spans="1:6">
      <c r="A1" s="439"/>
      <c r="B1" s="459" t="str">
        <f>Idiomas!D515</f>
        <v>Gráfico solo en fase de grupos</v>
      </c>
      <c r="C1" s="439"/>
      <c r="D1" s="439"/>
      <c r="F1" s="439"/>
    </row>
    <row r="2" spans="1:6">
      <c r="A2" s="418"/>
      <c r="B2" s="17"/>
      <c r="C2" s="17"/>
      <c r="D2" s="17"/>
    </row>
    <row r="3" spans="1:6">
      <c r="A3" s="418"/>
      <c r="B3" s="17"/>
      <c r="C3" s="17"/>
      <c r="D3" s="17"/>
    </row>
    <row r="4" spans="1:6">
      <c r="A4" s="418"/>
      <c r="B4" s="17"/>
      <c r="C4" s="17"/>
      <c r="D4" s="17"/>
    </row>
    <row r="5" spans="1:6">
      <c r="A5" s="418"/>
      <c r="B5" s="17"/>
      <c r="C5" s="17"/>
      <c r="D5" s="17"/>
    </row>
    <row r="6" spans="1:6">
      <c r="A6" s="418"/>
      <c r="B6" s="17"/>
      <c r="C6" s="17"/>
      <c r="D6" s="17"/>
    </row>
    <row r="7" spans="1:6">
      <c r="A7" s="418"/>
      <c r="B7" s="17"/>
      <c r="C7" s="17"/>
      <c r="D7" s="17"/>
    </row>
    <row r="8" spans="1:6">
      <c r="A8" s="418"/>
      <c r="B8" s="17"/>
      <c r="C8" s="17"/>
      <c r="D8" s="17"/>
    </row>
    <row r="9" spans="1:6">
      <c r="A9" s="418"/>
      <c r="B9" s="17"/>
      <c r="C9" s="17"/>
      <c r="D9" s="17"/>
    </row>
    <row r="10" spans="1:6">
      <c r="A10" s="418"/>
      <c r="B10" s="17"/>
      <c r="C10" s="17"/>
      <c r="D10" s="17"/>
    </row>
    <row r="11" spans="1:6">
      <c r="A11" s="418"/>
      <c r="B11" s="17"/>
      <c r="C11" s="17"/>
      <c r="D11" s="17"/>
    </row>
    <row r="12" spans="1:6">
      <c r="A12" s="418"/>
      <c r="B12" s="17"/>
      <c r="C12" s="17"/>
      <c r="D12" s="17"/>
    </row>
    <row r="13" spans="1:6">
      <c r="A13" s="418"/>
      <c r="B13" s="17"/>
      <c r="C13" s="17"/>
      <c r="D13" s="17"/>
    </row>
    <row r="14" spans="1:6">
      <c r="A14" s="418"/>
      <c r="B14" s="17"/>
      <c r="C14" s="17"/>
      <c r="D14" s="17"/>
    </row>
    <row r="15" spans="1:6">
      <c r="A15" s="419"/>
      <c r="B15" s="420"/>
      <c r="C15" s="420"/>
      <c r="D15" s="420"/>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Usuario</cp:lastModifiedBy>
  <cp:lastPrinted>2018-12-06T18:06:35Z</cp:lastPrinted>
  <dcterms:created xsi:type="dcterms:W3CDTF">2015-10-31T09:41:54Z</dcterms:created>
  <dcterms:modified xsi:type="dcterms:W3CDTF">2026-06-10T15:57:57Z</dcterms:modified>
  <cp:category/>
</cp:coreProperties>
</file>