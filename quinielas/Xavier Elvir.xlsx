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D:\Users\celvir\Desktop\"/>
    </mc:Choice>
  </mc:AlternateContent>
  <xr:revisionPtr revIDLastSave="0" documentId="13_ncr:1_{03E5D246-1C87-4AD4-8297-5CF526F2C1F8}"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10" yWindow="-110" windowWidth="25820" windowHeight="1550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E179" i="46" s="1"/>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Q7" i="46" s="1"/>
  <c r="P7" i="46"/>
  <c r="Q32" i="6"/>
  <c r="Q26" i="6"/>
  <c r="L247" i="46"/>
  <c r="L244" i="46"/>
  <c r="L233" i="46"/>
  <c r="L232" i="46"/>
  <c r="L223" i="46"/>
  <c r="L222" i="46"/>
  <c r="L221" i="46"/>
  <c r="M221" i="46" s="1"/>
  <c r="L220" i="46"/>
  <c r="L201" i="46"/>
  <c r="L200" i="46"/>
  <c r="L179" i="46"/>
  <c r="L178" i="46"/>
  <c r="L177" i="46"/>
  <c r="L176" i="46"/>
  <c r="L175" i="46"/>
  <c r="L174" i="46"/>
  <c r="L173" i="46"/>
  <c r="L172" i="46"/>
  <c r="L171" i="46"/>
  <c r="L170" i="46"/>
  <c r="L169" i="46"/>
  <c r="L168" i="46"/>
  <c r="L167" i="46"/>
  <c r="L165" i="46"/>
  <c r="L164" i="46"/>
  <c r="O247" i="46"/>
  <c r="B247" i="46"/>
  <c r="A247" i="46"/>
  <c r="N247" i="46"/>
  <c r="B244" i="46"/>
  <c r="A244" i="46"/>
  <c r="E244" i="46" s="1"/>
  <c r="O244" i="46"/>
  <c r="N244" i="46"/>
  <c r="A233" i="46"/>
  <c r="B233" i="46"/>
  <c r="B232" i="46"/>
  <c r="A232" i="46"/>
  <c r="O233" i="46"/>
  <c r="N233" i="46"/>
  <c r="O232" i="46"/>
  <c r="N232" i="46"/>
  <c r="A220" i="46"/>
  <c r="B220" i="46"/>
  <c r="B223" i="46"/>
  <c r="E223" i="46" s="1"/>
  <c r="A223" i="46"/>
  <c r="B222" i="46"/>
  <c r="E222" i="46" s="1"/>
  <c r="A222" i="46"/>
  <c r="B221" i="46"/>
  <c r="A221" i="46"/>
  <c r="O223" i="46"/>
  <c r="N223" i="46"/>
  <c r="O222" i="46"/>
  <c r="N222" i="46"/>
  <c r="P222" i="46" s="1"/>
  <c r="O221" i="46"/>
  <c r="N221" i="46"/>
  <c r="O220" i="46"/>
  <c r="N220" i="46"/>
  <c r="B207" i="46"/>
  <c r="E207" i="46" s="1"/>
  <c r="A207" i="46"/>
  <c r="B206" i="46"/>
  <c r="A206" i="46"/>
  <c r="E206" i="46" s="1"/>
  <c r="B205" i="46"/>
  <c r="A205" i="46"/>
  <c r="B204" i="46"/>
  <c r="A204" i="46"/>
  <c r="E204" i="46" s="1"/>
  <c r="B203" i="46"/>
  <c r="A203" i="46"/>
  <c r="B202" i="46"/>
  <c r="A202" i="46"/>
  <c r="E202" i="46" s="1"/>
  <c r="B201" i="46"/>
  <c r="A201" i="46"/>
  <c r="E201" i="46" s="1"/>
  <c r="B200" i="46"/>
  <c r="A200" i="46"/>
  <c r="O207" i="46"/>
  <c r="N207" i="46"/>
  <c r="O206" i="46"/>
  <c r="P206" i="46" s="1"/>
  <c r="N206" i="46"/>
  <c r="O205" i="46"/>
  <c r="N205" i="46"/>
  <c r="O204" i="46"/>
  <c r="N204" i="46"/>
  <c r="O203" i="46"/>
  <c r="N203" i="46"/>
  <c r="O202" i="46"/>
  <c r="N202" i="46"/>
  <c r="P202" i="46" s="1"/>
  <c r="O201" i="46"/>
  <c r="N201" i="46"/>
  <c r="O200" i="46"/>
  <c r="N200" i="46"/>
  <c r="N29" i="46"/>
  <c r="P29" i="46"/>
  <c r="O9" i="46"/>
  <c r="Q9" i="46" s="1"/>
  <c r="O10" i="46"/>
  <c r="O11" i="46"/>
  <c r="O12" i="46"/>
  <c r="O13" i="46"/>
  <c r="O14" i="46"/>
  <c r="O15" i="46"/>
  <c r="O16" i="46"/>
  <c r="O17" i="46"/>
  <c r="O18" i="46"/>
  <c r="O19" i="46"/>
  <c r="O20" i="46"/>
  <c r="M20" i="46" s="1"/>
  <c r="O21" i="46"/>
  <c r="Q21" i="46" s="1"/>
  <c r="O22" i="46"/>
  <c r="O23" i="46"/>
  <c r="O24" i="46"/>
  <c r="O25" i="46"/>
  <c r="O26" i="46"/>
  <c r="O27" i="46"/>
  <c r="O28" i="46"/>
  <c r="N28" i="46"/>
  <c r="P28" i="46"/>
  <c r="O29" i="46"/>
  <c r="O30" i="46"/>
  <c r="P9" i="46"/>
  <c r="P10" i="46"/>
  <c r="P11" i="46"/>
  <c r="P12" i="46"/>
  <c r="P13" i="46"/>
  <c r="P14" i="46"/>
  <c r="P15" i="46"/>
  <c r="P16" i="46"/>
  <c r="M16" i="46" s="1"/>
  <c r="P17" i="46"/>
  <c r="Q17" i="46" s="1"/>
  <c r="P18" i="46"/>
  <c r="P19" i="46"/>
  <c r="P20" i="46"/>
  <c r="P21" i="46"/>
  <c r="P22" i="46"/>
  <c r="P23" i="46"/>
  <c r="P24" i="46"/>
  <c r="P25" i="46"/>
  <c r="P26" i="46"/>
  <c r="Q26" i="46" s="1"/>
  <c r="P27" i="46"/>
  <c r="P30" i="46"/>
  <c r="N9" i="46"/>
  <c r="N10" i="46"/>
  <c r="N11" i="46"/>
  <c r="M11" i="46" s="1"/>
  <c r="N12" i="46"/>
  <c r="N13" i="46"/>
  <c r="M13" i="46" s="1"/>
  <c r="N14" i="46"/>
  <c r="N15" i="46"/>
  <c r="N16" i="46"/>
  <c r="N17" i="46"/>
  <c r="N18" i="46"/>
  <c r="N19" i="46"/>
  <c r="N20" i="46"/>
  <c r="N21" i="46"/>
  <c r="N22" i="46"/>
  <c r="N23" i="46"/>
  <c r="N24" i="46"/>
  <c r="N25" i="46"/>
  <c r="N26" i="46"/>
  <c r="M26" i="46" s="1"/>
  <c r="N27" i="46"/>
  <c r="N30" i="46"/>
  <c r="N52" i="46"/>
  <c r="P52" i="46"/>
  <c r="N77" i="46"/>
  <c r="N76" i="46"/>
  <c r="P76" i="46"/>
  <c r="N75" i="46"/>
  <c r="N74" i="46"/>
  <c r="N73" i="46"/>
  <c r="N72" i="46"/>
  <c r="M72" i="46" s="1"/>
  <c r="N71" i="46"/>
  <c r="N70" i="46"/>
  <c r="N69" i="46"/>
  <c r="N68" i="46"/>
  <c r="N67" i="46"/>
  <c r="N66" i="46"/>
  <c r="M66" i="46" s="1"/>
  <c r="N65" i="46"/>
  <c r="M65" i="46" s="1"/>
  <c r="N64" i="46"/>
  <c r="N63" i="46"/>
  <c r="N62" i="46"/>
  <c r="N61" i="46"/>
  <c r="N60" i="46"/>
  <c r="N59" i="46"/>
  <c r="N58" i="46"/>
  <c r="M58" i="46" s="1"/>
  <c r="N57" i="46"/>
  <c r="N56" i="46"/>
  <c r="N55" i="46"/>
  <c r="N54" i="46"/>
  <c r="O54" i="46"/>
  <c r="P54" i="46"/>
  <c r="N53" i="46"/>
  <c r="M53" i="46" s="1"/>
  <c r="N51" i="46"/>
  <c r="N50" i="46"/>
  <c r="M50" i="46" s="1"/>
  <c r="N49" i="46"/>
  <c r="M49" i="46" s="1"/>
  <c r="N48" i="46"/>
  <c r="N47" i="46"/>
  <c r="N46" i="46"/>
  <c r="N45" i="46"/>
  <c r="N44" i="46"/>
  <c r="N43" i="46"/>
  <c r="M43" i="46" s="1"/>
  <c r="N42" i="46"/>
  <c r="N41" i="46"/>
  <c r="M41" i="46" s="1"/>
  <c r="N40" i="46"/>
  <c r="N39" i="46"/>
  <c r="N38" i="46"/>
  <c r="N37" i="46"/>
  <c r="M37" i="46" s="1"/>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Q76" i="46" s="1"/>
  <c r="P75" i="46"/>
  <c r="O75" i="46"/>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P62" i="46"/>
  <c r="O62" i="46"/>
  <c r="Q62" i="46" s="1"/>
  <c r="P61" i="46"/>
  <c r="M61" i="46" s="1"/>
  <c r="O61" i="46"/>
  <c r="P60" i="46"/>
  <c r="O60" i="46"/>
  <c r="Q60" i="46" s="1"/>
  <c r="P59" i="46"/>
  <c r="O59" i="46"/>
  <c r="P58" i="46"/>
  <c r="O58" i="46"/>
  <c r="Q58" i="46" s="1"/>
  <c r="P57" i="46"/>
  <c r="O57" i="46"/>
  <c r="P56" i="46"/>
  <c r="O56" i="46"/>
  <c r="P55" i="46"/>
  <c r="O55" i="46"/>
  <c r="P53" i="46"/>
  <c r="O53" i="46"/>
  <c r="Q53" i="46" s="1"/>
  <c r="O52" i="46"/>
  <c r="Q52" i="46" s="1"/>
  <c r="P51" i="46"/>
  <c r="O51" i="46"/>
  <c r="P50" i="46"/>
  <c r="O50" i="46"/>
  <c r="P49" i="46"/>
  <c r="O49" i="46"/>
  <c r="P48" i="46"/>
  <c r="O48" i="46"/>
  <c r="P47" i="46"/>
  <c r="O47" i="46"/>
  <c r="Q47" i="46" s="1"/>
  <c r="P46" i="46"/>
  <c r="O46" i="46"/>
  <c r="P45" i="46"/>
  <c r="M45" i="46" s="1"/>
  <c r="O45" i="46"/>
  <c r="Q45" i="46" s="1"/>
  <c r="P44" i="46"/>
  <c r="O44" i="46"/>
  <c r="M44" i="46" s="1"/>
  <c r="P43" i="46"/>
  <c r="O43" i="46"/>
  <c r="P42" i="46"/>
  <c r="O42" i="46"/>
  <c r="P41" i="46"/>
  <c r="O41" i="46"/>
  <c r="P40" i="46"/>
  <c r="O40" i="46"/>
  <c r="P39" i="46"/>
  <c r="O39" i="46"/>
  <c r="Q39" i="46" s="1"/>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20" i="36"/>
  <c r="C24" i="46" s="1"/>
  <c r="M180" i="46"/>
  <c r="M128" i="46"/>
  <c r="D164" i="46"/>
  <c r="D451"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64" i="36"/>
  <c r="Z6" i="3" s="1"/>
  <c r="D16" i="36"/>
  <c r="X3" i="3" s="1"/>
  <c r="D63" i="36"/>
  <c r="Z4" i="3" s="1"/>
  <c r="D284" i="36"/>
  <c r="D348" i="36"/>
  <c r="D343" i="36"/>
  <c r="C47" i="46" s="1"/>
  <c r="D438" i="36"/>
  <c r="D73" i="36"/>
  <c r="D74" i="36"/>
  <c r="AY3" i="3" s="1"/>
  <c r="D486" i="36"/>
  <c r="D481" i="36"/>
  <c r="G3" i="50" s="1"/>
  <c r="D150" i="36"/>
  <c r="K80" i="46" s="1"/>
  <c r="D276" i="36"/>
  <c r="D37" i="36"/>
  <c r="W156" i="3" s="1"/>
  <c r="D160" i="36"/>
  <c r="K90" i="46" s="1"/>
  <c r="D152" i="36"/>
  <c r="K82" i="46" s="1"/>
  <c r="D457" i="36"/>
  <c r="K162" i="46" s="1"/>
  <c r="D467" i="36"/>
  <c r="K245" i="46" s="1"/>
  <c r="D462" i="36"/>
  <c r="K224" i="46" s="1"/>
  <c r="D458" i="36"/>
  <c r="K180" i="46" s="1"/>
  <c r="D109" i="36"/>
  <c r="L42" i="34" s="1"/>
  <c r="D99" i="36"/>
  <c r="L23" i="34" s="1"/>
  <c r="D88" i="36"/>
  <c r="D90" i="36"/>
  <c r="D364" i="36"/>
  <c r="D263" i="36"/>
  <c r="C60" i="46" s="1"/>
  <c r="D46" i="36"/>
  <c r="D369" i="36"/>
  <c r="D137" i="36"/>
  <c r="H152" i="46" s="1"/>
  <c r="M74" i="46"/>
  <c r="E221" i="46"/>
  <c r="Q13" i="46"/>
  <c r="E233" i="46"/>
  <c r="M29" i="46"/>
  <c r="M57" i="46"/>
  <c r="M47" i="46"/>
  <c r="M14" i="46"/>
  <c r="S267" i="46"/>
  <c r="E232" i="46" l="1"/>
  <c r="M75" i="46"/>
  <c r="M36" i="46"/>
  <c r="E247" i="46"/>
  <c r="M247" i="46"/>
  <c r="M232" i="46"/>
  <c r="E220" i="46"/>
  <c r="Q223" i="46"/>
  <c r="M220" i="46"/>
  <c r="M207" i="46"/>
  <c r="Q202" i="46"/>
  <c r="M201" i="46"/>
  <c r="Q179" i="46"/>
  <c r="M171" i="46"/>
  <c r="M7" i="46"/>
  <c r="M56" i="46"/>
  <c r="M69" i="46"/>
  <c r="M63" i="46"/>
  <c r="M62" i="46"/>
  <c r="M52" i="46"/>
  <c r="M48" i="46"/>
  <c r="M33" i="46"/>
  <c r="Q27" i="46"/>
  <c r="M21" i="46"/>
  <c r="M17" i="46"/>
  <c r="D321" i="36"/>
  <c r="C25" i="46" s="1"/>
  <c r="AN14" i="45"/>
  <c r="AO13" i="45"/>
  <c r="AN13" i="45"/>
  <c r="AJ7" i="45"/>
  <c r="AF28" i="45"/>
  <c r="AF4" i="45"/>
  <c r="AB39" i="45"/>
  <c r="AB27" i="45"/>
  <c r="AB15" i="45"/>
  <c r="AB3" i="45"/>
  <c r="AK44" i="45"/>
  <c r="AG47" i="45"/>
  <c r="AG23" i="45"/>
  <c r="AC49" i="45"/>
  <c r="AC37" i="45"/>
  <c r="AC25" i="45"/>
  <c r="AC13" i="45"/>
  <c r="AJ44" i="45"/>
  <c r="AF47" i="45"/>
  <c r="AF23" i="45"/>
  <c r="AB49" i="45"/>
  <c r="AB37" i="45"/>
  <c r="AB25" i="45"/>
  <c r="AB13" i="45"/>
  <c r="AK43" i="45"/>
  <c r="AC36" i="45"/>
  <c r="AC12" i="45"/>
  <c r="AF22" i="45"/>
  <c r="AW26" i="45"/>
  <c r="AV26" i="45"/>
  <c r="AW25" i="45"/>
  <c r="AV25" i="45"/>
  <c r="AS32" i="45"/>
  <c r="AK32" i="45"/>
  <c r="AG41" i="45"/>
  <c r="AG17" i="45"/>
  <c r="AC46" i="45"/>
  <c r="AC34" i="45"/>
  <c r="AC22" i="45"/>
  <c r="AC10" i="45"/>
  <c r="AJ31" i="45"/>
  <c r="AF16" i="45"/>
  <c r="AB21" i="45"/>
  <c r="AF35" i="45"/>
  <c r="AB19" i="45"/>
  <c r="AG10" i="45"/>
  <c r="AC30" i="45"/>
  <c r="AN37" i="45"/>
  <c r="AB42" i="45"/>
  <c r="AO14" i="45"/>
  <c r="AC40" i="45"/>
  <c r="AC16" i="45"/>
  <c r="AF29" i="45"/>
  <c r="AB28" i="45"/>
  <c r="AB4" i="45"/>
  <c r="AG4" i="45"/>
  <c r="AC15" i="45"/>
  <c r="AC48" i="45"/>
  <c r="AJ43" i="45"/>
  <c r="AB24" i="45"/>
  <c r="AR32" i="45"/>
  <c r="AJ32" i="45"/>
  <c r="AF41" i="45"/>
  <c r="AF17" i="45"/>
  <c r="AB46" i="45"/>
  <c r="AB34" i="45"/>
  <c r="AB22" i="45"/>
  <c r="AB10" i="45"/>
  <c r="AF40" i="45"/>
  <c r="AB45" i="45"/>
  <c r="AF11" i="45"/>
  <c r="AB7" i="45"/>
  <c r="AG34" i="45"/>
  <c r="AC6" i="45"/>
  <c r="AF34" i="45"/>
  <c r="AB18" i="45"/>
  <c r="AG29" i="45"/>
  <c r="AS31" i="45"/>
  <c r="AK31" i="45"/>
  <c r="AG40" i="45"/>
  <c r="AG16" i="45"/>
  <c r="AC45" i="45"/>
  <c r="AC33" i="45"/>
  <c r="AC21" i="45"/>
  <c r="AC9" i="45"/>
  <c r="AR31" i="45"/>
  <c r="AB33" i="45"/>
  <c r="AB9" i="45"/>
  <c r="AB31" i="45"/>
  <c r="AO37" i="45"/>
  <c r="AC42" i="45"/>
  <c r="AJ19" i="45"/>
  <c r="AB30" i="45"/>
  <c r="AK8" i="45"/>
  <c r="AC28" i="45"/>
  <c r="AC4" i="45"/>
  <c r="AF5" i="45"/>
  <c r="AB16" i="45"/>
  <c r="AK7" i="45"/>
  <c r="AC39" i="45"/>
  <c r="AC3" i="45"/>
  <c r="AG22" i="45"/>
  <c r="AC24" i="45"/>
  <c r="AB48" i="45"/>
  <c r="AB12" i="45"/>
  <c r="AO38" i="45"/>
  <c r="AK20" i="45"/>
  <c r="AG35" i="45"/>
  <c r="AG11" i="45"/>
  <c r="AC43" i="45"/>
  <c r="AC31" i="45"/>
  <c r="AC19" i="45"/>
  <c r="AC7" i="45"/>
  <c r="AN38" i="45"/>
  <c r="AJ20" i="45"/>
  <c r="AB43" i="45"/>
  <c r="AK19" i="45"/>
  <c r="AC18" i="45"/>
  <c r="AF10" i="45"/>
  <c r="AB6" i="45"/>
  <c r="AG5" i="45"/>
  <c r="AJ8" i="45"/>
  <c r="AB40" i="45"/>
  <c r="AG28" i="45"/>
  <c r="AC27" i="45"/>
  <c r="AG46" i="45"/>
  <c r="AF46" i="45"/>
  <c r="AB36" i="45"/>
  <c r="P247" i="46"/>
  <c r="D365" i="36"/>
  <c r="D106" i="36"/>
  <c r="L38" i="34" s="1"/>
  <c r="D498" i="36"/>
  <c r="D5" i="36"/>
  <c r="D266" i="36"/>
  <c r="L2" i="32" s="1"/>
  <c r="D108" i="36"/>
  <c r="L41" i="34" s="1"/>
  <c r="D478" i="36"/>
  <c r="D123" i="36"/>
  <c r="D28" i="36"/>
  <c r="W136" i="3" s="1"/>
  <c r="D335" i="36"/>
  <c r="Q63" i="46"/>
  <c r="Q244" i="46"/>
  <c r="D170" i="36"/>
  <c r="K100" i="46" s="1"/>
  <c r="D314" i="36"/>
  <c r="C18" i="46" s="1"/>
  <c r="D392" i="36"/>
  <c r="Q65" i="46"/>
  <c r="Q30" i="46"/>
  <c r="Q232" i="46"/>
  <c r="D391" i="36"/>
  <c r="D459" i="36"/>
  <c r="I4" i="47" s="1"/>
  <c r="D305" i="36"/>
  <c r="C9" i="46" s="1"/>
  <c r="D463" i="36"/>
  <c r="K230" i="46" s="1"/>
  <c r="D342" i="36"/>
  <c r="C46" i="46" s="1"/>
  <c r="D359" i="36"/>
  <c r="Q201" i="46"/>
  <c r="D351" i="36"/>
  <c r="Q59" i="46"/>
  <c r="Q75" i="46"/>
  <c r="W75" i="46" s="1"/>
  <c r="D350" i="36"/>
  <c r="Q77" i="46"/>
  <c r="D406" i="36"/>
  <c r="D131" i="36"/>
  <c r="D412" i="36"/>
  <c r="D383" i="36"/>
  <c r="D349" i="36"/>
  <c r="D336" i="36"/>
  <c r="C40" i="46" s="1"/>
  <c r="D168" i="36"/>
  <c r="K98" i="46" s="1"/>
  <c r="D65" i="36"/>
  <c r="Z8" i="3" s="1"/>
  <c r="Z57" i="3" s="1"/>
  <c r="D8" i="36"/>
  <c r="W1" i="3" s="1"/>
  <c r="D411" i="36"/>
  <c r="D380" i="36"/>
  <c r="D300" i="36"/>
  <c r="D9" i="36"/>
  <c r="D337" i="36"/>
  <c r="C41" i="46" s="1"/>
  <c r="D62" i="36"/>
  <c r="AT5" i="3" s="1"/>
  <c r="BL5" i="3" s="1"/>
  <c r="BL57"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K256" i="46" s="1"/>
  <c r="D413" i="36"/>
  <c r="D422" i="36"/>
  <c r="D53" i="36"/>
  <c r="AJ5" i="3" s="1"/>
  <c r="D129" i="36"/>
  <c r="D6" i="36"/>
  <c r="D403" i="36"/>
  <c r="D379" i="36"/>
  <c r="D341" i="36"/>
  <c r="C45" i="46" s="1"/>
  <c r="D10" i="36"/>
  <c r="C14" i="47" s="1"/>
  <c r="D127" i="36"/>
  <c r="D368" i="36"/>
  <c r="V200" i="46" s="1"/>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82" i="46" s="1"/>
  <c r="D186" i="36"/>
  <c r="K116" i="46" s="1"/>
  <c r="D273" i="36"/>
  <c r="D271" i="36"/>
  <c r="D487" i="36"/>
  <c r="D11" i="51" s="1"/>
  <c r="D468" i="36"/>
  <c r="K248" i="46" s="1"/>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L4" i="47"/>
  <c r="M256" i="46"/>
  <c r="Z256" i="46" s="1"/>
  <c r="AX18" i="45"/>
  <c r="G4" i="47"/>
  <c r="K198" i="46"/>
  <c r="K208" i="46"/>
  <c r="J4" i="47"/>
  <c r="L23" i="30"/>
  <c r="AZ1" i="3"/>
  <c r="AO161" i="3"/>
  <c r="AH160" i="3"/>
  <c r="AG160" i="3" s="1"/>
  <c r="M258" i="46"/>
  <c r="W258" i="46" s="1"/>
  <c r="K193" i="46"/>
  <c r="K183" i="46"/>
  <c r="K197" i="46"/>
  <c r="B3" i="30"/>
  <c r="D371" i="36"/>
  <c r="D512" i="36"/>
  <c r="D58" i="36"/>
  <c r="AP5" i="3" s="1"/>
  <c r="AP85" i="3" s="1"/>
  <c r="D261" i="36"/>
  <c r="H212" i="46" s="1"/>
  <c r="D43" i="36"/>
  <c r="D446" i="36"/>
  <c r="D91" i="36"/>
  <c r="L11" i="34" s="1"/>
  <c r="D101" i="36"/>
  <c r="L27" i="34" s="1"/>
  <c r="D96" i="36"/>
  <c r="L18" i="34" s="1"/>
  <c r="D153" i="36"/>
  <c r="K83" i="46" s="1"/>
  <c r="D466" i="36"/>
  <c r="P4" i="47" s="1"/>
  <c r="D194" i="36"/>
  <c r="K124" i="46" s="1"/>
  <c r="D155" i="36"/>
  <c r="K85" i="46" s="1"/>
  <c r="D36" i="36"/>
  <c r="W155" i="3" s="1"/>
  <c r="K254" i="46"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AA8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AB164" i="46" s="1"/>
  <c r="D505" i="36"/>
  <c r="D441" i="36"/>
  <c r="C49" i="46" s="1"/>
  <c r="D61" i="36"/>
  <c r="AS5" i="3" s="1"/>
  <c r="AS21" i="3" s="1"/>
  <c r="D264" i="36"/>
  <c r="H257" i="46" s="1"/>
  <c r="D45" i="36"/>
  <c r="D510" i="36"/>
  <c r="D366" i="36"/>
  <c r="AB54" i="46" s="1"/>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Z19" i="3" s="1"/>
  <c r="Z35"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AD27" i="3" s="1"/>
  <c r="H233" i="46"/>
  <c r="D42" i="36"/>
  <c r="M254" i="46" s="1"/>
  <c r="T254" i="46" s="1"/>
  <c r="D55" i="36"/>
  <c r="AM5" i="3" s="1"/>
  <c r="AM21" i="3" s="1"/>
  <c r="D59" i="36"/>
  <c r="AQ5" i="3" s="1"/>
  <c r="AQ77" i="3" s="1"/>
  <c r="D262" i="36"/>
  <c r="H221" i="46" s="1"/>
  <c r="D302" i="36"/>
  <c r="K12" i="30" s="1"/>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K241" i="46" s="1"/>
  <c r="D185" i="36"/>
  <c r="K115" i="46" s="1"/>
  <c r="D162" i="36"/>
  <c r="K92" i="46" s="1"/>
  <c r="D35" i="36"/>
  <c r="W154" i="3" s="1"/>
  <c r="K253" i="46"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H137" i="46"/>
  <c r="H161" i="46"/>
  <c r="K132" i="46"/>
  <c r="H148" i="46"/>
  <c r="H149" i="46"/>
  <c r="H142" i="46"/>
  <c r="H143" i="46"/>
  <c r="K134" i="46"/>
  <c r="H131" i="46"/>
  <c r="Q24" i="6"/>
  <c r="H140" i="46"/>
  <c r="K129" i="46"/>
  <c r="K154" i="46"/>
  <c r="K138" i="46"/>
  <c r="H232" i="46"/>
  <c r="H130"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S244" i="46"/>
  <c r="AE244" i="46"/>
  <c r="V244" i="46"/>
  <c r="Y244" i="46"/>
  <c r="AB244" i="46"/>
  <c r="S6" i="46"/>
  <c r="V6" i="46"/>
  <c r="Y6" i="46"/>
  <c r="AB6" i="46"/>
  <c r="AE6" i="46"/>
  <c r="AF75" i="3"/>
  <c r="AF67" i="3"/>
  <c r="Y30" i="46"/>
  <c r="AB30" i="46"/>
  <c r="S30" i="46"/>
  <c r="AE30" i="46"/>
  <c r="V30" i="46"/>
  <c r="AF51" i="3"/>
  <c r="D13" i="36"/>
  <c r="K14" i="30" s="1"/>
  <c r="D432" i="36"/>
  <c r="AE164" i="46"/>
  <c r="V164" i="46"/>
  <c r="Y164" i="46"/>
  <c r="S164" i="46"/>
  <c r="S54" i="46"/>
  <c r="Y54" i="46"/>
  <c r="AE54" i="46"/>
  <c r="V54" i="46"/>
  <c r="AM53" i="3"/>
  <c r="H196" i="46"/>
  <c r="AF130" i="3"/>
  <c r="AF142" i="3"/>
  <c r="AB220" i="46"/>
  <c r="V220" i="46"/>
  <c r="AE220" i="46"/>
  <c r="Y220" i="46"/>
  <c r="S220" i="46"/>
  <c r="AF137" i="3"/>
  <c r="H177" i="46"/>
  <c r="H227" i="46"/>
  <c r="H207" i="46"/>
  <c r="H156" i="46"/>
  <c r="H134" i="46"/>
  <c r="H141" i="46"/>
  <c r="H133" i="46"/>
  <c r="AB200" i="46"/>
  <c r="AE200" i="46"/>
  <c r="K186" i="46"/>
  <c r="K151" i="46"/>
  <c r="H220" i="46"/>
  <c r="H185" i="46"/>
  <c r="H4" i="47"/>
  <c r="C50" i="46"/>
  <c r="B34" i="34"/>
  <c r="E17" i="30"/>
  <c r="Q36" i="46"/>
  <c r="W36" i="46" s="1"/>
  <c r="Q40" i="46"/>
  <c r="Q44" i="46"/>
  <c r="P203" i="46"/>
  <c r="Q203" i="46"/>
  <c r="Q207" i="46"/>
  <c r="Q33" i="46"/>
  <c r="Z33" i="46" s="1"/>
  <c r="Q37" i="46"/>
  <c r="Z37" i="46" s="1"/>
  <c r="Q41" i="46"/>
  <c r="Q49" i="46"/>
  <c r="AF49" i="46" s="1"/>
  <c r="P204" i="46"/>
  <c r="M177" i="46"/>
  <c r="M169" i="46"/>
  <c r="Q55" i="46"/>
  <c r="Q247" i="46"/>
  <c r="P232" i="46"/>
  <c r="M203" i="46"/>
  <c r="E203" i="46"/>
  <c r="M202" i="46"/>
  <c r="W52" i="46"/>
  <c r="W26" i="46"/>
  <c r="W7" i="46"/>
  <c r="W74" i="46"/>
  <c r="W66" i="46"/>
  <c r="W47" i="46"/>
  <c r="W29" i="46"/>
  <c r="W21" i="46"/>
  <c r="E165" i="46"/>
  <c r="AF21" i="46"/>
  <c r="AC17" i="46"/>
  <c r="AF27" i="46"/>
  <c r="Z26" i="46"/>
  <c r="AC26" i="46"/>
  <c r="Z41" i="46"/>
  <c r="AC41" i="46"/>
  <c r="AF41" i="46"/>
  <c r="AC43" i="46"/>
  <c r="Z45" i="46"/>
  <c r="Z47" i="46"/>
  <c r="Z53" i="46"/>
  <c r="Z58" i="46"/>
  <c r="AC52" i="46"/>
  <c r="Z63" i="46"/>
  <c r="AC45" i="46"/>
  <c r="AF65" i="46"/>
  <c r="Z74" i="46"/>
  <c r="AC75" i="46"/>
  <c r="AC66" i="46"/>
  <c r="Z77" i="46"/>
  <c r="Q46" i="46"/>
  <c r="AC46" i="46" s="1"/>
  <c r="P221" i="46"/>
  <c r="Q222" i="46"/>
  <c r="Q68" i="46"/>
  <c r="Q16" i="46"/>
  <c r="AF16" i="46" s="1"/>
  <c r="Q29" i="46"/>
  <c r="Q220" i="46"/>
  <c r="Q14" i="46"/>
  <c r="Z14" i="46" s="1"/>
  <c r="Q233" i="46"/>
  <c r="Q8" i="46"/>
  <c r="P178" i="46"/>
  <c r="P174" i="46"/>
  <c r="Q173" i="46"/>
  <c r="Q169" i="46"/>
  <c r="Q50" i="46"/>
  <c r="Q70" i="46"/>
  <c r="Q71" i="46"/>
  <c r="AC71" i="46" s="1"/>
  <c r="Q23" i="46"/>
  <c r="M46" i="46"/>
  <c r="M71" i="46"/>
  <c r="M70" i="46"/>
  <c r="M23" i="46"/>
  <c r="W23" i="46" s="1"/>
  <c r="Q22" i="46"/>
  <c r="M22" i="46"/>
  <c r="Q200" i="46"/>
  <c r="Q72" i="46"/>
  <c r="Q43" i="46"/>
  <c r="T17" i="46"/>
  <c r="Q64" i="46"/>
  <c r="T36" i="46"/>
  <c r="Q34" i="46"/>
  <c r="T7" i="46"/>
  <c r="F5" i="48" a="1"/>
  <c r="F5" i="48" s="1"/>
  <c r="V267" i="46"/>
  <c r="T258" i="46"/>
  <c r="M39" i="46"/>
  <c r="AF39" i="46" s="1"/>
  <c r="M28" i="46"/>
  <c r="Q28" i="46"/>
  <c r="Q12" i="46"/>
  <c r="E205" i="46"/>
  <c r="Q205" i="46"/>
  <c r="M233" i="46"/>
  <c r="P233" i="46"/>
  <c r="M244" i="46"/>
  <c r="P244" i="46"/>
  <c r="E164" i="46"/>
  <c r="Q164" i="46"/>
  <c r="E176" i="46"/>
  <c r="Q172" i="46"/>
  <c r="E168" i="46"/>
  <c r="M35" i="46"/>
  <c r="Q35" i="46"/>
  <c r="M51" i="46"/>
  <c r="Q51" i="46"/>
  <c r="Q11" i="46"/>
  <c r="M64" i="46"/>
  <c r="M25" i="46"/>
  <c r="AC25" i="46" s="1"/>
  <c r="M10" i="46"/>
  <c r="Q18" i="46"/>
  <c r="Q57" i="46"/>
  <c r="W57" i="46" s="1"/>
  <c r="Q61" i="46"/>
  <c r="Q69" i="46"/>
  <c r="Z69" i="46" s="1"/>
  <c r="Q73" i="46"/>
  <c r="M73" i="46"/>
  <c r="Z73" i="46" s="1"/>
  <c r="M12" i="46"/>
  <c r="M24" i="46"/>
  <c r="Q171" i="46"/>
  <c r="M32" i="46"/>
  <c r="M40" i="46"/>
  <c r="Q48" i="46"/>
  <c r="M27" i="46"/>
  <c r="M19" i="46"/>
  <c r="Z19" i="46" s="1"/>
  <c r="D65" i="46"/>
  <c r="M59" i="46"/>
  <c r="T59" i="46" s="1"/>
  <c r="M15" i="46"/>
  <c r="AF15" i="46" s="1"/>
  <c r="P170" i="46"/>
  <c r="M60" i="46"/>
  <c r="M68" i="46"/>
  <c r="AC68" i="46" s="1"/>
  <c r="M200" i="46"/>
  <c r="M76" i="46"/>
  <c r="Z76" i="46" s="1"/>
  <c r="P200" i="46"/>
  <c r="Q221" i="46"/>
  <c r="M223" i="46"/>
  <c r="AM77" i="3"/>
  <c r="AM45" i="3"/>
  <c r="AM61" i="3"/>
  <c r="K102" i="46"/>
  <c r="K133" i="46"/>
  <c r="K147" i="46"/>
  <c r="K161" i="46"/>
  <c r="H153" i="46"/>
  <c r="H144" i="46"/>
  <c r="H145" i="46"/>
  <c r="K155" i="46"/>
  <c r="H160" i="46"/>
  <c r="K189" i="46"/>
  <c r="K149" i="46"/>
  <c r="K242" i="46"/>
  <c r="K157" i="46"/>
  <c r="H154" i="46"/>
  <c r="Q20" i="6"/>
  <c r="H136" i="46"/>
  <c r="K159" i="46"/>
  <c r="K145" i="46"/>
  <c r="K105" i="46"/>
  <c r="H146" i="46"/>
  <c r="K86" i="46"/>
  <c r="K109" i="46"/>
  <c r="AA19" i="3"/>
  <c r="AA35" i="3" s="1"/>
  <c r="P175" i="46"/>
  <c r="P167" i="46"/>
  <c r="M179" i="46"/>
  <c r="M178" i="46"/>
  <c r="X146" i="3"/>
  <c r="X83" i="3"/>
  <c r="X142" i="3"/>
  <c r="X91" i="3"/>
  <c r="X130" i="3"/>
  <c r="X11" i="3"/>
  <c r="X27" i="3" s="1"/>
  <c r="X43" i="3" s="1"/>
  <c r="X19" i="3"/>
  <c r="X35" i="3" s="1"/>
  <c r="X100" i="3"/>
  <c r="X137" i="3"/>
  <c r="X67" i="3"/>
  <c r="X51" i="3"/>
  <c r="X119" i="3"/>
  <c r="X75" i="3"/>
  <c r="X59" i="3"/>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AS45" i="3"/>
  <c r="AS61" i="3"/>
  <c r="AS53" i="3"/>
  <c r="AS93" i="3"/>
  <c r="AS101" i="3"/>
  <c r="AS3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M18" i="46"/>
  <c r="T18" i="46" s="1"/>
  <c r="T61" i="46"/>
  <c r="T57" i="46"/>
  <c r="T49" i="46"/>
  <c r="M42" i="46"/>
  <c r="Q38" i="46"/>
  <c r="M34" i="46"/>
  <c r="Q32" i="46"/>
  <c r="Q31" i="46"/>
  <c r="Q25" i="46"/>
  <c r="Q24" i="46"/>
  <c r="Q20" i="46"/>
  <c r="W20" i="46" s="1"/>
  <c r="Q19" i="46"/>
  <c r="Q15" i="46"/>
  <c r="Q10" i="46"/>
  <c r="M9" i="46"/>
  <c r="Z9" i="46" s="1"/>
  <c r="Q67" i="46"/>
  <c r="T62" i="46"/>
  <c r="T56" i="46"/>
  <c r="E167" i="46"/>
  <c r="M38" i="46"/>
  <c r="Q6" i="46"/>
  <c r="D234" i="36"/>
  <c r="B48" i="6" s="1"/>
  <c r="D236" i="36"/>
  <c r="AB27" i="32" s="1"/>
  <c r="D213" i="36"/>
  <c r="B32" i="6" s="1"/>
  <c r="A63" i="3" s="1"/>
  <c r="D238" i="36"/>
  <c r="K28" i="6" s="1"/>
  <c r="D246" i="36"/>
  <c r="B15" i="6" s="1"/>
  <c r="A30" i="3" s="1"/>
  <c r="D228" i="36"/>
  <c r="B21" i="6" s="1"/>
  <c r="A40" i="3" s="1"/>
  <c r="D217" i="36"/>
  <c r="B40" i="6" s="1"/>
  <c r="AP77" i="3"/>
  <c r="AP53" i="3"/>
  <c r="AP101" i="3"/>
  <c r="K251" i="46"/>
  <c r="J3" i="45"/>
  <c r="J11" i="45" s="1"/>
  <c r="J19" i="45" s="1"/>
  <c r="J27" i="45" s="1"/>
  <c r="J35" i="45" s="1"/>
  <c r="J43" i="45" s="1"/>
  <c r="V3" i="45" s="1"/>
  <c r="V11" i="45" s="1"/>
  <c r="V19" i="45" s="1"/>
  <c r="V27" i="45" s="1"/>
  <c r="V35" i="45" s="1"/>
  <c r="V43" i="45" s="1"/>
  <c r="AT45" i="3"/>
  <c r="AT29" i="3"/>
  <c r="AQ29" i="3"/>
  <c r="AQ61" i="3"/>
  <c r="AQ101" i="3"/>
  <c r="AQ21" i="3"/>
  <c r="AQ93" i="3"/>
  <c r="AQ85" i="3"/>
  <c r="AQ13" i="3"/>
  <c r="AQ53" i="3"/>
  <c r="AQ45" i="3"/>
  <c r="AQ69" i="3"/>
  <c r="AQ37" i="3"/>
  <c r="AN93" i="3"/>
  <c r="K257" i="46"/>
  <c r="Z33" i="3"/>
  <c r="Z17" i="3"/>
  <c r="Z16" i="3"/>
  <c r="Z97" i="3"/>
  <c r="Z25" i="3"/>
  <c r="Z49" i="3"/>
  <c r="Z64" i="3"/>
  <c r="Z32" i="3"/>
  <c r="Z72" i="3"/>
  <c r="K250" i="46"/>
  <c r="K255" i="46"/>
  <c r="AJ61" i="3"/>
  <c r="AJ69" i="3"/>
  <c r="AJ37" i="3"/>
  <c r="AJ77" i="3"/>
  <c r="AJ21" i="3"/>
  <c r="AJ85" i="3"/>
  <c r="AJ29" i="3"/>
  <c r="AJ45" i="3"/>
  <c r="AJ93" i="3"/>
  <c r="AJ53" i="3"/>
  <c r="AJ13" i="3"/>
  <c r="AJ101" i="3"/>
  <c r="AD119" i="3"/>
  <c r="AD11" i="3"/>
  <c r="AD35" i="3"/>
  <c r="AD100" i="3"/>
  <c r="AD83" i="3"/>
  <c r="AD59" i="3"/>
  <c r="AF19" i="3"/>
  <c r="AF59" i="3"/>
  <c r="AF83" i="3"/>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K22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D8" i="51"/>
  <c r="D14"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T256" i="46" l="1"/>
  <c r="AF256" i="46"/>
  <c r="AF258" i="46"/>
  <c r="AC258" i="46"/>
  <c r="Z258" i="46"/>
  <c r="W70" i="46"/>
  <c r="Z68" i="46"/>
  <c r="W51" i="46"/>
  <c r="T40" i="46"/>
  <c r="W37" i="46"/>
  <c r="AN69" i="3"/>
  <c r="AT101" i="3"/>
  <c r="AA91" i="3"/>
  <c r="DT91" i="3" s="1"/>
  <c r="AM93" i="3"/>
  <c r="AF76" i="46"/>
  <c r="T77" i="46"/>
  <c r="AD43" i="3"/>
  <c r="Z65" i="3"/>
  <c r="AN85" i="3"/>
  <c r="AT37" i="3"/>
  <c r="BH5" i="3"/>
  <c r="BH57" i="3" s="1"/>
  <c r="T41" i="46"/>
  <c r="AS85" i="3"/>
  <c r="K217" i="46"/>
  <c r="AA142" i="3"/>
  <c r="DT142" i="3" s="1"/>
  <c r="AM37" i="3"/>
  <c r="Z60" i="46"/>
  <c r="AC61" i="46"/>
  <c r="Z71" i="46"/>
  <c r="AC29" i="46"/>
  <c r="AF75" i="46"/>
  <c r="Z66" i="46"/>
  <c r="Z52" i="46"/>
  <c r="Z36" i="46"/>
  <c r="Z20" i="46"/>
  <c r="W62" i="46"/>
  <c r="W17" i="46"/>
  <c r="C61" i="46"/>
  <c r="Z67" i="46"/>
  <c r="AD75" i="3"/>
  <c r="Z89" i="3"/>
  <c r="AN53" i="3"/>
  <c r="AT77" i="3"/>
  <c r="T68" i="46"/>
  <c r="AS29" i="3"/>
  <c r="K211" i="46"/>
  <c r="AA11" i="3"/>
  <c r="AA27" i="3" s="1"/>
  <c r="AA43" i="3" s="1"/>
  <c r="AM13" i="3"/>
  <c r="AC57" i="46"/>
  <c r="T13" i="46"/>
  <c r="AF46" i="46"/>
  <c r="T65" i="46"/>
  <c r="AF71" i="46"/>
  <c r="AC65" i="46"/>
  <c r="AC47" i="46"/>
  <c r="Z49" i="46"/>
  <c r="AF17" i="46"/>
  <c r="W13" i="46"/>
  <c r="T44" i="46"/>
  <c r="S200" i="46"/>
  <c r="T1" i="6"/>
  <c r="L13" i="34"/>
  <c r="T7" i="51"/>
  <c r="C39" i="46"/>
  <c r="K212" i="46"/>
  <c r="K216" i="46"/>
  <c r="BF5" i="3"/>
  <c r="BF57" i="3" s="1"/>
  <c r="K210" i="46"/>
  <c r="Y200" i="46"/>
  <c r="K214" i="46"/>
  <c r="W43" i="46"/>
  <c r="AF36" i="46"/>
  <c r="H36" i="34"/>
  <c r="E16" i="30"/>
  <c r="Z73" i="3"/>
  <c r="AT53" i="3"/>
  <c r="T74" i="46"/>
  <c r="AA75" i="3"/>
  <c r="DT75" i="3" s="1"/>
  <c r="W11" i="46"/>
  <c r="W50" i="46"/>
  <c r="Z75" i="46"/>
  <c r="AF62" i="46"/>
  <c r="AC21" i="46"/>
  <c r="W45" i="46"/>
  <c r="V232" i="46"/>
  <c r="R7" i="51"/>
  <c r="AF20" i="46"/>
  <c r="T63" i="46"/>
  <c r="T47" i="46"/>
  <c r="AF53" i="46"/>
  <c r="W56" i="46"/>
  <c r="AB232" i="46"/>
  <c r="H205" i="46"/>
  <c r="Z80" i="3"/>
  <c r="Z56" i="3"/>
  <c r="AN21" i="3"/>
  <c r="AT69" i="3"/>
  <c r="AP13" i="3"/>
  <c r="T21" i="46"/>
  <c r="K187" i="46"/>
  <c r="AS77" i="3"/>
  <c r="Z51" i="3"/>
  <c r="AD51" i="3"/>
  <c r="AA59" i="3"/>
  <c r="DT59" i="3" s="1"/>
  <c r="AD19" i="3"/>
  <c r="W40" i="46"/>
  <c r="T50" i="46"/>
  <c r="AC69" i="46"/>
  <c r="AF47" i="46"/>
  <c r="AC62" i="46"/>
  <c r="AC36" i="46"/>
  <c r="AC40" i="46"/>
  <c r="AF13" i="46"/>
  <c r="W49" i="46"/>
  <c r="W77" i="46"/>
  <c r="W256" i="46"/>
  <c r="H256" i="46"/>
  <c r="Q25" i="6"/>
  <c r="Y232" i="46"/>
  <c r="H197" i="46"/>
  <c r="K196" i="46"/>
  <c r="AA100" i="3"/>
  <c r="AT85" i="3"/>
  <c r="AA130" i="3"/>
  <c r="AM29" i="3"/>
  <c r="K185" i="46"/>
  <c r="H254" i="46"/>
  <c r="H252" i="46"/>
  <c r="K213" i="46"/>
  <c r="H250" i="46"/>
  <c r="H229" i="46"/>
  <c r="Y130" i="3"/>
  <c r="S7" i="51"/>
  <c r="K184" i="46"/>
  <c r="Z83" i="3"/>
  <c r="Z64" i="46"/>
  <c r="AC63" i="46"/>
  <c r="W60" i="46"/>
  <c r="S232" i="46"/>
  <c r="W48" i="46"/>
  <c r="AN37" i="3"/>
  <c r="T52" i="46"/>
  <c r="AD67" i="3"/>
  <c r="AF48" i="46"/>
  <c r="AC72" i="46"/>
  <c r="AC256" i="46"/>
  <c r="Z81" i="3"/>
  <c r="T37" i="46"/>
  <c r="AS69" i="3"/>
  <c r="Z7" i="46"/>
  <c r="DT83" i="3"/>
  <c r="Z88" i="3"/>
  <c r="Z41" i="3"/>
  <c r="BI5" i="3"/>
  <c r="BI57" i="3" s="1"/>
  <c r="AT13" i="3"/>
  <c r="AP61" i="3"/>
  <c r="Z38" i="46"/>
  <c r="BK5" i="3"/>
  <c r="BK57" i="3" s="1"/>
  <c r="Z91" i="3"/>
  <c r="AD142" i="3"/>
  <c r="AA137" i="3"/>
  <c r="DT137" i="3" s="1"/>
  <c r="W39" i="46"/>
  <c r="T53" i="46"/>
  <c r="AF77" i="46"/>
  <c r="AF52" i="46"/>
  <c r="Z62" i="46"/>
  <c r="AC53" i="46"/>
  <c r="AC37" i="46"/>
  <c r="Z13" i="46"/>
  <c r="W65" i="46"/>
  <c r="K190" i="46"/>
  <c r="AE253" i="46"/>
  <c r="Y83" i="3"/>
  <c r="AN101" i="3"/>
  <c r="AA51" i="3"/>
  <c r="DT51" i="3" s="1"/>
  <c r="AC76" i="46"/>
  <c r="AM69" i="3"/>
  <c r="R4" i="47"/>
  <c r="Z18" i="46"/>
  <c r="AM101" i="3"/>
  <c r="AF44" i="46"/>
  <c r="Z96" i="3"/>
  <c r="AP21" i="3"/>
  <c r="Z27" i="46"/>
  <c r="AC44" i="46"/>
  <c r="Z11" i="3"/>
  <c r="Z27" i="3" s="1"/>
  <c r="Z43" i="3" s="1"/>
  <c r="AA119" i="3"/>
  <c r="AM85" i="3"/>
  <c r="T26" i="46"/>
  <c r="Z65" i="46"/>
  <c r="AC15" i="46"/>
  <c r="W53" i="46"/>
  <c r="H174" i="46"/>
  <c r="Z48" i="3"/>
  <c r="AT21" i="3"/>
  <c r="AP37" i="3"/>
  <c r="K192" i="46"/>
  <c r="Z59" i="3"/>
  <c r="AD91" i="3"/>
  <c r="AA67" i="3"/>
  <c r="DT67" i="3" s="1"/>
  <c r="M4" i="47"/>
  <c r="AD130" i="3"/>
  <c r="Z28" i="46"/>
  <c r="T29" i="46"/>
  <c r="AF74" i="46"/>
  <c r="AF58" i="46"/>
  <c r="AC56" i="46"/>
  <c r="AF37" i="46"/>
  <c r="AC13" i="46"/>
  <c r="T31" i="46"/>
  <c r="Z9" i="3"/>
  <c r="AT93" i="3"/>
  <c r="AP29" i="3"/>
  <c r="T45" i="46"/>
  <c r="E4" i="47"/>
  <c r="AS13" i="3"/>
  <c r="Z67" i="3"/>
  <c r="AA146" i="3"/>
  <c r="K188" i="46"/>
  <c r="AC24" i="46"/>
  <c r="T58" i="46"/>
  <c r="AC77" i="46"/>
  <c r="AC74" i="46"/>
  <c r="AC58" i="46"/>
  <c r="AF45" i="46"/>
  <c r="AF26" i="46"/>
  <c r="AF7" i="46"/>
  <c r="W41" i="46"/>
  <c r="H222" i="46"/>
  <c r="AB253" i="46"/>
  <c r="AN61" i="3"/>
  <c r="AN13" i="3"/>
  <c r="AF70" i="46"/>
  <c r="AN29" i="3"/>
  <c r="AP45" i="3"/>
  <c r="AC19" i="46"/>
  <c r="T75" i="46"/>
  <c r="Z50" i="46"/>
  <c r="Z17" i="46"/>
  <c r="W63" i="46"/>
  <c r="AN77" i="3"/>
  <c r="Z75" i="3"/>
  <c r="BE5" i="3"/>
  <c r="BE57" i="3" s="1"/>
  <c r="AF72" i="46"/>
  <c r="AF56" i="46"/>
  <c r="Z40" i="3"/>
  <c r="Z24" i="3"/>
  <c r="AT61" i="3"/>
  <c r="AP93" i="3"/>
  <c r="Z44" i="46"/>
  <c r="C57" i="46"/>
  <c r="Z51" i="46"/>
  <c r="T66" i="46"/>
  <c r="AP69" i="3"/>
  <c r="T48" i="46"/>
  <c r="T32" i="46"/>
  <c r="K195" i="46"/>
  <c r="W12" i="46"/>
  <c r="AF22" i="46"/>
  <c r="Z8" i="46"/>
  <c r="AF63" i="46"/>
  <c r="AF66" i="46"/>
  <c r="Z56" i="46"/>
  <c r="AC49" i="46"/>
  <c r="Z21" i="46"/>
  <c r="AC7" i="46"/>
  <c r="W58" i="46"/>
  <c r="H170" i="46"/>
  <c r="H226"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W14" i="32"/>
  <c r="W7"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X28" i="3"/>
  <c r="BR22" i="3"/>
  <c r="BR51" i="3"/>
  <c r="Y113" i="3" l="1"/>
  <c r="Y36" i="3"/>
  <c r="Y84" i="3"/>
  <c r="X124" i="3"/>
  <c r="X96" i="3"/>
  <c r="H76" i="46" s="1"/>
  <c r="H127" i="46" s="1"/>
  <c r="Y23" i="3"/>
  <c r="Y126" i="3"/>
  <c r="X33" i="3"/>
  <c r="H61" i="46" s="1"/>
  <c r="Y76"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12"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23" i="3" l="1"/>
  <c r="BX45" i="3"/>
  <c r="BX39"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CB36" i="3" s="1"/>
  <c r="H49" i="3"/>
  <c r="H47" i="3"/>
  <c r="CB27" i="3" s="1"/>
  <c r="I81" i="3"/>
  <c r="H78" i="3"/>
  <c r="H21" i="3"/>
  <c r="I33" i="3"/>
  <c r="I14" i="3"/>
  <c r="CB13" i="3" s="1"/>
  <c r="I88" i="3"/>
  <c r="H94" i="3"/>
  <c r="I60" i="3"/>
  <c r="H86" i="3"/>
  <c r="H32" i="3"/>
  <c r="I77" i="3"/>
  <c r="H45" i="3"/>
  <c r="I17" i="3"/>
  <c r="CA11" i="3" s="1"/>
  <c r="H24" i="3"/>
  <c r="I29" i="3"/>
  <c r="CA20" i="3" s="1"/>
  <c r="H22" i="3"/>
  <c r="H46" i="3"/>
  <c r="H77" i="3"/>
  <c r="CA45" i="3" s="1"/>
  <c r="H15" i="3"/>
  <c r="I4" i="3"/>
  <c r="CA6" i="3" s="1"/>
  <c r="I15" i="3"/>
  <c r="I95" i="3"/>
  <c r="I92" i="3"/>
  <c r="I62" i="3"/>
  <c r="I64" i="3"/>
  <c r="I63" i="3"/>
  <c r="CB37" i="3" s="1"/>
  <c r="I52" i="3"/>
  <c r="H57" i="3"/>
  <c r="I53" i="3"/>
  <c r="H38" i="3"/>
  <c r="I32" i="3"/>
  <c r="H56" i="3"/>
  <c r="I22" i="3"/>
  <c r="I41" i="3"/>
  <c r="I78" i="3"/>
  <c r="H40" i="3"/>
  <c r="I39" i="3"/>
  <c r="H33" i="3"/>
  <c r="H12" i="3"/>
  <c r="H70" i="3"/>
  <c r="H79" i="3"/>
  <c r="CB43" i="3" s="1"/>
  <c r="I24" i="3"/>
  <c r="H20" i="3"/>
  <c r="I56" i="3"/>
  <c r="H28" i="3"/>
  <c r="I93" i="3"/>
  <c r="CA52" i="3" s="1"/>
  <c r="H52" i="3"/>
  <c r="I28" i="3"/>
  <c r="CA18" i="3" s="1"/>
  <c r="H54" i="3"/>
  <c r="I40" i="3"/>
  <c r="CB23" i="3" s="1"/>
  <c r="I71" i="3"/>
  <c r="I76" i="3"/>
  <c r="CB42" i="3" s="1"/>
  <c r="H96" i="3"/>
  <c r="CA50" i="3" s="1"/>
  <c r="I68" i="3"/>
  <c r="H80" i="3"/>
  <c r="H5" i="3"/>
  <c r="I49" i="3"/>
  <c r="H85" i="3"/>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H6" i="3"/>
  <c r="H9" i="3"/>
  <c r="I5" i="3"/>
  <c r="I69" i="3"/>
  <c r="CA16" i="3"/>
  <c r="CB16" i="3"/>
  <c r="CA43" i="3"/>
  <c r="CA47" i="3"/>
  <c r="CB47" i="3"/>
  <c r="CB49" i="3" l="1"/>
  <c r="CB44" i="3"/>
  <c r="CA46" i="3"/>
  <c r="CC46" i="3" s="1"/>
  <c r="CA34" i="3"/>
  <c r="CB53" i="3"/>
  <c r="CB45" i="3"/>
  <c r="CC45" i="3" s="1"/>
  <c r="CA12" i="3"/>
  <c r="CC12" i="3" s="1"/>
  <c r="CB18" i="3"/>
  <c r="CC18" i="3" s="1"/>
  <c r="CB20" i="3"/>
  <c r="CC20" i="3" s="1"/>
  <c r="CA19" i="3"/>
  <c r="CA31" i="3"/>
  <c r="CA53" i="3"/>
  <c r="CA27" i="3"/>
  <c r="CC27" i="3" s="1"/>
  <c r="CA36" i="3"/>
  <c r="CC36" i="3" s="1"/>
  <c r="CA44" i="3"/>
  <c r="CC44" i="3" s="1"/>
  <c r="CA42" i="3"/>
  <c r="CC42" i="3" s="1"/>
  <c r="CB31" i="3"/>
  <c r="CB9" i="3"/>
  <c r="CA14" i="3"/>
  <c r="CB14" i="3"/>
  <c r="CA15" i="3"/>
  <c r="CB17" i="3"/>
  <c r="CB15" i="3"/>
  <c r="CA17" i="3"/>
  <c r="CB6" i="3"/>
  <c r="CC6" i="3" s="1"/>
  <c r="CB39" i="3"/>
  <c r="CB50" i="3"/>
  <c r="CC50" i="3" s="1"/>
  <c r="CA48" i="3"/>
  <c r="CC48" i="3" s="1"/>
  <c r="CA49" i="3"/>
  <c r="CC49" i="3" s="1"/>
  <c r="CB35" i="3"/>
  <c r="CA30" i="3"/>
  <c r="CB11" i="3"/>
  <c r="CC11" i="3" s="1"/>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B25" i="3"/>
  <c r="CA23" i="3"/>
  <c r="CC23" i="3" s="1"/>
  <c r="CA38" i="3"/>
  <c r="CA41" i="3"/>
  <c r="CA22" i="3"/>
  <c r="CA39" i="3"/>
  <c r="CB41" i="3"/>
  <c r="CB40" i="3"/>
  <c r="Q10" i="6" a="1"/>
  <c r="Q10" i="6" s="1"/>
  <c r="Q11" i="6" s="1" a="1"/>
  <c r="Q11" i="6" s="1"/>
  <c r="Q12" i="6" s="1" a="1"/>
  <c r="Q12" i="6" s="1"/>
  <c r="CC43" i="3"/>
  <c r="CC16" i="3"/>
  <c r="CC47" i="3"/>
  <c r="CC34" i="3" l="1"/>
  <c r="CC53" i="3"/>
  <c r="CC19" i="3"/>
  <c r="CC31"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CF50" i="3" s="1"/>
  <c r="K29" i="3"/>
  <c r="CF21" i="3" s="1"/>
  <c r="K94" i="3"/>
  <c r="CF52" i="3" s="1"/>
  <c r="L80" i="3"/>
  <c r="L78" i="3"/>
  <c r="CF42" i="3" s="1"/>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CF49" i="3" s="1"/>
  <c r="L7" i="3"/>
  <c r="L77" i="3"/>
  <c r="CF44" i="3" s="1"/>
  <c r="L15" i="3"/>
  <c r="K47" i="3"/>
  <c r="L86" i="3"/>
  <c r="K65" i="3"/>
  <c r="K63" i="3"/>
  <c r="L45" i="3"/>
  <c r="K22" i="3"/>
  <c r="L60" i="3"/>
  <c r="CF34" i="3" s="1"/>
  <c r="K46" i="3"/>
  <c r="L23" i="3"/>
  <c r="L25" i="3"/>
  <c r="K24" i="3"/>
  <c r="L46" i="3"/>
  <c r="CF26" i="3" s="1"/>
  <c r="L48" i="3"/>
  <c r="K38" i="3"/>
  <c r="K69" i="3"/>
  <c r="L41" i="3"/>
  <c r="L70" i="3"/>
  <c r="CF38" i="3" s="1"/>
  <c r="K68" i="3"/>
  <c r="K56" i="3"/>
  <c r="L20" i="3"/>
  <c r="L32" i="3"/>
  <c r="L22" i="3"/>
  <c r="CF17" i="3" s="1"/>
  <c r="K8" i="3"/>
  <c r="K28" i="3"/>
  <c r="CF19" i="3" s="1"/>
  <c r="L28" i="3"/>
  <c r="L55" i="3"/>
  <c r="K33" i="3"/>
  <c r="K32" i="3"/>
  <c r="L72" i="3"/>
  <c r="K6" i="3"/>
  <c r="CF7" i="3" s="1"/>
  <c r="L13" i="3"/>
  <c r="CF12" i="3" s="1"/>
  <c r="K40" i="3"/>
  <c r="CF24" i="3" s="1"/>
  <c r="L8" i="3"/>
  <c r="K16" i="3"/>
  <c r="K7" i="3"/>
  <c r="CF8" i="3" s="1"/>
  <c r="K64" i="3"/>
  <c r="L39" i="3"/>
  <c r="L29" i="3"/>
  <c r="L71" i="3"/>
  <c r="K73" i="3"/>
  <c r="CF40" i="3" s="1"/>
  <c r="L6" i="3"/>
  <c r="K53" i="3"/>
  <c r="L4" i="3"/>
  <c r="L64" i="3"/>
  <c r="CF35" i="3" s="1"/>
  <c r="L54" i="3"/>
  <c r="CF30" i="3" s="1"/>
  <c r="K88" i="3"/>
  <c r="K87" i="3"/>
  <c r="CF47" i="3" s="1"/>
  <c r="K61" i="3"/>
  <c r="CF37" i="3" s="1"/>
  <c r="L47" i="3"/>
  <c r="CF29" i="3" s="1"/>
  <c r="CF45" i="3"/>
  <c r="CF16" i="3"/>
  <c r="E9" i="51"/>
  <c r="CF22" i="3"/>
  <c r="CF51" i="3"/>
  <c r="B46" i="51"/>
  <c r="B47" i="51" s="1"/>
  <c r="E10" i="51"/>
  <c r="E12" i="51"/>
  <c r="E11" i="51"/>
  <c r="CF32" i="3" l="1"/>
  <c r="CF27" i="3"/>
  <c r="CF28" i="3"/>
  <c r="CF25" i="3"/>
  <c r="CF53" i="3"/>
  <c r="CF36" i="3"/>
  <c r="CF46" i="3"/>
  <c r="CF31" i="3"/>
  <c r="CF43" i="3"/>
  <c r="CF33" i="3"/>
  <c r="CF6" i="3"/>
  <c r="CF20" i="3"/>
  <c r="CF18" i="3"/>
  <c r="CF14"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l="1"/>
  <c r="O89" i="3"/>
  <c r="O48" i="3"/>
  <c r="CJ27" i="3" s="1"/>
  <c r="O25" i="3"/>
  <c r="N71" i="3"/>
  <c r="O46" i="3"/>
  <c r="O88" i="3"/>
  <c r="O93" i="3"/>
  <c r="CJ52" i="3" s="1"/>
  <c r="O78" i="3"/>
  <c r="O53" i="3"/>
  <c r="CI32" i="3" s="1"/>
  <c r="N96" i="3"/>
  <c r="O80" i="3"/>
  <c r="N47" i="3"/>
  <c r="CI27" i="3" s="1"/>
  <c r="O22" i="3"/>
  <c r="CJ17" i="3" s="1"/>
  <c r="N84" i="3"/>
  <c r="O97" i="3"/>
  <c r="O16" i="3"/>
  <c r="N15" i="3"/>
  <c r="O15" i="3"/>
  <c r="CI10" i="3" s="1"/>
  <c r="O61" i="3"/>
  <c r="CJ37" i="3"/>
  <c r="N13" i="3"/>
  <c r="N65" i="3"/>
  <c r="O69" i="3"/>
  <c r="O62" i="3"/>
  <c r="N55" i="3"/>
  <c r="O20" i="3"/>
  <c r="CI14" i="3" s="1"/>
  <c r="O64" i="3"/>
  <c r="N5" i="3"/>
  <c r="CJ9" i="3" s="1"/>
  <c r="O14" i="3"/>
  <c r="N93" i="3"/>
  <c r="CI53" i="3" s="1"/>
  <c r="N33" i="3"/>
  <c r="N52" i="3"/>
  <c r="CK31" i="3" s="1"/>
  <c r="O57" i="3"/>
  <c r="N17" i="3"/>
  <c r="O31" i="3"/>
  <c r="O84" i="3"/>
  <c r="CI46" i="3" s="1"/>
  <c r="O45" i="3"/>
  <c r="CI28" i="3" s="1"/>
  <c r="N9" i="3"/>
  <c r="O52" i="3"/>
  <c r="N80" i="3"/>
  <c r="O55" i="3"/>
  <c r="O81" i="3"/>
  <c r="N76" i="3"/>
  <c r="CK43" i="3" s="1"/>
  <c r="O29" i="3"/>
  <c r="CK20" i="3" s="1"/>
  <c r="O71" i="3"/>
  <c r="N69" i="3"/>
  <c r="O37" i="3"/>
  <c r="CK24" i="3" s="1"/>
  <c r="O60" i="3"/>
  <c r="CI34" i="3" s="1"/>
  <c r="O47" i="3"/>
  <c r="N8" i="3"/>
  <c r="N31" i="3"/>
  <c r="N48" i="3"/>
  <c r="CJ28" i="3" s="1"/>
  <c r="O54" i="3"/>
  <c r="CK30" i="3" s="1"/>
  <c r="N16" i="3"/>
  <c r="CJ10" i="3" s="1"/>
  <c r="O56" i="3"/>
  <c r="O38" i="3"/>
  <c r="N73" i="3"/>
  <c r="N24" i="3"/>
  <c r="N64" i="3"/>
  <c r="O5" i="3"/>
  <c r="CJ8" i="3" s="1"/>
  <c r="O70" i="3"/>
  <c r="CJ38" i="3" s="1"/>
  <c r="N39" i="3"/>
  <c r="O40" i="3"/>
  <c r="O13" i="3"/>
  <c r="N22" i="3"/>
  <c r="N89" i="3"/>
  <c r="O4" i="3"/>
  <c r="N62" i="3"/>
  <c r="O92" i="3"/>
  <c r="CI50" i="3" s="1"/>
  <c r="N60" i="3"/>
  <c r="CK35" i="3" s="1"/>
  <c r="O41" i="3"/>
  <c r="CK25" i="3" s="1"/>
  <c r="N36" i="3"/>
  <c r="N4" i="3"/>
  <c r="CK7" i="3" s="1"/>
  <c r="N92" i="3"/>
  <c r="CK51" i="3" s="1"/>
  <c r="O76" i="3"/>
  <c r="CI42" i="3" s="1"/>
  <c r="N79" i="3"/>
  <c r="CI43" i="3" s="1"/>
  <c r="N81" i="3"/>
  <c r="N46" i="3"/>
  <c r="CK28" i="3" s="1"/>
  <c r="N68" i="3"/>
  <c r="CK39" i="3" s="1"/>
  <c r="O49" i="3"/>
  <c r="O32" i="3"/>
  <c r="CJ21" i="3" s="1"/>
  <c r="N23" i="3"/>
  <c r="N70" i="3"/>
  <c r="N20" i="3"/>
  <c r="CK15" i="3" s="1"/>
  <c r="N30" i="3"/>
  <c r="O39" i="3"/>
  <c r="N29" i="3"/>
  <c r="CI21" i="3" s="1"/>
  <c r="N40" i="3"/>
  <c r="O8" i="3"/>
  <c r="CK27" i="3" s="1"/>
  <c r="O33" i="3"/>
  <c r="N94" i="3"/>
  <c r="CK52" i="3" s="1"/>
  <c r="O9" i="3"/>
  <c r="CJ7" i="3" s="1"/>
  <c r="O23" i="3"/>
  <c r="O95" i="3"/>
  <c r="CK53" i="3" s="1"/>
  <c r="N87" i="3"/>
  <c r="N88" i="3"/>
  <c r="CJ51" i="3"/>
  <c r="CJ19" i="3"/>
  <c r="CI12" i="3"/>
  <c r="CJ30" i="3"/>
  <c r="CK45" i="3"/>
  <c r="CJ45" i="3"/>
  <c r="CJ42" i="3"/>
  <c r="CK6" i="3"/>
  <c r="CJ32" i="3"/>
  <c r="CI15" i="3"/>
  <c r="CK48" i="3"/>
  <c r="CJ29" i="3"/>
  <c r="CK50" i="3"/>
  <c r="CI33" i="3"/>
  <c r="CK37" i="3"/>
  <c r="CK44" i="3"/>
  <c r="CJ49" i="3"/>
  <c r="CI24" i="3"/>
  <c r="CJ43" i="3"/>
  <c r="CI47" i="3"/>
  <c r="CK18" i="3"/>
  <c r="CI49" i="3"/>
  <c r="CI17" i="3"/>
  <c r="CI31" i="3"/>
  <c r="CJ11" i="3"/>
  <c r="CK13" i="3"/>
  <c r="CI8" i="3"/>
  <c r="CI35" i="3"/>
  <c r="CI18" i="3"/>
  <c r="CK19" i="3"/>
  <c r="CI20" i="3"/>
  <c r="CI26" i="3"/>
  <c r="CK42" i="3"/>
  <c r="CI25" i="3"/>
  <c r="CI40" i="3"/>
  <c r="CJ12" i="3"/>
  <c r="CK41" i="3"/>
  <c r="CK26" i="3"/>
  <c r="CI23" i="3"/>
  <c r="CJ20" i="3"/>
  <c r="CI16" i="3"/>
  <c r="CI51" i="3"/>
  <c r="CI45" i="3"/>
  <c r="CK22" i="3"/>
  <c r="CJ33" i="3"/>
  <c r="CI22" i="3"/>
  <c r="CJ15" i="3"/>
  <c r="CI11" i="3"/>
  <c r="CI7" i="3"/>
  <c r="CJ31" i="3"/>
  <c r="CJ44" i="3"/>
  <c r="CI44" i="3"/>
  <c r="CK46" i="3"/>
  <c r="CJ46" i="3"/>
  <c r="CK49" i="3"/>
  <c r="CI9" i="3"/>
  <c r="CK38" i="3"/>
  <c r="CK17" i="3"/>
  <c r="CK8" i="3"/>
  <c r="CI29" i="3"/>
  <c r="CK10" i="3"/>
  <c r="CJ50" i="3"/>
  <c r="CJ47" i="3"/>
  <c r="CK16" i="3"/>
  <c r="CJ18" i="3"/>
  <c r="CI36" i="3"/>
  <c r="CI19" i="3"/>
  <c r="CJ22" i="3"/>
  <c r="CK29" i="3"/>
  <c r="CK14" i="3"/>
  <c r="CJ16" i="3"/>
  <c r="CI6" i="3"/>
  <c r="CJ48" i="3"/>
  <c r="CI39" i="3"/>
  <c r="CI37" i="3"/>
  <c r="CI30" i="3"/>
  <c r="CJ35" i="3"/>
  <c r="CK11" i="3"/>
  <c r="CI52" i="3"/>
  <c r="CK34" i="3"/>
  <c r="CK32" i="3"/>
  <c r="CI48" i="3"/>
  <c r="CK21" i="3"/>
  <c r="CK9" i="3"/>
  <c r="CJ6" i="3"/>
  <c r="CJ39" i="3"/>
  <c r="CJ23" i="3"/>
  <c r="CJ25" i="3"/>
  <c r="CJ36" i="3"/>
  <c r="CJ34" i="3"/>
  <c r="CJ26" i="3"/>
  <c r="CJ41" i="3"/>
  <c r="CJ24" i="3" l="1"/>
  <c r="CK33" i="3"/>
  <c r="CJ13" i="3"/>
  <c r="CK40" i="3"/>
  <c r="CK23" i="3"/>
  <c r="CI38" i="3"/>
  <c r="CL38" i="3" s="1"/>
  <c r="CK47" i="3"/>
  <c r="CI41" i="3"/>
  <c r="CL41" i="3" s="1"/>
  <c r="CJ53" i="3"/>
  <c r="CL53" i="3" s="1"/>
  <c r="CK36" i="3"/>
  <c r="CI13" i="3"/>
  <c r="CK12" i="3"/>
  <c r="CL32" i="3"/>
  <c r="CL42" i="3"/>
  <c r="CJ14" i="3"/>
  <c r="CL14" i="3" s="1"/>
  <c r="CL30" i="3"/>
  <c r="CL28" i="3"/>
  <c r="CL11" i="3"/>
  <c r="CL35" i="3"/>
  <c r="CL19" i="3"/>
  <c r="CJ40" i="3"/>
  <c r="CL40" i="3" s="1"/>
  <c r="CL9" i="3"/>
  <c r="CL50" i="3"/>
  <c r="CL48" i="3"/>
  <c r="CL49" i="3"/>
  <c r="CL37" i="3"/>
  <c r="CL29" i="3"/>
  <c r="CL23" i="3"/>
  <c r="CL25" i="3"/>
  <c r="CL15" i="3"/>
  <c r="CL12" i="3"/>
  <c r="CL10" i="3"/>
  <c r="CL6" i="3"/>
  <c r="CL8" i="3"/>
  <c r="CL24" i="3"/>
  <c r="CL45" i="3"/>
  <c r="CL43" i="3"/>
  <c r="CL22" i="3"/>
  <c r="CL7" i="3"/>
  <c r="CL27" i="3"/>
  <c r="CL26" i="3"/>
  <c r="CL52" i="3"/>
  <c r="CL51" i="3"/>
  <c r="CL34" i="3"/>
  <c r="CL36" i="3"/>
  <c r="CL39" i="3"/>
  <c r="CL46" i="3"/>
  <c r="CL31" i="3"/>
  <c r="CL33" i="3"/>
  <c r="CL16" i="3"/>
  <c r="CL17" i="3"/>
  <c r="CL44" i="3"/>
  <c r="CL18" i="3"/>
  <c r="CL21" i="3"/>
  <c r="CL20" i="3"/>
  <c r="CL47" i="3"/>
  <c r="CL13" i="3" l="1"/>
  <c r="CM36" i="3"/>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P30" i="3" s="1"/>
  <c r="CO38" i="3" l="1"/>
  <c r="CO9" i="3"/>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CT6" i="3" s="1"/>
  <c r="U47" i="3"/>
  <c r="U60" i="3"/>
  <c r="T38" i="3"/>
  <c r="U13" i="3"/>
  <c r="T17" i="3"/>
  <c r="T84" i="3"/>
  <c r="U33" i="3"/>
  <c r="U46" i="3"/>
  <c r="T4" i="3"/>
  <c r="U45" i="3"/>
  <c r="U81" i="3"/>
  <c r="T93" i="3"/>
  <c r="U24" i="3"/>
  <c r="T70" i="3"/>
  <c r="T39" i="3"/>
  <c r="U85" i="3"/>
  <c r="U92" i="3"/>
  <c r="U93" i="3"/>
  <c r="U21" i="3"/>
  <c r="T5" i="3"/>
  <c r="U94" i="3"/>
  <c r="T20" i="3"/>
  <c r="T48" i="3"/>
  <c r="T78" i="3"/>
  <c r="T45" i="3"/>
  <c r="U73" i="3"/>
  <c r="CT11"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0" i="45" l="1"/>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AG134" i="3" l="1"/>
  <c r="N139" i="3"/>
  <c r="AF139" i="3" s="1"/>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H138" i="3"/>
  <c r="M228" i="46"/>
  <c r="AM14" i="45"/>
  <c r="AM37" i="45"/>
  <c r="C233" i="46"/>
  <c r="DT139" i="3"/>
  <c r="K233" i="46"/>
  <c r="AF147" i="3"/>
  <c r="D139" i="3"/>
  <c r="M227" i="46"/>
  <c r="M138" i="3"/>
  <c r="AA138" i="3" s="1"/>
  <c r="AA143"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47" i="45" l="1"/>
  <c r="BN26" i="45"/>
  <c r="BN33" i="45"/>
  <c r="BN24" i="45"/>
  <c r="BN14" i="45"/>
  <c r="BN11" i="45"/>
  <c r="BN18" i="45"/>
  <c r="BN20" i="45"/>
  <c r="BN41" i="45"/>
  <c r="BN4" i="45"/>
  <c r="BN43" i="45"/>
  <c r="BN13" i="45"/>
  <c r="BN51" i="45"/>
  <c r="BN12" i="45"/>
  <c r="BN19" i="45"/>
  <c r="BN17" i="45"/>
  <c r="BN44" i="45"/>
  <c r="BN46" i="45"/>
  <c r="BN35" i="45"/>
  <c r="BN50" i="45"/>
  <c r="BN25" i="45"/>
  <c r="BN28" i="45"/>
  <c r="BN45" i="45"/>
  <c r="BN40" i="45"/>
  <c r="BN39" i="45"/>
  <c r="BN42" i="45"/>
  <c r="BN23" i="45"/>
  <c r="BN29" i="45"/>
  <c r="BN30" i="45"/>
  <c r="BN49" i="45"/>
  <c r="BN5" i="45"/>
  <c r="BN10" i="45"/>
  <c r="BN22" i="45"/>
  <c r="BN36" i="45"/>
  <c r="BN32" i="45"/>
  <c r="BN37" i="45"/>
  <c r="BN15" i="45"/>
  <c r="BN31" i="45"/>
  <c r="BN27" i="45"/>
  <c r="BN16" i="45"/>
  <c r="BN7" i="45"/>
  <c r="BN48" i="45"/>
  <c r="BN34" i="45"/>
  <c r="BN9" i="45"/>
  <c r="BN38" i="45"/>
  <c r="BN8" i="45"/>
  <c r="BN6" i="45"/>
  <c r="BN21"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<sst xmlns="http://schemas.openxmlformats.org/spreadsheetml/2006/main" count="7611" uniqueCount="1944">
  <si>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</si>
  <si>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</si>
  <si>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</si>
  <si>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</si>
  <si>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</si>
  <si>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</si>
  <si>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</si>
  <si>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</si>
  <si>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</si>
  <si>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</si>
  <si>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</si>
  <si>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</si>
  <si>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</si>
  <si>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</si>
  <si>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</si>
  <si>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</si>
  <si>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</si>
  <si>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</si>
  <si>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</si>
  <si>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</si>
  <si>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</si>
  <si>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</si>
  <si>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</si>
  <si>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</si>
  <si>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</si>
  <si>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</si>
  <si>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</si>
  <si>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</si>
  <si>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</si>
  <si>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</si>
  <si>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</si>
  <si>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</si>
  <si>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</si>
  <si>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</si>
  <si>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</si>
  <si>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</si>
  <si>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</si>
  <si>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</si>
  <si>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</si>
  <si>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</si>
  <si>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</si>
  <si>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</si>
  <si>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</si>
  <si>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</si>
  <si>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</si>
  <si>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</si>
  <si>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</si>
  <si>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</si>
  <si>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</si>
  <si>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</si>
  <si>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</si>
  <si>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</si>
  <si>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</si>
  <si>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</si>
  <si>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</si>
  <si>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</si>
  <si>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</si>
  <si>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</si>
  <si>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</si>
  <si>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</si>
  <si>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</si>
  <si>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</si>
  <si>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</si>
  <si>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</si>
  <si>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</si>
  <si>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</si>
  <si>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</si>
  <si>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</si>
  <si>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</si>
  <si>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</si>
  <si>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</si>
  <si>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</si>
  <si>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</si>
  <si>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</si>
  <si>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</si>
  <si>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</si>
  <si>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</si>
  <si>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</si>
  <si>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</si>
  <si>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</si>
  <si>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</si>
  <si>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</si>
  <si>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</si>
  <si>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</si>
  <si>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</si>
  <si>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</si>
  <si>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</si>
  <si>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</si>
  <si>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</si>
  <si>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</si>
  <si>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</si>
  <si>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</si>
  <si>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</si>
  <si>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</si>
  <si>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</si>
  <si>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</si>
  <si>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</si>
  <si>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</si>
  <si>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</si>
  <si>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</si>
  <si>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</si>
  <si>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</si>
  <si>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</si>
  <si>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</si>
  <si>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</si>
  <si>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</si>
  <si>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</si>
  <si>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</si>
  <si>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</si>
  <si>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</si>
  <si>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</si>
  <si>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</si>
  <si>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</si>
  <si>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</si>
  <si>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</si>
  <si>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</si>
  <si>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</si>
  <si>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</si>
  <si>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</si>
  <si>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</si>
  <si>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</si>
  <si>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</si>
  <si>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</si>
  <si>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</si>
  <si>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</si>
  <si>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</si>
  <si>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</si>
  <si>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</si>
  <si>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</si>
  <si>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</si>
  <si>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</si>
  <si>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</si>
  <si>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</si>
  <si>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</si>
  <si>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</si>
  <si>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</si>
  <si>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</si>
  <si>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</si>
  <si>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</si>
  <si>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</si>
  <si>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</si>
  <si>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</si>
  <si>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</si>
  <si>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</si>
  <si>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</si>
  <si>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</si>
  <si>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</si>
  <si>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</si>
  <si>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</si>
  <si>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</si>
  <si>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</si>
  <si>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</si>
  <si>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</si>
  <si>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</si>
  <si>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</si>
  <si>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</si>
  <si>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</si>
  <si>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</si>
  <si>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</si>
  <si>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</si>
  <si>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</si>
  <si>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</si>
  <si>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</si>
  <si>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</si>
  <si>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</si>
  <si>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</si>
  <si>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</si>
  <si>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</si>
  <si>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</si>
  <si>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</si>
  <si>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</si>
  <si>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</si>
  <si>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</si>
  <si>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</si>
  <si>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</si>
  <si>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</si>
  <si>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</si>
  <si>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</si>
  <si>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</si>
  <si>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</si>
  <si>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</si>
  <si>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</si>
  <si>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</si>
  <si>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</si>
  <si>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</si>
  <si>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</si>
  <si>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</si>
  <si>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</si>
  <si>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</si>
  <si>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</si>
  <si>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</si>
  <si>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</si>
  <si>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</si>
  <si>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</si>
  <si>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</si>
  <si>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</si>
  <si>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</si>
  <si>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</si>
  <si>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</si>
  <si>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</si>
  <si>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</si>
  <si>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</si>
  <si>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</si>
  <si>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</si>
  <si>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</si>
  <si>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</si>
  <si>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</si>
  <si>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</si>
  <si>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</si>
  <si>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</si>
  <si>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</si>
  <si>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</si>
  <si>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</si>
  <si>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</si>
  <si>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</si>
  <si>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</si>
  <si>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</si>
  <si>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</si>
  <si>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</si>
  <si>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</si>
  <si>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</si>
  <si>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</si>
  <si>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</si>
  <si>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</si>
  <si>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</si>
  <si>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</si>
  <si>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</si>
  <si>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</si>
  <si>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</si>
  <si>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</si>
  <si>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</si>
  <si>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</si>
  <si>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</si>
  <si>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</si>
  <si>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</si>
  <si>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</si>
  <si>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</si>
  <si>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</si>
  <si>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</si>
  <si>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</si>
  <si>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</si>
  <si>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</si>
  <si>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</si>
  <si>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</si>
  <si>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</si>
  <si>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</si>
  <si>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</si>
  <si>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</si>
  <si>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</si>
  <si>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</si>
  <si>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</si>
  <si>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</si>
  <si>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</si>
  <si>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</si>
  <si>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</si>
  <si>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</si>
  <si>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</si>
  <si>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</si>
  <si>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</si>
  <si>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</si>
  <si>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</si>
  <si>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</si>
  <si>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</si>
  <si>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</si>
  <si>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</si>
  <si>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</si>
  <si>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</si>
  <si>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</si>
  <si>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</si>
  <si>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</si>
  <si>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</si>
  <si>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</si>
  <si>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</si>
  <si>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</si>
  <si>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</si>
  <si>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</si>
  <si>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</si>
  <si>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</si>
  <si>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</si>
  <si>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</si>
  <si>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</si>
  <si>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</si>
  <si>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</si>
  <si>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</si>
  <si>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</si>
  <si>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</si>
  <si>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</si>
  <si>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</si>
  <si>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</si>
  <si>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</si>
  <si>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</si>
  <si>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</si>
  <si>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</si>
  <si>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</si>
  <si>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</si>
  <si>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</si>
  <si>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</si>
  <si>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</si>
  <si>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</si>
  <si>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</si>
  <si>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</si>
  <si>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</si>
  <si>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</si>
  <si>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</si>
  <si>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</si>
  <si>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</si>
  <si>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</si>
  <si>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</si>
  <si>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</si>
  <si>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</si>
  <si>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</si>
  <si>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</si>
  <si>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</si>
  <si>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</si>
  <si>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</si>
  <si>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</si>
  <si>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</si>
  <si>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</si>
  <si>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</si>
  <si>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</si>
  <si>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</si>
  <si>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</si>
  <si>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</si>
  <si>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</si>
  <si>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</si>
  <si>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</si>
  <si>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</si>
  <si>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</si>
  <si>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</si>
  <si>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</si>
  <si>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</si>
  <si>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</si>
  <si>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</si>
  <si>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</si>
  <si>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</si>
  <si>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</si>
  <si>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</si>
  <si>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</si>
  <si>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</si>
  <si>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</si>
  <si>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</si>
  <si>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</si>
  <si>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</si>
  <si>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</si>
  <si>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</si>
  <si>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</si>
  <si>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</si>
  <si>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</si>
  <si>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</si>
  <si>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</si>
  <si>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</si>
  <si>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</si>
  <si>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</si>
  <si>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</si>
  <si>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</si>
  <si>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</si>
  <si>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</si>
  <si>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</si>
  <si>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</si>
  <si>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</si>
  <si>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</si>
  <si>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</si>
  <si>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</si>
  <si>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</si>
  <si>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</si>
  <si>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</si>
  <si>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</si>
  <si>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</si>
  <si>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</si>
  <si>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</si>
  <si>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</si>
  <si>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</si>
  <si>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</si>
  <si>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</si>
  <si>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</si>
  <si>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</si>
  <si>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</si>
  <si>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</si>
  <si>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</si>
  <si>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</si>
  <si>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</si>
  <si>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</si>
  <si>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</si>
  <si>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</si>
  <si>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</si>
  <si>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</si>
  <si>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</si>
  <si>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</si>
  <si>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</si>
  <si>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</si>
  <si>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</si>
  <si>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</si>
  <si>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</si>
  <si>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</si>
  <si>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</si>
  <si>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</si>
  <si>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</si>
  <si>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</si>
  <si>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</si>
  <si>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</si>
  <si>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</si>
  <si>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</si>
  <si>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</si>
  <si>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</si>
  <si>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</si>
  <si>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</si>
  <si>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</si>
  <si>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</si>
  <si>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</si>
  <si>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</si>
  <si>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</si>
  <si>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</si>
  <si>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</si>
  <si>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</si>
  <si>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</si>
  <si>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</si>
  <si>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</si>
  <si>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</si>
  <si>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</si>
  <si>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</si>
  <si>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</si>
  <si>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</si>
  <si>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</si>
  <si>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</si>
  <si>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</si>
  <si>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</si>
  <si>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</si>
  <si>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</si>
  <si>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</si>
  <si>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</si>
  <si>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</si>
  <si>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</si>
  <si>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</si>
  <si>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</si>
  <si>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</si>
  <si>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</si>
  <si>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</si>
  <si>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</si>
  <si>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</si>
  <si>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</si>
  <si>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</si>
  <si>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</si>
  <si>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</si>
  <si>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</si>
  <si>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</si>
  <si>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</si>
  <si>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</si>
  <si>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</si>
  <si>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</si>
  <si>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</si>
  <si>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</si>
  <si>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</si>
  <si>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</si>
  <si>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</si>
  <si>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</si>
  <si>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</si>
  <si>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</si>
  <si>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</si>
  <si>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</si>
  <si>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</si>
  <si>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</si>
  <si>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</si>
  <si>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</si>
  <si>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</si>
  <si>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</si>
  <si>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</si>
  <si>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</si>
  <si>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</si>
  <si>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</si>
  <si>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</si>
  <si>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</si>
  <si>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</si>
  <si>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</si>
  <si>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</si>
  <si>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</si>
  <si>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</si>
  <si>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</si>
  <si>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</si>
  <si>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</si>
  <si>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</si>
  <si>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</si>
  <si>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</si>
  <si>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</si>
  <si>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</si>
  <si>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</si>
  <si>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</si>
  <si>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</si>
  <si>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</si>
  <si>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</si>
  <si>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</si>
  <si>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</si>
  <si>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</si>
  <si>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</si>
  <si>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</si>
  <si>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</si>
  <si>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</si>
  <si>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</si>
  <si>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</si>
  <si>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</si>
  <si>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</si>
  <si>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</si>
  <si>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</si>
  <si>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</si>
  <si>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</si>
  <si>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</si>
  <si>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</si>
  <si>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</si>
  <si>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</si>
  <si>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</si>
  <si>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</si>
  <si>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</si>
  <si>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</si>
  <si>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</si>
  <si>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</si>
  <si>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</si>
  <si>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</si>
  <si>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</si>
  <si>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</si>
  <si>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</si>
  <si>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</si>
  <si>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</si>
  <si>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</si>
  <si>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</si>
  <si>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</si>
  <si>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</si>
  <si>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</si>
  <si>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</si>
  <si>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</si>
  <si>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</si>
  <si>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</si>
  <si>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</si>
  <si>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</si>
  <si>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</si>
  <si>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</si>
  <si>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</si>
  <si>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</si>
  <si>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</si>
  <si>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</si>
  <si>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</si>
  <si>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</si>
  <si>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</si>
  <si>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</si>
  <si>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</si>
  <si>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</si>
  <si>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</si>
  <si>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</si>
  <si>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</si>
  <si>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</si>
  <si>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</si>
  <si>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</si>
  <si>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</si>
  <si>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</si>
  <si>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</si>
  <si>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</si>
  <si>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</si>
  <si>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</si>
  <si>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</si>
  <si>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</si>
  <si>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</si>
  <si>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</si>
  <si>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</si>
  <si>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</si>
  <si>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</si>
  <si>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</si>
  <si>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</si>
  <si>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</si>
  <si>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</si>
  <si>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</si>
  <si>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</si>
  <si>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</si>
  <si>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</si>
  <si>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</si>
  <si>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</si>
  <si>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</si>
  <si>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</si>
  <si>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</si>
  <si>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</si>
  <si>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</si>
  <si>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</si>
  <si>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</si>
  <si>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</si>
  <si>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</si>
  <si>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</si>
  <si>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</si>
  <si>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</si>
  <si>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</si>
  <si>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</si>
  <si>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</si>
  <si>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</si>
  <si>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</si>
  <si>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</si>
  <si>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</si>
  <si>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</si>
  <si>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</si>
  <si>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</si>
  <si>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</si>
  <si>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</si>
  <si>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</si>
  <si>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</si>
  <si>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</si>
  <si>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</si>
  <si>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</si>
  <si>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</si>
  <si>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</si>
  <si>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</si>
  <si>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</si>
  <si>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</si>
  <si>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</si>
  <si>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</si>
  <si>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</si>
  <si>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</si>
  <si>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</si>
  <si>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</si>
  <si>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</si>
  <si>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</si>
  <si>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</si>
  <si>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</si>
  <si>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</si>
  <si>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</si>
  <si>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</si>
  <si>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</si>
  <si>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</si>
  <si>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</si>
  <si>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</si>
  <si>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</si>
  <si>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</si>
  <si>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</si>
  <si>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</si>
  <si>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</si>
  <si>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</si>
  <si>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</si>
  <si>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</si>
  <si>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</si>
  <si>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</si>
  <si>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</si>
  <si>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</si>
  <si>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</si>
  <si>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</si>
  <si>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</si>
  <si>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</si>
  <si>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</si>
  <si>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</si>
  <si>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</si>
  <si>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</si>
  <si>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</si>
  <si>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</si>
  <si>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</si>
  <si>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</si>
  <si>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</si>
  <si>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</si>
  <si>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</si>
  <si>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</si>
  <si>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</si>
  <si>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</si>
  <si>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</si>
  <si>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</si>
  <si>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</si>
  <si>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</si>
  <si>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</si>
  <si>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</si>
  <si>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</si>
  <si>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</si>
  <si>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</si>
  <si>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</si>
  <si>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</si>
  <si>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</si>
  <si>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</si>
  <si>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</si>
  <si>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</si>
  <si>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</si>
  <si>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</si>
  <si>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</si>
  <si>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</si>
  <si>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</si>
  <si>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</si>
  <si>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</si>
  <si>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</si>
  <si>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</si>
  <si>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</si>
  <si>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</si>
  <si>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</si>
  <si>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</si>
  <si>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</si>
  <si>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</si>
  <si>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</si>
  <si>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</si>
  <si>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</si>
  <si>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</si>
  <si>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</si>
  <si>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</si>
  <si>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</si>
  <si>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</si>
  <si>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</si>
  <si>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</si>
  <si>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</si>
  <si>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</si>
  <si>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</si>
  <si>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</si>
  <si>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</si>
  <si>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</si>
  <si>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</si>
  <si>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</si>
  <si>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</si>
  <si>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</si>
  <si>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</si>
  <si>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</si>
  <si>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</si>
  <si>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</si>
  <si>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</si>
  <si>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</si>
  <si>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</si>
  <si>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</si>
  <si>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</si>
  <si>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</si>
  <si>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</si>
  <si>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</si>
  <si>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</si>
  <si>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</si>
  <si>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</si>
  <si>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</si>
  <si>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</si>
  <si>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</si>
  <si>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</si>
  <si>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</si>
  <si>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</si>
  <si>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</si>
  <si>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</si>
  <si>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</si>
  <si>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</si>
  <si>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</si>
  <si>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</si>
  <si>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</si>
  <si>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</si>
  <si>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</si>
  <si>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</si>
  <si>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</si>
  <si>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</si>
  <si>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</si>
  <si>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</si>
  <si>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</si>
  <si>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</si>
  <si>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</si>
  <si>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</si>
  <si>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</si>
  <si>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</si>
  <si>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</si>
  <si>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</si>
  <si>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</si>
  <si>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</si>
  <si>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</si>
  <si>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</si>
  <si>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</si>
  <si>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</si>
  <si>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</si>
  <si>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</si>
  <si>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</si>
  <si>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</si>
  <si>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</si>
  <si>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</si>
  <si>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</si>
  <si>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</si>
  <si>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</si>
  <si>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</si>
  <si>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</si>
  <si>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</si>
  <si>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</si>
  <si>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</si>
  <si>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</si>
  <si>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</si>
  <si>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</si>
  <si>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</si>
  <si>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</si>
  <si>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</si>
  <si>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</si>
  <si>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</si>
  <si>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</si>
  <si>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</si>
  <si>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</si>
  <si>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</si>
  <si>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</si>
  <si>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</si>
  <si>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</si>
  <si>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</si>
  <si>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</si>
  <si>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</si>
  <si>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</si>
  <si>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</si>
  <si>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</si>
  <si>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</si>
  <si>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</si>
  <si>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</si>
  <si>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</si>
  <si>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</si>
  <si>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</si>
  <si>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</si>
  <si>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</si>
  <si>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</si>
  <si>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</si>
  <si>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</si>
  <si>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</si>
  <si>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</si>
  <si>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</si>
  <si>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</si>
  <si>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</si>
  <si>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</si>
  <si>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</si>
  <si>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</si>
  <si>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</si>
  <si>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</si>
  <si>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</si>
  <si>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</si>
  <si>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</si>
  <si>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</si>
  <si>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</si>
  <si>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</si>
  <si>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</si>
  <si>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</si>
  <si>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</si>
  <si>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</si>
  <si>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</si>
  <si>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</si>
  <si>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</si>
  <si>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</si>
  <si>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</si>
  <si>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</si>
  <si>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</si>
  <si>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</si>
  <si>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</si>
  <si>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</si>
  <si>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</si>
  <si>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</si>
  <si>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</si>
  <si>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</si>
  <si>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</si>
  <si>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</si>
  <si>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</si>
  <si>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</si>
  <si>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</si>
  <si>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</si>
  <si>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</si>
  <si>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</si>
  <si>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</si>
  <si>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</si>
  <si>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</si>
  <si>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</si>
  <si>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</si>
  <si>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</si>
  <si>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</si>
  <si>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</si>
  <si>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</si>
  <si>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</si>
  <si>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</si>
  <si>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</si>
  <si>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</si>
  <si>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</si>
  <si>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</si>
  <si>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</si>
  <si>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</si>
  <si>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</si>
  <si>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</si>
  <si>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</si>
  <si>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</si>
  <si>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</si>
  <si>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</si>
  <si>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</si>
  <si>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</si>
  <si>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</si>
  <si>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</si>
  <si>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</si>
  <si>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</si>
  <si>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</si>
  <si>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</si>
  <si>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</si>
  <si>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</si>
  <si>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</si>
  <si>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</si>
  <si>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</si>
  <si>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</si>
  <si>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</si>
  <si>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</si>
  <si>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</si>
  <si>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</si>
  <si>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</si>
  <si>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</si>
  <si>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</si>
  <si>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</si>
  <si>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</si>
  <si>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</si>
  <si>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</si>
  <si>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</si>
  <si>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</si>
  <si>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</si>
  <si>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</si>
  <si>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</si>
  <si>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</si>
  <si>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</si>
  <si>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</si>
  <si>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</si>
  <si>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</si>
  <si>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</si>
  <si>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</si>
  <si>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</si>
  <si>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</si>
  <si>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</si>
  <si>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</si>
  <si>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</si>
  <si>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</si>
  <si>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</si>
  <si>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</si>
  <si>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</si>
  <si>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</si>
  <si>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</si>
  <si>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</si>
  <si>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</si>
  <si>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</si>
  <si>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</si>
  <si>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</si>
  <si>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</si>
  <si>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</si>
  <si>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</si>
  <si>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</si>
  <si>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</si>
  <si>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</si>
  <si>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</si>
  <si>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</si>
  <si>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</si>
  <si>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</si>
  <si>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</si>
  <si>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</si>
  <si>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</si>
  <si>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</si>
  <si>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</si>
  <si>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</si>
  <si>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</si>
  <si>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</si>
  <si>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</si>
  <si>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</si>
  <si>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</si>
  <si>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</si>
  <si>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</si>
  <si>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</si>
  <si>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</si>
  <si>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</si>
  <si>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</si>
  <si>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</si>
  <si>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</si>
  <si>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</si>
  <si>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</si>
  <si>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</si>
  <si>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</si>
  <si>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</si>
  <si>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</si>
  <si>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</si>
  <si>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</si>
  <si>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</si>
  <si>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</si>
  <si>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</si>
  <si>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</si>
  <si>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</si>
  <si>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</si>
  <si>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</si>
  <si>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</si>
  <si>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</si>
  <si>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</si>
  <si>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</si>
  <si>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</si>
  <si>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</si>
  <si>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</si>
  <si>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</si>
  <si>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</si>
  <si>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</si>
  <si>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</si>
  <si>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</si>
  <si>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</si>
  <si>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</si>
  <si>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</si>
  <si>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</si>
  <si>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</si>
  <si>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</si>
  <si>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</si>
  <si>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</si>
  <si>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</si>
  <si>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</si>
  <si>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</si>
  <si>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</si>
  <si>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</si>
  <si>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</si>
  <si>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</si>
  <si>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</si>
  <si>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</si>
  <si>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</si>
  <si>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</si>
  <si>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</si>
  <si>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</si>
  <si>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</si>
  <si>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</si>
  <si>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</si>
  <si>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</si>
  <si>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</si>
  <si>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</si>
  <si>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</si>
  <si>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</si>
  <si>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</si>
  <si>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</si>
  <si>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</si>
  <si>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</si>
  <si>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</si>
  <si>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</si>
  <si>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</si>
  <si>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</si>
  <si>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</si>
  <si>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</si>
  <si>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</si>
  <si>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</si>
  <si>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</si>
  <si>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</si>
  <si>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</si>
  <si>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</si>
  <si>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</si>
  <si>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</si>
  <si>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</si>
  <si>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</si>
  <si>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</si>
  <si>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</si>
  <si>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</si>
  <si>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</si>
  <si>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</si>
  <si>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</si>
  <si>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</si>
  <si>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</si>
  <si>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</si>
  <si>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</si>
  <si>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</si>
  <si>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</si>
  <si>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</si>
  <si>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</si>
  <si>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</si>
  <si>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</si>
  <si>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</si>
  <si>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</si>
  <si>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</si>
  <si>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</si>
  <si>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</si>
  <si>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</si>
  <si>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</si>
  <si>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</si>
  <si>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</si>
  <si>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</si>
  <si>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</si>
  <si>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</si>
  <si>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</si>
  <si>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</si>
  <si>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</si>
  <si>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</si>
  <si>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</si>
  <si>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</si>
  <si>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</si>
  <si>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</si>
  <si>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</si>
  <si>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</si>
  <si>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</si>
  <si>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</si>
  <si>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</si>
  <si>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</si>
  <si>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</si>
  <si>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</si>
  <si>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</si>
  <si>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</si>
  <si>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</si>
  <si>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</si>
  <si>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</si>
  <si>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</si>
  <si>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</si>
  <si>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</si>
  <si>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</si>
  <si>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</si>
  <si>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</si>
  <si>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</si>
  <si>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</si>
  <si>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</si>
  <si>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</si>
  <si>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</si>
  <si>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</si>
  <si>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</si>
  <si>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</si>
  <si>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</si>
  <si>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</si>
  <si>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</si>
  <si>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</si>
  <si>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</si>
  <si>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</si>
  <si>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</si>
  <si>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</si>
  <si>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</si>
  <si>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</si>
  <si>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</si>
  <si>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</si>
  <si>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</si>
  <si>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</si>
  <si>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</si>
  <si>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</si>
  <si>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</si>
  <si>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</si>
  <si>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</si>
  <si>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</si>
  <si>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</si>
  <si>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</si>
  <si>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</si>
  <si>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</si>
  <si>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</si>
  <si>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</si>
  <si>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</si>
  <si>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</si>
  <si>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</si>
  <si>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</si>
  <si>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</si>
  <si>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</si>
  <si>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</si>
  <si>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</si>
  <si>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</si>
  <si>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</si>
  <si>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</si>
  <si>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</si>
  <si>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</si>
  <si>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</si>
  <si>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</si>
  <si>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</si>
  <si>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</si>
  <si>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</si>
  <si>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</si>
  <si>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</si>
  <si>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</si>
  <si>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</si>
  <si>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</si>
  <si>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</si>
  <si>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</si>
  <si>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</si>
  <si>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</si>
  <si>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</si>
  <si>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</si>
  <si>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</si>
  <si>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</si>
  <si>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</si>
  <si>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</si>
  <si>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</si>
  <si>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</si>
  <si>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</si>
  <si>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</si>
  <si>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</si>
  <si>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</si>
  <si>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</si>
  <si>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</si>
  <si>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</si>
  <si>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</si>
  <si>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</si>
  <si>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</si>
  <si>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</si>
  <si>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</si>
  <si>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</si>
  <si>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</si>
  <si>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</si>
  <si>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</si>
  <si>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</si>
  <si>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</si>
  <si>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</si>
  <si>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</si>
  <si>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</si>
  <si>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</si>
  <si>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</si>
  <si>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</si>
  <si>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</si>
  <si>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</si>
  <si>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</si>
  <si>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</si>
  <si>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</si>
  <si>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</si>
  <si>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</si>
  <si>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</si>
  <si>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</si>
  <si>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</si>
  <si>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</si>
  <si>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</si>
  <si>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</si>
  <si>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</si>
  <si>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</si>
  <si>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</si>
  <si>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</si>
  <si>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</si>
  <si>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</si>
  <si>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</si>
  <si>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</si>
  <si>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</si>
  <si>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</si>
  <si>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</si>
  <si>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</si>
  <si>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</si>
  <si>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</si>
  <si>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</si>
  <si>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</si>
  <si>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</si>
  <si>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</si>
  <si>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</si>
  <si>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</si>
  <si>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</si>
  <si>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</si>
  <si>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</si>
  <si>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</si>
  <si>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</si>
  <si>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</si>
  <si>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</si>
  <si>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</si>
  <si>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</si>
  <si>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</si>
  <si>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</si>
  <si>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</si>
  <si>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</si>
  <si>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</si>
  <si>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</si>
  <si>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</si>
  <si>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</si>
  <si>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</si>
  <si>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</si>
  <si>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</si>
  <si>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</si>
  <si>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</si>
  <si>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</si>
  <si>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</si>
  <si>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</si>
  <si>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</si>
  <si>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</si>
  <si>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</si>
  <si>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</si>
  <si>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</si>
  <si>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</si>
  <si>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</si>
  <si>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</si>
  <si>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</si>
  <si>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</si>
  <si>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</si>
  <si>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</si>
  <si>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</si>
  <si>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</si>
  <si>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</si>
  <si>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</si>
  <si>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</si>
  <si>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</si>
  <si>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</si>
  <si>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</si>
  <si>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</si>
  <si>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</si>
  <si>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</si>
  <si>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</si>
  <si>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</si>
  <si>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</si>
  <si>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</si>
  <si>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</si>
  <si>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</si>
  <si>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</si>
  <si>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</si>
  <si>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</si>
  <si>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</si>
  <si>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</si>
  <si>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</si>
  <si>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</si>
  <si>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</si>
  <si>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</si>
  <si>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</si>
  <si>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</si>
  <si>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</si>
  <si>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</si>
  <si>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</si>
  <si>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</si>
  <si>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</si>
  <si>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</si>
  <si>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</si>
  <si>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</si>
  <si>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</si>
  <si>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</si>
  <si>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</si>
  <si>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</si>
  <si>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</si>
  <si>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</si>
  <si>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</si>
  <si>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</si>
  <si>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</si>
  <si>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</si>
  <si>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</si>
  <si>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</si>
  <si>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</si>
  <si>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</si>
  <si>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</si>
  <si>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</si>
  <si>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</si>
  <si>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</si>
  <si>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</si>
  <si>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</si>
  <si>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</si>
  <si>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</si>
  <si>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</si>
  <si>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</si>
  <si>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</si>
  <si>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</si>
  <si>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</si>
  <si>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</si>
  <si>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</si>
  <si>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</si>
  <si>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</si>
  <si>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</si>
  <si>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</si>
  <si>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</si>
  <si>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</si>
  <si>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</si>
  <si>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</si>
  <si>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</si>
  <si>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</si>
  <si>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</si>
  <si>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</si>
  <si>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</si>
  <si>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</si>
  <si>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</si>
  <si>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</si>
  <si>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</si>
  <si>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</si>
  <si>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</si>
  <si>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</si>
  <si>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</si>
  <si>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</si>
  <si>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</si>
  <si>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</si>
  <si>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</si>
  <si>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</si>
  <si>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</si>
  <si>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</si>
  <si>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</si>
  <si>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</si>
  <si>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</si>
  <si>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</si>
  <si>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</si>
  <si>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</si>
  <si>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</si>
  <si>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</si>
  <si>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</si>
  <si>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</si>
  <si>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</si>
  <si>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</si>
  <si>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</si>
  <si>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</si>
  <si>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</si>
  <si>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</si>
  <si>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</si>
  <si>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</si>
  <si>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</si>
  <si>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</si>
  <si>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</si>
  <si>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</si>
  <si>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</si>
  <si>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</si>
  <si>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</si>
  <si>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</si>
  <si>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</si>
  <si>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</si>
  <si>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</si>
  <si>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</si>
  <si>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</si>
  <si>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</si>
  <si>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</si>
  <si>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</si>
  <si>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</si>
  <si>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</si>
  <si>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</si>
  <si>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</si>
  <si>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</si>
  <si>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</si>
  <si>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</si>
  <si>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</si>
  <si>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</si>
  <si>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</si>
  <si>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</si>
  <si>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</si>
  <si>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</si>
  <si>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</si>
  <si>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</si>
  <si>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</si>
  <si>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</si>
  <si>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</si>
  <si>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</si>
  <si>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</si>
  <si>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</si>
  <si>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</si>
  <si>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</si>
  <si>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</si>
  <si>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</si>
  <si>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</si>
  <si>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</si>
  <si>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</si>
  <si>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</si>
  <si>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</si>
  <si>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</si>
  <si>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</si>
  <si>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</si>
  <si>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</si>
  <si>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</si>
  <si>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</si>
  <si>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</si>
  <si>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</si>
  <si>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</si>
  <si>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</si>
  <si>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</si>
  <si>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</si>
  <si>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</si>
  <si>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</si>
  <si>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</si>
  <si>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</si>
  <si>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</si>
  <si>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</si>
  <si>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</si>
  <si>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</si>
  <si>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</si>
  <si>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</si>
  <si>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</si>
  <si>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</si>
  <si>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</si>
  <si>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</si>
  <si>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</si>
  <si>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</si>
  <si>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</si>
  <si>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</si>
  <si>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</si>
  <si>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</si>
  <si>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</si>
  <si>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</si>
  <si>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</si>
  <si>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</si>
  <si>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</si>
  <si>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</si>
  <si>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</si>
  <si>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</si>
  <si>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</si>
  <si>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</si>
  <si>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</si>
  <si>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</si>
  <si>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</si>
  <si>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</si>
  <si>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</si>
  <si>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</si>
  <si>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</si>
  <si>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</si>
  <si>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</si>
  <si>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</si>
  <si>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</si>
  <si>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</si>
  <si>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</si>
  <si>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</si>
  <si>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</si>
  <si>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</si>
  <si>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</si>
  <si>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</si>
  <si>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</si>
  <si>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</si>
  <si>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</si>
  <si>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</si>
  <si>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</si>
  <si>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</si>
  <si>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</si>
  <si>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</si>
  <si>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</si>
  <si>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</si>
  <si>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</si>
  <si>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</si>
  <si>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</si>
  <si>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</si>
  <si>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</si>
  <si>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</si>
  <si>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</si>
  <si>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</si>
  <si>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</si>
  <si>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</si>
  <si>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</si>
  <si>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</si>
  <si>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</si>
  <si>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</si>
  <si>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</si>
  <si>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</si>
  <si>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</si>
  <si>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</si>
  <si>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</si>
  <si>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</si>
  <si>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</si>
  <si>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</si>
  <si>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</si>
  <si>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</si>
  <si>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</si>
  <si>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</si>
  <si>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</si>
  <si>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</si>
  <si>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</si>
  <si>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</si>
  <si>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</si>
  <si>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</si>
  <si>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</si>
  <si>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</si>
  <si>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</si>
  <si>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</si>
  <si>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</si>
  <si>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</si>
  <si>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</si>
  <si>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</si>
  <si>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</si>
  <si>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</si>
  <si>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</si>
  <si>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</si>
  <si>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</si>
  <si>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</si>
  <si>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</si>
  <si>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</si>
  <si>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</si>
  <si>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</si>
  <si>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</si>
  <si>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</si>
  <si>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</si>
  <si>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</si>
  <si>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</si>
  <si>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</si>
  <si>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</si>
  <si>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</si>
  <si>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</si>
  <si>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</si>
  <si>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</si>
  <si>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</si>
  <si>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</si>
  <si>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</si>
  <si>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</si>
  <si>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</si>
  <si>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</si>
  <si>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</si>
  <si>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</si>
  <si>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</si>
  <si>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</si>
  <si>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</si>
  <si>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</si>
  <si>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</si>
  <si>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</si>
  <si>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</si>
  <si>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</si>
  <si>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</si>
  <si>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</si>
  <si>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</si>
  <si>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</si>
  <si>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</si>
  <si>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</si>
  <si>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</si>
  <si>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</si>
  <si>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</si>
  <si>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</si>
  <si>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</si>
  <si>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</si>
  <si>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</si>
  <si>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</si>
  <si>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</si>
  <si>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</si>
  <si>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</si>
  <si>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</si>
  <si>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</si>
  <si>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</si>
  <si>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</si>
  <si>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</si>
  <si>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</si>
  <si>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</si>
  <si>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</si>
  <si>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</si>
  <si>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</si>
  <si>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</si>
  <si>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</si>
  <si>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</si>
  <si>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</si>
  <si>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</si>
  <si>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</si>
  <si>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</si>
  <si>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</si>
  <si>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</si>
  <si>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</si>
  <si>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</si>
  <si>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</si>
  <si>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</si>
  <si>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</si>
  <si>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</si>
  <si>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</si>
  <si>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</si>
  <si>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</si>
  <si>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</si>
  <si>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</si>
  <si>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</si>
  <si>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</si>
  <si>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</si>
  <si>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</si>
  <si>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</si>
  <si>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</si>
  <si>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</si>
  <si>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</si>
  <si>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</si>
  <si>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</si>
  <si>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</si>
  <si>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</si>
  <si>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</si>
  <si>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</si>
  <si>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</si>
  <si>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</si>
  <si>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</si>
  <si>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</si>
  <si>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</si>
  <si>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</si>
  <si>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</si>
  <si>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</si>
  <si>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</si>
  <si>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</si>
  <si>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</si>
  <si>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</si>
  <si>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</si>
  <si>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</si>
  <si>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</si>
  <si>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</si>
  <si>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</si>
  <si>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</si>
  <si>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</si>
  <si>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</si>
  <si>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</si>
  <si>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</si>
  <si>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</si>
  <si>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</si>
  <si>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</si>
  <si>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</si>
  <si>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</si>
  <si>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</si>
  <si>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</si>
  <si>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</si>
  <si>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</si>
  <si>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</si>
  <si>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</si>
  <si>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</si>
  <si>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</si>
  <si>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</si>
  <si>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</si>
  <si>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</si>
  <si>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</si>
  <si>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</si>
  <si>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</si>
  <si>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</si>
  <si>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</si>
  <si>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</si>
  <si>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</si>
  <si>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</si>
  <si>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</si>
  <si>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</si>
  <si>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</si>
  <si>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</si>
  <si>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</si>
  <si>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</si>
  <si>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</si>
  <si>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</si>
  <si>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</si>
  <si>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</si>
  <si>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</si>
  <si>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</si>
  <si>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</si>
  <si>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</si>
  <si>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</si>
  <si>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</si>
  <si>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</si>
  <si>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</si>
  <si>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</si>
  <si>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</si>
  <si>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</si>
  <si>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</si>
  <si>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</si>
  <si>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</si>
  <si>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</si>
  <si>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</si>
  <si>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</si>
  <si>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</si>
  <si>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</si>
  <si>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</si>
  <si>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</si>
  <si>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</si>
  <si>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</si>
  <si>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</si>
  <si>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</si>
  <si>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</si>
  <si>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</si>
  <si>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</si>
  <si>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</si>
  <si>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</si>
  <si>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</si>
  <si>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</si>
  <si>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</si>
  <si>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</si>
  <si>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</si>
  <si>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</si>
  <si>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</si>
  <si>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</si>
  <si>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</si>
  <si>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</si>
  <si>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</si>
  <si>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</si>
  <si>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</si>
  <si>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</si>
  <si>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</si>
  <si>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</si>
  <si>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</si>
  <si>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</si>
  <si>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</si>
  <si>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</si>
  <si>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</si>
  <si>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</si>
  <si>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</si>
  <si>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</si>
  <si>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</si>
  <si>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</si>
  <si>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</si>
  <si>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</si>
  <si>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</si>
  <si>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</si>
  <si>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</si>
  <si>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</si>
  <si>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</si>
  <si>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</si>
  <si>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</si>
  <si>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</si>
  <si>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</si>
  <si>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</si>
  <si>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</si>
  <si>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</si>
  <si>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</si>
  <si>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</si>
  <si>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</si>
  <si>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</si>
  <si>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</si>
  <si>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</si>
  <si>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</si>
  <si>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</si>
  <si>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</si>
  <si>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</si>
  <si>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</si>
  <si>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</si>
  <si>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</si>
  <si>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</si>
  <si>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</si>
  <si>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</si>
  <si>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</si>
  <si>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</si>
  <si>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</si>
  <si>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</si>
  <si>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</si>
  <si>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</si>
  <si>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</si>
  <si>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</si>
  <si>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</si>
  <si>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</si>
  <si>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</si>
  <si>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</si>
  <si>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</si>
  <si>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</si>
  <si>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</si>
  <si>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</si>
  <si>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</si>
  <si>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</si>
  <si>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</si>
  <si>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</si>
  <si>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</si>
  <si>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</si>
  <si>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</si>
  <si>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</si>
  <si>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</si>
  <si>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</si>
  <si>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</si>
  <si>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</si>
  <si>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</si>
  <si>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</si>
  <si>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</si>
  <si>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</si>
  <si>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</si>
  <si>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</si>
  <si>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</si>
  <si>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</si>
  <si>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</si>
  <si>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</si>
  <si>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</si>
  <si>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</si>
  <si>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</si>
  <si>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</si>
  <si>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</si>
  <si>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</si>
  <si>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</si>
  <si>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</si>
  <si>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</si>
  <si>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</si>
  <si>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</si>
  <si>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</si>
  <si>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</si>
  <si>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</si>
  <si>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</si>
  <si>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</si>
  <si>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</si>
  <si>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</si>
  <si>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</si>
  <si>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</si>
  <si>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</si>
  <si>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</si>
  <si>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</si>
  <si>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</si>
  <si>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</si>
  <si>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</si>
  <si>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</si>
  <si>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</si>
  <si>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</si>
  <si>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</si>
  <si>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</si>
  <si>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</si>
  <si>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</si>
  <si>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</si>
  <si>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</si>
  <si>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</si>
  <si>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</si>
  <si>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</si>
  <si>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</si>
  <si>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</si>
  <si>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</si>
  <si>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</si>
  <si>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</si>
  <si>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</si>
  <si>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</si>
  <si>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</si>
  <si>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</si>
  <si>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</si>
  <si>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</si>
  <si>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</si>
  <si>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</si>
  <si>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</si>
  <si>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</si>
  <si>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</si>
  <si>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</si>
  <si>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</si>
  <si>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</si>
  <si>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</si>
  <si>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</si>
  <si>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</si>
  <si>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</si>
  <si>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</si>
  <si>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</si>
  <si>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</si>
  <si>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</si>
  <si>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</si>
  <si>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</si>
  <si>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</si>
  <si>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</si>
  <si>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</si>
  <si>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</si>
  <si>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</si>
  <si>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</si>
  <si>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</si>
  <si>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</si>
  <si>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</si>
  <si>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</si>
  <si>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</si>
  <si>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</si>
  <si>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</si>
  <si>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</si>
  <si>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</si>
  <si>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</si>
  <si>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</si>
  <si>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</si>
  <si>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</si>
  <si>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</si>
  <si>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</si>
  <si>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</si>
  <si>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</si>
  <si>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</si>
  <si>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</si>
  <si>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</si>
  <si>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</si>
  <si>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</si>
  <si>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</si>
  <si>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</si>
  <si>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</si>
  <si>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</si>
  <si>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</si>
  <si>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</si>
  <si>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</si>
  <si>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</si>
  <si>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</si>
  <si>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</si>
  <si>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</si>
  <si>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</si>
  <si>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</si>
  <si>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</si>
  <si>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</si>
  <si>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</si>
  <si>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</si>
  <si>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</si>
  <si>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</si>
  <si>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</si>
  <si>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</si>
  <si>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</si>
  <si>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</si>
  <si>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</si>
  <si>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</si>
  <si>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</si>
  <si>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</si>
  <si>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</si>
  <si>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</si>
  <si>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</si>
  <si>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</si>
  <si>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</si>
  <si>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</si>
  <si>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</si>
  <si>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</si>
  <si>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</si>
  <si>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</si>
  <si>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</si>
  <si>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</si>
  <si>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</si>
  <si>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</si>
  <si>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</si>
  <si>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</si>
  <si>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</si>
  <si>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</si>
  <si>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</si>
  <si>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</si>
  <si>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</si>
  <si>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</si>
  <si>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</si>
  <si>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</si>
  <si>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</si>
  <si>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</si>
  <si>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</si>
  <si>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</si>
  <si>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</si>
  <si>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</si>
  <si>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</si>
  <si>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</si>
  <si>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</si>
  <si>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Harry Kane</t>
  </si>
  <si>
    <t>Mbappe</t>
  </si>
  <si>
    <t>Dembele</t>
  </si>
  <si>
    <t>Lamine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</si>
</sst>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ercent"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65"/>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defaultColWidth="10.81640625" defaultRowHeight="14.5"/>
  <cols>
    <col min="1" max="1" width="3.81640625" customWidth="1"/>
    <col min="2" max="2" width="6.81640625" customWidth="1"/>
    <col min="3" max="3" width="25.81640625" customWidth="1"/>
    <col min="4" max="4" width="5.81640625" customWidth="1"/>
    <col min="5" max="9" width="10.81640625" customWidth="1"/>
    <col min="10" max="10" width="5.81640625" customWidth="1"/>
    <col min="11" max="11" width="25.81640625" customWidth="1"/>
    <col min="12" max="12" width="15.81640625" customWidth="1"/>
    <col min="13" max="13" width="10.453125" customWidth="1"/>
    <col min="14" max="15" width="10.81640625" customWidth="1"/>
    <col min="16" max="16" width="12.1796875" customWidth="1"/>
    <col min="17" max="17" width="6.1796875" customWidth="1"/>
    <col min="18" max="16380" width="10.8164062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5" customHeight="1">
      <c r="A3" s="390"/>
      <c r="B3" s="844" t="str">
        <f>Idiomas!D8</f>
        <v>XXIII Mundial USA/MEX/CAN 2026</v>
      </c>
      <c r="C3" s="844"/>
      <c r="D3" s="844"/>
      <c r="E3" s="844"/>
      <c r="F3" s="844"/>
      <c r="G3" s="844"/>
      <c r="H3" s="844"/>
      <c r="I3" s="844"/>
      <c r="J3" s="844"/>
      <c r="K3" s="844"/>
      <c r="L3" s="844"/>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49999999999999"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49999999999999"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49999999999999"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49999999999999"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49999999999999"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c r="A16" s="390"/>
      <c r="B16" s="390"/>
      <c r="C16" s="390"/>
      <c r="D16" s="390"/>
      <c r="E16" s="842" t="str">
        <f>HYPERLINK(Idiomas!D10,Idiomas!D5)</f>
        <v>Esta versión es para un maximo de 5 participantes. Puedes descargar versiones para más participantes desde el enlace de abajo</v>
      </c>
      <c r="F16" s="843"/>
      <c r="G16" s="843"/>
      <c r="H16" s="843"/>
      <c r="I16" s="843"/>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c r="A17" s="390"/>
      <c r="B17" s="390"/>
      <c r="C17" s="390"/>
      <c r="D17" s="390"/>
      <c r="E17" s="839" t="str">
        <f>HYPERLINK(Idiomas!D10,Idiomas!D9)</f>
        <v>Versiones para más participantes</v>
      </c>
      <c r="F17" s="840"/>
      <c r="G17" s="840"/>
      <c r="H17" s="840"/>
      <c r="I17" s="841"/>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49999999999999"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845"/>
      <c r="C24" s="846"/>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26" zoomScaleNormal="100" workbookViewId="0">
      <selection activeCell="AA159" sqref="AA159"/>
    </sheetView>
  </sheetViews>
  <sheetFormatPr defaultColWidth="0" defaultRowHeight="14.5"/>
  <cols>
    <col min="1" max="2" width="10.81640625" style="5" hidden="1" customWidth="1"/>
    <col min="3" max="3" width="2.1796875" style="9" hidden="1" customWidth="1"/>
    <col min="4" max="10" width="8.81640625" style="9" hidden="1" customWidth="1"/>
    <col min="11" max="11" width="12.81640625" style="9" hidden="1" customWidth="1"/>
    <col min="12" max="21" width="8.81640625" style="9" hidden="1" customWidth="1"/>
    <col min="22" max="22" width="3.453125" customWidth="1"/>
    <col min="23" max="23" width="6.7265625" customWidth="1"/>
    <col min="24" max="24" width="12.81640625" customWidth="1"/>
    <col min="25" max="25" width="6.81640625" customWidth="1"/>
    <col min="26" max="26" width="4.453125" customWidth="1"/>
    <col min="27" max="27" width="20.81640625" customWidth="1"/>
    <col min="28" max="28" width="3.81640625" customWidth="1"/>
    <col min="29" max="30" width="5.26953125" customWidth="1"/>
    <col min="31" max="31" width="3.81640625" customWidth="1"/>
    <col min="32" max="32" width="20.81640625" customWidth="1"/>
    <col min="33" max="33" width="3.453125" customWidth="1"/>
    <col min="34" max="34" width="3.81640625" style="21" customWidth="1"/>
    <col min="35" max="35" width="3.26953125" style="21" customWidth="1"/>
    <col min="36" max="36" width="4.26953125" customWidth="1"/>
    <col min="37" max="37" width="3.26953125" customWidth="1"/>
    <col min="38" max="38" width="20.81640625" customWidth="1"/>
    <col min="39" max="39" width="5.81640625" customWidth="1"/>
    <col min="40" max="43" width="4.26953125" customWidth="1"/>
    <col min="44" max="45" width="5.453125" customWidth="1"/>
    <col min="46" max="46" width="6" customWidth="1"/>
    <col min="47" max="47" width="3.26953125" style="23" customWidth="1"/>
    <col min="48" max="48" width="18.453125" style="24" customWidth="1"/>
    <col min="49" max="49" width="3.453125" style="6" customWidth="1"/>
    <col min="50" max="50" width="3.453125" style="2" customWidth="1"/>
    <col min="51" max="51" width="17" style="10" customWidth="1"/>
    <col min="52" max="52" width="15.81640625" style="6" customWidth="1"/>
    <col min="53" max="53" width="3" customWidth="1"/>
    <col min="54" max="54" width="10.81640625" style="5" hidden="1" customWidth="1"/>
    <col min="55" max="55" width="6" style="5" hidden="1" customWidth="1"/>
    <col min="56" max="56" width="17" style="5" hidden="1" customWidth="1"/>
    <col min="57" max="57" width="3.453125" style="5" hidden="1" customWidth="1"/>
    <col min="58" max="58" width="2.1796875" style="5" hidden="1" customWidth="1"/>
    <col min="59" max="59" width="7.81640625" style="5" hidden="1" customWidth="1"/>
    <col min="60" max="61" width="2.1796875" style="5" hidden="1" customWidth="1"/>
    <col min="62" max="63" width="4.1796875" style="5" hidden="1" customWidth="1"/>
    <col min="64" max="64" width="3.26953125" style="5" hidden="1" customWidth="1"/>
    <col min="65" max="66" width="5.7265625" style="5" hidden="1" customWidth="1"/>
    <col min="67" max="67" width="7" style="5" hidden="1" customWidth="1"/>
    <col min="68" max="68" width="4.26953125" style="5" hidden="1" customWidth="1"/>
    <col min="69" max="69" width="7.1796875" style="5" hidden="1" customWidth="1"/>
    <col min="70" max="71" width="7.26953125" style="5" hidden="1" customWidth="1"/>
    <col min="72" max="100" width="8" style="5" hidden="1" customWidth="1"/>
    <col min="101" max="101" width="4.1796875" style="5" hidden="1" customWidth="1"/>
    <col min="102" max="102" width="7.26953125" style="5" hidden="1" customWidth="1"/>
    <col min="103" max="103" width="10.81640625" style="5" hidden="1" customWidth="1"/>
    <col min="104" max="104" width="3.1796875" style="5" hidden="1" customWidth="1"/>
    <col min="105" max="105" width="8.7265625" style="5" hidden="1" customWidth="1"/>
    <col min="106" max="106" width="8" style="5" hidden="1" customWidth="1"/>
    <col min="107" max="107" width="15.81640625" style="5" hidden="1" customWidth="1"/>
    <col min="108" max="108" width="10.81640625" style="5" hidden="1" customWidth="1"/>
    <col min="109" max="109" width="2.7265625" style="5" hidden="1" customWidth="1"/>
    <col min="110" max="126" width="10.81640625" style="5" hidden="1" customWidth="1"/>
    <col min="127" max="127" width="10.81640625" style="1" hidden="1" customWidth="1"/>
    <col min="128" max="16384" width="10.8164062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26" t="str">
        <f>Idiomas!D8</f>
        <v>XXIII Mundial USA/MEX/CAN 2026</v>
      </c>
      <c r="X1" s="826"/>
      <c r="Y1" s="826"/>
      <c r="Z1" s="826"/>
      <c r="AA1" s="826"/>
      <c r="AB1" s="826"/>
      <c r="AC1" s="826"/>
      <c r="AD1" s="826"/>
      <c r="AE1" s="826"/>
      <c r="AF1" s="826"/>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22" t="s">
        <v>0</v>
      </c>
      <c r="X4" s="195">
        <f ca="1">Horarios!C4</f>
        <v>46184.541666666664</v>
      </c>
      <c r="Y4" s="196">
        <f ca="1">Horarios!C4</f>
        <v>46184.541666666664</v>
      </c>
      <c r="Z4" s="197" t="str">
        <f>Idiomas!D63</f>
        <v>J1</v>
      </c>
      <c r="AA4" s="198" t="str">
        <f ca="1">+A5</f>
        <v>México</v>
      </c>
      <c r="AB4" s="488" t="e" cm="1" vm="1">
        <f t="array" aca="1" ref="AB4" ca="1">Ver_flag_local</f>
        <v>#VALUE!</v>
      </c>
      <c r="AC4" s="199">
        <v>2</v>
      </c>
      <c r="AD4" s="200">
        <v>1</v>
      </c>
      <c r="AE4" s="491" t="e" cm="1" vm="2">
        <f t="array" aca="1" ref="AE4" ca="1">Ver_flag_visit</f>
        <v>#VALUE!</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49999999999999" customHeight="1">
      <c r="A5" s="757" t="str">
        <f ca="1">+Equipos!B2</f>
        <v>México</v>
      </c>
      <c r="B5" s="754"/>
      <c r="C5" s="754"/>
      <c r="D5" s="756" t="str">
        <f t="shared" si="0"/>
        <v>Empate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22"/>
      <c r="X5" s="195">
        <f ca="1">Horarios!C5</f>
        <v>46184.833333333328</v>
      </c>
      <c r="Y5" s="196">
        <f ca="1">Horarios!C5</f>
        <v>46184.833333333328</v>
      </c>
      <c r="Z5" s="197" t="str">
        <f>$Z$4</f>
        <v>J1</v>
      </c>
      <c r="AA5" s="198" t="str">
        <f ca="1">A7</f>
        <v>Corea del Sur</v>
      </c>
      <c r="AB5" s="488" t="e" cm="1" vm="3">
        <f t="array" aca="1" ref="AB5" ca="1">Ver_flag_local</f>
        <v>#VALUE!</v>
      </c>
      <c r="AC5" s="199">
        <v>1</v>
      </c>
      <c r="AD5" s="200">
        <v>1</v>
      </c>
      <c r="AE5" s="491" t="e" cm="1" vm="4">
        <f t="array" aca="1" ref="AE5" ca="1">Ver_flag_visit</f>
        <v>#VALUE!</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49999999999999"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22"/>
      <c r="X6" s="195">
        <f ca="1">Horarios!C6</f>
        <v>46191.416666666664</v>
      </c>
      <c r="Y6" s="196">
        <f ca="1">Horarios!C6</f>
        <v>46191.416666666664</v>
      </c>
      <c r="Z6" s="197" t="str">
        <f>Idiomas!D64</f>
        <v>J2</v>
      </c>
      <c r="AA6" s="198" t="str">
        <f ca="1">A8</f>
        <v>República Checa</v>
      </c>
      <c r="AB6" s="488" t="e" cm="1" vm="4">
        <f t="array" aca="1" ref="AB6" ca="1">Ver_flag_local</f>
        <v>#VALUE!</v>
      </c>
      <c r="AC6" s="199">
        <v>1</v>
      </c>
      <c r="AD6" s="200">
        <v>0</v>
      </c>
      <c r="AE6" s="491" t="e" cm="1" vm="2">
        <f t="array" aca="1" ref="AE6" ca="1">Ver_flag_visit</f>
        <v>#VALUE!</v>
      </c>
      <c r="AF6" s="201" t="str">
        <f ca="1">A6</f>
        <v>Sudáfrica</v>
      </c>
      <c r="AG6" s="421">
        <f t="shared" si="13"/>
        <v>1</v>
      </c>
      <c r="AH6" s="202">
        <v>25</v>
      </c>
      <c r="AI6" s="19" t="str">
        <f>AJ6&amp;$B$4</f>
        <v>1A</v>
      </c>
      <c r="AJ6" s="217">
        <v>1</v>
      </c>
      <c r="AK6" s="498" t="e" cm="1" vm="1">
        <f t="array" aca="1" ref="AK6" ca="1">Ver_flag_visit</f>
        <v>#VALUE!</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3</v>
      </c>
      <c r="AT6" s="221">
        <f t="shared" ca="1" si="16"/>
        <v>2</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3</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49999999999999" customHeight="1">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22"/>
      <c r="X7" s="195">
        <f ca="1">Horarios!C7</f>
        <v>46191.791666666664</v>
      </c>
      <c r="Y7" s="196">
        <f ca="1">Horarios!C7</f>
        <v>46191.791666666664</v>
      </c>
      <c r="Z7" s="197" t="str">
        <f>$Z$6</f>
        <v>J2</v>
      </c>
      <c r="AA7" s="198" t="str">
        <f ca="1">A5</f>
        <v>México</v>
      </c>
      <c r="AB7" s="488" t="e" cm="1" vm="1">
        <f t="array" aca="1" ref="AB7" ca="1">Ver_flag_local</f>
        <v>#VALUE!</v>
      </c>
      <c r="AC7" s="199">
        <v>2</v>
      </c>
      <c r="AD7" s="200">
        <v>1</v>
      </c>
      <c r="AE7" s="491" t="e" cm="1" vm="3">
        <f t="array" aca="1" ref="AE7" ca="1">Ver_flag_visit</f>
        <v>#VALUE!</v>
      </c>
      <c r="AF7" s="201" t="str">
        <f ca="1">A7</f>
        <v>Corea del Sur</v>
      </c>
      <c r="AG7" s="421">
        <f t="shared" si="13"/>
        <v>1</v>
      </c>
      <c r="AH7" s="202">
        <v>28</v>
      </c>
      <c r="AI7" s="19" t="str">
        <f>AJ7&amp;$B$4</f>
        <v>2A</v>
      </c>
      <c r="AJ7" s="227">
        <v>2</v>
      </c>
      <c r="AK7" s="499" t="e" cm="1" vm="4">
        <f t="array" aca="1" ref="AK7" ca="1">Ver_flag_visit</f>
        <v>#VALUE!</v>
      </c>
      <c r="AL7" s="228" t="str">
        <f ca="1">IFERROR(INDEX($BD$6:$BD$53,MATCH(AI7,$BN$6:$BN$53,0)),"")</f>
        <v>República Checa</v>
      </c>
      <c r="AM7" s="229">
        <f t="shared" ca="1" si="16"/>
        <v>5</v>
      </c>
      <c r="AN7" s="230">
        <f t="shared" ca="1" si="16"/>
        <v>3</v>
      </c>
      <c r="AO7" s="230">
        <f t="shared" ca="1" si="16"/>
        <v>1</v>
      </c>
      <c r="AP7" s="230">
        <f t="shared" ca="1" si="16"/>
        <v>2</v>
      </c>
      <c r="AQ7" s="230">
        <f t="shared" ca="1" si="16"/>
        <v>0</v>
      </c>
      <c r="AR7" s="230">
        <f t="shared" ca="1" si="16"/>
        <v>3</v>
      </c>
      <c r="AS7" s="230">
        <f t="shared" ca="1" si="16"/>
        <v>2</v>
      </c>
      <c r="AT7" s="231">
        <f t="shared" ca="1" si="16"/>
        <v>1</v>
      </c>
      <c r="AU7" s="428">
        <f ca="1">INDEX($DL$6:$DL$53,MATCH(AI7,$DP$6:$DP$53,0))</f>
        <v>1</v>
      </c>
      <c r="AV7" s="223" t="str">
        <f ca="1">INDEX($BD$6:$BD$53,MATCH(AI7,$BM$6:$BM$53,0))</f>
        <v>República Checa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1</v>
      </c>
      <c r="BK7" s="760">
        <f t="shared" ca="1" si="21"/>
        <v>4</v>
      </c>
      <c r="BL7" s="760">
        <f t="shared" ref="BL7:BL53" ca="1" si="27">+BJ7-BK7</f>
        <v>-3</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República Checa</v>
      </c>
      <c r="DR7" s="756"/>
      <c r="DS7" s="756"/>
      <c r="DT7" s="756" t="str">
        <f t="shared" ca="1" si="15"/>
        <v>México-Corea del Sur</v>
      </c>
      <c r="DU7" s="756"/>
      <c r="DV7" s="756"/>
      <c r="DW7" s="8"/>
    </row>
    <row r="8" spans="1:127" ht="17.149999999999999" customHeight="1">
      <c r="A8" s="757" t="str">
        <f ca="1">+Equipos!B5</f>
        <v>República Checa</v>
      </c>
      <c r="B8" s="754"/>
      <c r="C8" s="756"/>
      <c r="D8" s="756" t="str">
        <f t="shared" si="0"/>
        <v>Empate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22"/>
      <c r="X8" s="195">
        <f ca="1">Horarios!C8</f>
        <v>46197.791666666664</v>
      </c>
      <c r="Y8" s="196">
        <f ca="1">Horarios!C8</f>
        <v>46197.791666666664</v>
      </c>
      <c r="Z8" s="197" t="str">
        <f>Idiomas!D65</f>
        <v>J3</v>
      </c>
      <c r="AA8" s="198" t="str">
        <f ca="1">A8</f>
        <v>República Checa</v>
      </c>
      <c r="AB8" s="488" t="e" cm="1" vm="4">
        <f t="array" aca="1" ref="AB8" ca="1">Ver_flag_local</f>
        <v>#VALUE!</v>
      </c>
      <c r="AC8" s="199">
        <v>1</v>
      </c>
      <c r="AD8" s="200">
        <v>1</v>
      </c>
      <c r="AE8" s="491" t="e" cm="1" vm="1">
        <f t="array" aca="1" ref="AE8" ca="1">Ver_flag_visit</f>
        <v>#VALUE!</v>
      </c>
      <c r="AF8" s="201" t="str">
        <f ca="1">A5</f>
        <v>México</v>
      </c>
      <c r="AG8" s="421">
        <f t="shared" si="13"/>
        <v>1</v>
      </c>
      <c r="AH8" s="202">
        <v>53</v>
      </c>
      <c r="AI8" s="19" t="str">
        <f>AJ8&amp;$B$4</f>
        <v>3A</v>
      </c>
      <c r="AJ8" s="227">
        <v>3</v>
      </c>
      <c r="AK8" s="499" t="e" cm="1" vm="3">
        <f t="array" aca="1" ref="AK8" ca="1">Ver_flag_visit</f>
        <v>#VALUE!</v>
      </c>
      <c r="AL8" s="228" t="str">
        <f ca="1">IFERROR(INDEX($BD$6:$BD$53,MATCH(AI8,$BN$6:$BN$53,0)),"")</f>
        <v>Corea del Sur</v>
      </c>
      <c r="AM8" s="229">
        <f t="shared" ca="1" si="16"/>
        <v>4</v>
      </c>
      <c r="AN8" s="230">
        <f t="shared" ca="1" si="16"/>
        <v>3</v>
      </c>
      <c r="AO8" s="230">
        <f t="shared" ca="1" si="16"/>
        <v>1</v>
      </c>
      <c r="AP8" s="230">
        <f t="shared" ca="1" si="16"/>
        <v>1</v>
      </c>
      <c r="AQ8" s="230">
        <f t="shared" ca="1" si="16"/>
        <v>1</v>
      </c>
      <c r="AR8" s="230">
        <f t="shared" ca="1" si="16"/>
        <v>3</v>
      </c>
      <c r="AS8" s="230">
        <f t="shared" ca="1" si="16"/>
        <v>3</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4</v>
      </c>
      <c r="BF8" s="760">
        <f t="shared" ca="1" si="26"/>
        <v>3</v>
      </c>
      <c r="BG8" s="760">
        <f t="shared" ca="1" si="17"/>
        <v>1</v>
      </c>
      <c r="BH8" s="760">
        <f t="shared" ca="1" si="18"/>
        <v>1</v>
      </c>
      <c r="BI8" s="760">
        <f t="shared" ca="1" si="19"/>
        <v>1</v>
      </c>
      <c r="BJ8" s="760">
        <f t="shared" ca="1" si="20"/>
        <v>3</v>
      </c>
      <c r="BK8" s="760">
        <f t="shared" ca="1" si="21"/>
        <v>3</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4</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23"/>
      <c r="X9" s="234">
        <f ca="1">Horarios!C9</f>
        <v>46197.791666666664</v>
      </c>
      <c r="Y9" s="235">
        <f ca="1">Horarios!C9</f>
        <v>46197.791666666664</v>
      </c>
      <c r="Z9" s="236" t="str">
        <f>$Z$8</f>
        <v>J3</v>
      </c>
      <c r="AA9" s="237" t="str">
        <f ca="1">A6</f>
        <v>Sudáfrica</v>
      </c>
      <c r="AB9" s="489" t="e" cm="1" vm="2">
        <f t="array" aca="1" ref="AB9" ca="1">Ver_flag_local</f>
        <v>#VALUE!</v>
      </c>
      <c r="AC9" s="238">
        <v>0</v>
      </c>
      <c r="AD9" s="239">
        <v>1</v>
      </c>
      <c r="AE9" s="492" t="e" cm="1" vm="3">
        <f t="array" aca="1" ref="AE9" ca="1">Ver_flag_visit</f>
        <v>#VALUE!</v>
      </c>
      <c r="AF9" s="240" t="str">
        <f ca="1">A7</f>
        <v>Corea del Sur</v>
      </c>
      <c r="AG9" s="421">
        <f t="shared" si="13"/>
        <v>1</v>
      </c>
      <c r="AH9" s="202">
        <v>54</v>
      </c>
      <c r="AI9" s="19" t="str">
        <f>AJ9&amp;$B$4</f>
        <v>4A</v>
      </c>
      <c r="AJ9" s="241">
        <v>4</v>
      </c>
      <c r="AK9" s="500" t="e" cm="1" vm="2">
        <f t="array" aca="1" ref="AK9" ca="1">Ver_flag_visit</f>
        <v>#VALUE!</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1</v>
      </c>
      <c r="AS9" s="244">
        <f t="shared" ca="1" si="16"/>
        <v>4</v>
      </c>
      <c r="AT9" s="245">
        <f t="shared" ca="1" si="16"/>
        <v>-3</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5</v>
      </c>
      <c r="BF9" s="760">
        <f t="shared" ca="1" si="26"/>
        <v>3</v>
      </c>
      <c r="BG9" s="760">
        <f t="shared" ca="1" si="17"/>
        <v>1</v>
      </c>
      <c r="BH9" s="760">
        <f t="shared" ca="1" si="18"/>
        <v>2</v>
      </c>
      <c r="BI9" s="760">
        <f t="shared" ca="1" si="19"/>
        <v>0</v>
      </c>
      <c r="BJ9" s="760">
        <f t="shared" ca="1" si="20"/>
        <v>3</v>
      </c>
      <c r="BK9" s="760">
        <f t="shared" ca="1" si="21"/>
        <v>2</v>
      </c>
      <c r="BL9" s="760">
        <f t="shared" ca="1" si="27"/>
        <v>1</v>
      </c>
      <c r="BM9" s="760" t="str">
        <f t="shared" ca="1" si="22"/>
        <v>2A</v>
      </c>
      <c r="BN9" s="760" t="str">
        <f t="shared" ca="1" si="23"/>
        <v>2A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5</v>
      </c>
      <c r="BS9" s="769">
        <f ca="1">BP9+COUNTIFS($BQ$6:$BQ$53,BQ9,$BR$6:BR$53,"&gt;"&amp;BR9,$BC$6:$BC$53,INDEX(T_Equipos[Grupo],MATCH(BD9,T_Equipos[NombreEquipo],0)))</f>
        <v>2</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2</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2</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2</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2</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2</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2</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2</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2</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2</v>
      </c>
      <c r="DE9" s="768"/>
      <c r="DF9" s="768">
        <f t="shared" ca="1" si="32"/>
        <v>2</v>
      </c>
      <c r="DG9" s="768" t="str">
        <f ca="1">IF(DB9="-","-",COUNTIFS(DF$6:DF$53,"&lt;"&amp;DF9,$BC$6:$BC$53,INDEX(T_Equipos[Grupo],MATCH(BD9,T_Equipos[NombreEquipo],0))))</f>
        <v>-</v>
      </c>
      <c r="DH9" s="768">
        <f ca="1">DA9+COUNTIFS(DB$6:DB$53,DB9,DG$6:DG$53,"&lt;"&amp;DG9,$BC$6:$BC$53,INDEX(T_Equipos[Grupo],MATCH(BD9,T_Equipos[NombreEquipo],0)))</f>
        <v>2</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4</v>
      </c>
      <c r="BK10" s="760">
        <f t="shared" ca="1" si="21"/>
        <v>2</v>
      </c>
      <c r="BL10" s="760">
        <f t="shared" ca="1" si="27"/>
        <v>2</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2</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3</v>
      </c>
      <c r="BF11" s="760">
        <f t="shared" ca="1" si="26"/>
        <v>3</v>
      </c>
      <c r="BG11" s="760">
        <f t="shared" ca="1" si="17"/>
        <v>1</v>
      </c>
      <c r="BH11" s="760">
        <f t="shared" ca="1" si="18"/>
        <v>0</v>
      </c>
      <c r="BI11" s="760">
        <f t="shared" ca="1" si="19"/>
        <v>2</v>
      </c>
      <c r="BJ11" s="760">
        <f t="shared" ca="1" si="20"/>
        <v>1</v>
      </c>
      <c r="BK11" s="760">
        <f t="shared" ca="1" si="21"/>
        <v>2</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3</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v>
      </c>
      <c r="G12" s="756"/>
      <c r="H12" s="756" t="str">
        <f t="shared" ref="H12:H17" ca="1" si="57">IF(D12="Pendiente","-",INDEX($BZ$6:$BZ$53,MATCH($AA12,$BD$6:$BD$53,0)))</f>
        <v>P.1 (2)</v>
      </c>
      <c r="I12" s="756" t="str">
        <f t="shared" ref="I12:I17" ca="1" si="58">IF(D12="Pendiente","-",INDEX($BZ$6:$BZ$53,MATCH($AF12,$BD$6:$BD$53,0)))</f>
        <v>-</v>
      </c>
      <c r="J12" s="756"/>
      <c r="K12" s="756" t="str">
        <f t="shared" ref="K12:K17" ca="1" si="59">IF(D12="Pendiente","-",INDEX($CE$6:$CE$53,MATCH($AA12,$BD$6:$BD$53,0)))</f>
        <v>P.1 (2)</v>
      </c>
      <c r="L12" s="756" t="str">
        <f t="shared" ref="L12:L17" ca="1" si="60">IF(D12="Pendiente","-",INDEX($CE$6:$CE$53,MATCH($AF12,$BD$6:$BD$53,0)))</f>
        <v>-</v>
      </c>
      <c r="M12" s="756"/>
      <c r="N12" s="756" t="str">
        <f t="shared" ref="N12:N17" ca="1" si="61">IF(D12="Pendiente","-",INDEX($CH$6:$CH$53,MATCH($AA12,$BD$6:$BD$53,0)))</f>
        <v>P.1 (2)</v>
      </c>
      <c r="O12" s="756" t="str">
        <f t="shared" ref="O12:O17" ca="1" si="62">IF(D12="Pendiente","-",INDEX($CH$6:$CH$53,MATCH($AF12,$BD$6:$BD$53,0)))</f>
        <v>-</v>
      </c>
      <c r="P12" s="756"/>
      <c r="Q12" s="756" t="str">
        <f t="shared" ref="Q12:Q17" ca="1" si="63">IF(D12="Pendiente","-",INDEX($CN$6:$CN$53,MATCH($AA12,$BD$6:$BD$53,0)))</f>
        <v>P.1 (2)</v>
      </c>
      <c r="R12" s="756" t="str">
        <f t="shared" ref="R12:R17" ca="1" si="64">IF(D12="Pendiente","-",INDEX($CN$6:$CN$53,MATCH($AF12,$BD$6:$BD$53,0)))</f>
        <v>-</v>
      </c>
      <c r="S12" s="756"/>
      <c r="T12" s="756" t="str">
        <f t="shared" ref="T12:T17" ca="1" si="65">IF(D12="Pendiente","-",INDEX($CS$6:$CS$53,MATCH($AA12,$BD$6:$BD$53,0)))</f>
        <v>P.1 (2)</v>
      </c>
      <c r="U12" s="756" t="str">
        <f t="shared" ref="U12:U17" ca="1" si="66">IF(D12="Pendiente","-",INDEX($CS$6:$CS$53,MATCH($AF12,$BD$6:$BD$53,0)))</f>
        <v>-</v>
      </c>
      <c r="V12" s="178"/>
      <c r="W12" s="824" t="s">
        <v>1</v>
      </c>
      <c r="X12" s="195">
        <f ca="1">Horarios!C12</f>
        <v>46185.541666666664</v>
      </c>
      <c r="Y12" s="196">
        <f ca="1">Horarios!C12</f>
        <v>46185.541666666664</v>
      </c>
      <c r="Z12" s="197" t="str">
        <f>$Z$4</f>
        <v>J1</v>
      </c>
      <c r="AA12" s="198" t="str">
        <f ca="1">A13</f>
        <v>Canadá</v>
      </c>
      <c r="AB12" s="486" t="e" cm="1" vm="5">
        <f t="array" aca="1" ref="AB12" ca="1">Ver_flag_local</f>
        <v>#VALUE!</v>
      </c>
      <c r="AC12" s="199">
        <v>1</v>
      </c>
      <c r="AD12" s="200">
        <v>0</v>
      </c>
      <c r="AE12" s="491" t="e" cm="1" vm="6">
        <f t="array" aca="1" ref="AE12" ca="1">Ver_flag_visit</f>
        <v>#VALUE!</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1</v>
      </c>
      <c r="BK12" s="760">
        <f t="shared" ca="1" si="21"/>
        <v>5</v>
      </c>
      <c r="BL12" s="760">
        <f t="shared" ca="1" si="27"/>
        <v>-4</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6" customHeight="1">
      <c r="A13" s="757" t="str">
        <f ca="1">+Equipos!B6</f>
        <v>Canadá</v>
      </c>
      <c r="B13" s="754"/>
      <c r="C13" s="754"/>
      <c r="D13" s="756" t="str">
        <f t="shared" si="54"/>
        <v>Visitante</v>
      </c>
      <c r="E13" s="756" t="str">
        <f t="shared" ca="1" si="55"/>
        <v>-</v>
      </c>
      <c r="F13" s="756" t="str">
        <f t="shared" ca="1" si="56"/>
        <v>P.1 (2)</v>
      </c>
      <c r="G13" s="756"/>
      <c r="H13" s="756" t="str">
        <f t="shared" ca="1" si="57"/>
        <v>-</v>
      </c>
      <c r="I13" s="756" t="str">
        <f t="shared" ca="1" si="58"/>
        <v>P.1 (2)</v>
      </c>
      <c r="J13" s="756"/>
      <c r="K13" s="756" t="str">
        <f t="shared" ca="1" si="59"/>
        <v>-</v>
      </c>
      <c r="L13" s="756" t="str">
        <f t="shared" ca="1" si="60"/>
        <v>P.1 (2)</v>
      </c>
      <c r="M13" s="756"/>
      <c r="N13" s="756" t="str">
        <f t="shared" ca="1" si="61"/>
        <v>-</v>
      </c>
      <c r="O13" s="756" t="str">
        <f t="shared" ca="1" si="62"/>
        <v>P.1 (2)</v>
      </c>
      <c r="P13" s="756"/>
      <c r="Q13" s="756" t="str">
        <f t="shared" ca="1" si="63"/>
        <v>-</v>
      </c>
      <c r="R13" s="756" t="str">
        <f t="shared" ca="1" si="64"/>
        <v>P.1 (2)</v>
      </c>
      <c r="S13" s="756"/>
      <c r="T13" s="756" t="str">
        <f t="shared" ca="1" si="65"/>
        <v>-</v>
      </c>
      <c r="U13" s="756" t="str">
        <f t="shared" ca="1" si="66"/>
        <v>P.1 (2)</v>
      </c>
      <c r="V13" s="178"/>
      <c r="W13" s="824"/>
      <c r="X13" s="195">
        <f ca="1">Horarios!C13</f>
        <v>46186.541666666664</v>
      </c>
      <c r="Y13" s="196">
        <f ca="1">Horarios!C13</f>
        <v>46186.541666666664</v>
      </c>
      <c r="Z13" s="197" t="str">
        <f>$Z$4</f>
        <v>J1</v>
      </c>
      <c r="AA13" s="198" t="str">
        <f ca="1">A15</f>
        <v>Catar</v>
      </c>
      <c r="AB13" s="486" t="e" cm="1" vm="7">
        <f t="array" aca="1" ref="AB13" ca="1">Ver_flag_local</f>
        <v>#VALUE!</v>
      </c>
      <c r="AC13" s="199">
        <v>0</v>
      </c>
      <c r="AD13" s="200">
        <v>2</v>
      </c>
      <c r="AE13" s="491" t="e" cm="1" vm="8">
        <f t="array" aca="1" ref="AE13" ca="1">Ver_flag_visit</f>
        <v>#VALUE!</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4</v>
      </c>
      <c r="BK13" s="760">
        <f t="shared" ca="1" si="21"/>
        <v>1</v>
      </c>
      <c r="BL13" s="760">
        <f t="shared" ca="1" si="27"/>
        <v>3</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1</v>
      </c>
      <c r="CB13" s="770">
        <f t="shared" ca="1" si="41"/>
        <v>1</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1</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1</v>
      </c>
      <c r="CP13" s="770">
        <f t="shared" ca="1" si="49"/>
        <v>1</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1</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3</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49999999999999" customHeight="1">
      <c r="A14" s="757" t="str">
        <f ca="1">+Equipos!B7</f>
        <v>Bosnia y Herzegovina</v>
      </c>
      <c r="B14" s="754"/>
      <c r="C14" s="758"/>
      <c r="D14" s="756" t="str">
        <f t="shared" si="54"/>
        <v>Local</v>
      </c>
      <c r="E14" s="756" t="str">
        <f t="shared" ca="1" si="55"/>
        <v>P.1 (2)</v>
      </c>
      <c r="F14" s="756" t="str">
        <f t="shared" ca="1" si="56"/>
        <v>-</v>
      </c>
      <c r="G14" s="756"/>
      <c r="H14" s="756" t="str">
        <f t="shared" ca="1" si="57"/>
        <v>P.1 (2)</v>
      </c>
      <c r="I14" s="756" t="str">
        <f t="shared" ca="1" si="58"/>
        <v>-</v>
      </c>
      <c r="J14" s="756"/>
      <c r="K14" s="756" t="str">
        <f t="shared" ca="1" si="59"/>
        <v>P.1 (2)</v>
      </c>
      <c r="L14" s="756" t="str">
        <f t="shared" ca="1" si="60"/>
        <v>-</v>
      </c>
      <c r="M14" s="756"/>
      <c r="N14" s="756" t="str">
        <f t="shared" ca="1" si="61"/>
        <v>P.1 (2)</v>
      </c>
      <c r="O14" s="756" t="str">
        <f t="shared" ca="1" si="62"/>
        <v>-</v>
      </c>
      <c r="P14" s="756"/>
      <c r="Q14" s="756" t="str">
        <f t="shared" ca="1" si="63"/>
        <v>P.1 (2)</v>
      </c>
      <c r="R14" s="756" t="str">
        <f t="shared" ca="1" si="64"/>
        <v>-</v>
      </c>
      <c r="S14" s="756"/>
      <c r="T14" s="756" t="str">
        <f t="shared" ca="1" si="65"/>
        <v>P.1 (2)</v>
      </c>
      <c r="U14" s="756" t="str">
        <f t="shared" ca="1" si="66"/>
        <v>-</v>
      </c>
      <c r="V14" s="178"/>
      <c r="W14" s="824"/>
      <c r="X14" s="195">
        <f ca="1">Horarios!C14</f>
        <v>46191.541666666664</v>
      </c>
      <c r="Y14" s="196">
        <f ca="1">Horarios!C14</f>
        <v>46191.541666666664</v>
      </c>
      <c r="Z14" s="197" t="str">
        <f>$Z$6</f>
        <v>J2</v>
      </c>
      <c r="AA14" s="198" t="str">
        <f ca="1">A16</f>
        <v>Suiza</v>
      </c>
      <c r="AB14" s="486" t="e" cm="1" vm="8">
        <f t="array" aca="1" ref="AB14" ca="1">Ver_flag_local</f>
        <v>#VALUE!</v>
      </c>
      <c r="AC14" s="199">
        <v>1</v>
      </c>
      <c r="AD14" s="200">
        <v>0</v>
      </c>
      <c r="AE14" s="491" t="e" cm="1" vm="6">
        <f t="array" aca="1" ref="AE14" ca="1">Ver_flag_visit</f>
        <v>#VALUE!</v>
      </c>
      <c r="AF14" s="201" t="str">
        <f ca="1">A14</f>
        <v>Bosnia y Herzegovina</v>
      </c>
      <c r="AG14" s="421">
        <f t="shared" si="67"/>
        <v>1</v>
      </c>
      <c r="AH14" s="202">
        <v>26</v>
      </c>
      <c r="AI14" s="19" t="str">
        <f>AJ14&amp;$B$12</f>
        <v>1B</v>
      </c>
      <c r="AJ14" s="262">
        <v>1</v>
      </c>
      <c r="AK14" s="496" t="e" cm="1" vm="8">
        <f t="array" aca="1" ref="AK14" ca="1">Ver_flag_visit</f>
        <v>#VALUE!</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4</v>
      </c>
      <c r="AS14" s="220">
        <f t="shared" ca="1" si="71"/>
        <v>1</v>
      </c>
      <c r="AT14" s="263">
        <f t="shared" ca="1" si="71"/>
        <v>3</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8</v>
      </c>
      <c r="BK14" s="760">
        <f t="shared" ca="1" si="21"/>
        <v>2</v>
      </c>
      <c r="BL14" s="760">
        <f t="shared" ca="1" si="27"/>
        <v>6</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v>
      </c>
      <c r="G15" s="756"/>
      <c r="H15" s="756" t="str">
        <f t="shared" ca="1" si="57"/>
        <v>P.1 (2)</v>
      </c>
      <c r="I15" s="756" t="str">
        <f t="shared" ca="1" si="58"/>
        <v>-</v>
      </c>
      <c r="J15" s="756"/>
      <c r="K15" s="756" t="str">
        <f t="shared" ca="1" si="59"/>
        <v>P.1 (2)</v>
      </c>
      <c r="L15" s="756" t="str">
        <f t="shared" ca="1" si="60"/>
        <v>-</v>
      </c>
      <c r="M15" s="756"/>
      <c r="N15" s="756" t="str">
        <f t="shared" ca="1" si="61"/>
        <v>P.1 (2)</v>
      </c>
      <c r="O15" s="756" t="str">
        <f t="shared" ca="1" si="62"/>
        <v>-</v>
      </c>
      <c r="P15" s="756"/>
      <c r="Q15" s="756" t="str">
        <f t="shared" ca="1" si="63"/>
        <v>P.1 (2)</v>
      </c>
      <c r="R15" s="756" t="str">
        <f t="shared" ca="1" si="64"/>
        <v>-</v>
      </c>
      <c r="S15" s="756"/>
      <c r="T15" s="756" t="str">
        <f t="shared" ca="1" si="65"/>
        <v>P.1 (2)</v>
      </c>
      <c r="U15" s="756" t="str">
        <f t="shared" ca="1" si="66"/>
        <v>-</v>
      </c>
      <c r="V15" s="178"/>
      <c r="W15" s="824"/>
      <c r="X15" s="195">
        <f ca="1">Horarios!C15</f>
        <v>46191.666666666664</v>
      </c>
      <c r="Y15" s="196">
        <f ca="1">Horarios!C15</f>
        <v>46191.666666666664</v>
      </c>
      <c r="Z15" s="197" t="str">
        <f>$Z$6</f>
        <v>J2</v>
      </c>
      <c r="AA15" s="198" t="str">
        <f ca="1">A13</f>
        <v>Canadá</v>
      </c>
      <c r="AB15" s="486" t="e" cm="1" vm="5">
        <f t="array" aca="1" ref="AB15" ca="1">Ver_flag_local</f>
        <v>#VALUE!</v>
      </c>
      <c r="AC15" s="199">
        <v>2</v>
      </c>
      <c r="AD15" s="200">
        <v>1</v>
      </c>
      <c r="AE15" s="491" t="e" cm="1" vm="7">
        <f t="array" aca="1" ref="AE15" ca="1">Ver_flag_visit</f>
        <v>#VALUE!</v>
      </c>
      <c r="AF15" s="201" t="str">
        <f ca="1">A15</f>
        <v>Catar</v>
      </c>
      <c r="AG15" s="421">
        <f t="shared" si="67"/>
        <v>1</v>
      </c>
      <c r="AH15" s="202">
        <v>27</v>
      </c>
      <c r="AI15" s="19" t="str">
        <f t="shared" ref="AI15:AI17" si="72">AJ15&amp;$B$12</f>
        <v>2B</v>
      </c>
      <c r="AJ15" s="264">
        <v>2</v>
      </c>
      <c r="AK15" s="494" t="e" cm="1" vm="5">
        <f t="array" aca="1" ref="AK15" ca="1">Ver_flag_visit</f>
        <v>#VALUE!</v>
      </c>
      <c r="AL15" s="228" t="str">
        <f ca="1">IFERROR(INDEX($BD$6:$BD$53,MATCH(AI15,$BN$6:$BN$53,0)),"")</f>
        <v>Canadá</v>
      </c>
      <c r="AM15" s="229">
        <f t="shared" ca="1" si="71"/>
        <v>7</v>
      </c>
      <c r="AN15" s="230">
        <f t="shared" ca="1" si="71"/>
        <v>3</v>
      </c>
      <c r="AO15" s="230">
        <f t="shared" ca="1" si="71"/>
        <v>2</v>
      </c>
      <c r="AP15" s="230">
        <f t="shared" ca="1" si="71"/>
        <v>1</v>
      </c>
      <c r="AQ15" s="230">
        <f t="shared" ca="1" si="71"/>
        <v>0</v>
      </c>
      <c r="AR15" s="230">
        <f t="shared" ca="1" si="71"/>
        <v>4</v>
      </c>
      <c r="AS15" s="230">
        <f t="shared" ca="1" si="71"/>
        <v>2</v>
      </c>
      <c r="AT15" s="265">
        <f t="shared" ca="1" si="71"/>
        <v>2</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5</v>
      </c>
      <c r="BK15" s="760">
        <f t="shared" ca="1" si="21"/>
        <v>3</v>
      </c>
      <c r="BL15" s="760">
        <f t="shared" ca="1" si="27"/>
        <v>2</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824"/>
      <c r="X16" s="195">
        <f ca="1">Horarios!C16</f>
        <v>46197.541666666664</v>
      </c>
      <c r="Y16" s="196">
        <f ca="1">Horarios!C16</f>
        <v>46197.541666666664</v>
      </c>
      <c r="Z16" s="197" t="str">
        <f>$Z$8</f>
        <v>J3</v>
      </c>
      <c r="AA16" s="198" t="str">
        <f ca="1">A16</f>
        <v>Suiza</v>
      </c>
      <c r="AB16" s="486" t="e" cm="1" vm="8">
        <f t="array" aca="1" ref="AB16" ca="1">Ver_flag_local</f>
        <v>#VALUE!</v>
      </c>
      <c r="AC16" s="199">
        <v>1</v>
      </c>
      <c r="AD16" s="200">
        <v>1</v>
      </c>
      <c r="AE16" s="491" t="e" cm="1" vm="5">
        <f t="array" aca="1" ref="AE16" ca="1">Ver_flag_visit</f>
        <v>#VALUE!</v>
      </c>
      <c r="AF16" s="201" t="str">
        <f ca="1">A13</f>
        <v>Canadá</v>
      </c>
      <c r="AG16" s="421">
        <f t="shared" si="67"/>
        <v>1</v>
      </c>
      <c r="AH16" s="202">
        <v>51</v>
      </c>
      <c r="AI16" s="19" t="str">
        <f t="shared" si="72"/>
        <v>3B</v>
      </c>
      <c r="AJ16" s="264">
        <v>3</v>
      </c>
      <c r="AK16" s="494" t="e" cm="1" vm="6">
        <f t="array" aca="1" ref="AK16" ca="1">Ver_flag_visit</f>
        <v>#VALUE!</v>
      </c>
      <c r="AL16" s="228" t="str">
        <f ca="1">IFERROR(INDEX($BD$6:$BD$53,MATCH(AI16,$BN$6:$BN$53,0)),"")</f>
        <v>Bosnia y Herzegovina</v>
      </c>
      <c r="AM16" s="229">
        <f t="shared" ca="1" si="71"/>
        <v>3</v>
      </c>
      <c r="AN16" s="230">
        <f t="shared" ca="1" si="71"/>
        <v>3</v>
      </c>
      <c r="AO16" s="230">
        <f t="shared" ca="1" si="71"/>
        <v>1</v>
      </c>
      <c r="AP16" s="230">
        <f t="shared" ca="1" si="71"/>
        <v>0</v>
      </c>
      <c r="AQ16" s="230">
        <f t="shared" ca="1" si="71"/>
        <v>2</v>
      </c>
      <c r="AR16" s="230">
        <f t="shared" ca="1" si="71"/>
        <v>1</v>
      </c>
      <c r="AS16" s="230">
        <f t="shared" ca="1" si="71"/>
        <v>2</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1</v>
      </c>
      <c r="BK16" s="760">
        <f t="shared" ca="1" si="21"/>
        <v>9</v>
      </c>
      <c r="BL16" s="760">
        <f t="shared" ca="1" si="27"/>
        <v>-8</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25"/>
      <c r="X17" s="234">
        <f ca="1">Horarios!C17</f>
        <v>46197.541666666664</v>
      </c>
      <c r="Y17" s="235">
        <f ca="1">Horarios!C17</f>
        <v>46197.541666666664</v>
      </c>
      <c r="Z17" s="236" t="str">
        <f>$Z$8</f>
        <v>J3</v>
      </c>
      <c r="AA17" s="237" t="str">
        <f ca="1">A14</f>
        <v>Bosnia y Herzegovina</v>
      </c>
      <c r="AB17" s="487" t="e" cm="1" vm="6">
        <f t="array" aca="1" ref="AB17" ca="1">Ver_flag_local</f>
        <v>#VALUE!</v>
      </c>
      <c r="AC17" s="238">
        <v>1</v>
      </c>
      <c r="AD17" s="239">
        <v>0</v>
      </c>
      <c r="AE17" s="492" t="e" cm="1" vm="7">
        <f t="array" aca="1" ref="AE17" ca="1">Ver_flag_visit</f>
        <v>#VALUE!</v>
      </c>
      <c r="AF17" s="240" t="str">
        <f ca="1">A15</f>
        <v>Catar</v>
      </c>
      <c r="AG17" s="421">
        <f t="shared" si="67"/>
        <v>1</v>
      </c>
      <c r="AH17" s="202">
        <v>52</v>
      </c>
      <c r="AI17" s="19" t="str">
        <f t="shared" si="72"/>
        <v>4B</v>
      </c>
      <c r="AJ17" s="266">
        <v>4</v>
      </c>
      <c r="AK17" s="497" t="e" cm="1" vm="7">
        <f t="array" aca="1" ref="AK17" ca="1">Ver_flag_visit</f>
        <v>#VALUE!</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1</v>
      </c>
      <c r="AS17" s="269">
        <f t="shared" ca="1" si="71"/>
        <v>5</v>
      </c>
      <c r="AT17" s="270">
        <f t="shared" ca="1" si="71"/>
        <v>-4</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3</v>
      </c>
      <c r="BK17" s="760">
        <f t="shared" ca="1" si="21"/>
        <v>3</v>
      </c>
      <c r="BL17" s="760">
        <f t="shared" ca="1" si="27"/>
        <v>0</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4</v>
      </c>
      <c r="BF18" s="760">
        <f t="shared" ca="1" si="26"/>
        <v>3</v>
      </c>
      <c r="BG18" s="760">
        <f t="shared" ca="1" si="17"/>
        <v>1</v>
      </c>
      <c r="BH18" s="760">
        <f t="shared" ca="1" si="18"/>
        <v>1</v>
      </c>
      <c r="BI18" s="760">
        <f t="shared" ca="1" si="19"/>
        <v>1</v>
      </c>
      <c r="BJ18" s="760">
        <f t="shared" ca="1" si="20"/>
        <v>4</v>
      </c>
      <c r="BK18" s="760">
        <f t="shared" ca="1" si="21"/>
        <v>4</v>
      </c>
      <c r="BL18" s="760">
        <f t="shared" ca="1" si="27"/>
        <v>0</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4</v>
      </c>
      <c r="BS18" s="769">
        <f ca="1">BP18+COUNTIFS($BQ$6:$BQ$53,BQ18,$BR$6:BR$53,"&gt;"&amp;BR18,$BC$6:$BC$53,INDEX(T_Equipos[Grupo],MATCH(BD18,T_Equipos[NombreEquipo],0)))</f>
        <v>2</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2</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2</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2</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2</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2</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2</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3</v>
      </c>
      <c r="BF19" s="760">
        <f t="shared" ca="1" si="26"/>
        <v>3</v>
      </c>
      <c r="BG19" s="760">
        <f t="shared" ca="1" si="17"/>
        <v>1</v>
      </c>
      <c r="BH19" s="760">
        <f t="shared" ca="1" si="18"/>
        <v>0</v>
      </c>
      <c r="BI19" s="760">
        <f t="shared" ca="1" si="19"/>
        <v>2</v>
      </c>
      <c r="BJ19" s="760">
        <f t="shared" ca="1" si="20"/>
        <v>2</v>
      </c>
      <c r="BK19" s="760">
        <f t="shared" ca="1" si="21"/>
        <v>3</v>
      </c>
      <c r="BL19" s="760">
        <f t="shared" ca="1" si="27"/>
        <v>-1</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3</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Estados Unidos</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33" t="s">
        <v>2</v>
      </c>
      <c r="X20" s="195">
        <f ca="1">Horarios!C20</f>
        <v>46186.666666666664</v>
      </c>
      <c r="Y20" s="196">
        <f ca="1">Horarios!C20</f>
        <v>46186.666666666664</v>
      </c>
      <c r="Z20" s="197" t="str">
        <f>$Z$4</f>
        <v>J1</v>
      </c>
      <c r="AA20" s="198" t="str">
        <f ca="1">A21</f>
        <v>Brasil</v>
      </c>
      <c r="AB20" s="486" t="e" cm="1" vm="9">
        <f t="array" aca="1" ref="AB20" ca="1">Ver_flag_local</f>
        <v>#VALUE!</v>
      </c>
      <c r="AC20" s="199">
        <v>2</v>
      </c>
      <c r="AD20" s="200">
        <v>1</v>
      </c>
      <c r="AE20" s="491" t="e" cm="1" vm="10">
        <f t="array" aca="1" ref="AE20" ca="1">Ver_flag_visit</f>
        <v>#VALUE!</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1</v>
      </c>
      <c r="BF20" s="760">
        <f t="shared" ca="1" si="26"/>
        <v>3</v>
      </c>
      <c r="BG20" s="760">
        <f t="shared" ca="1" si="17"/>
        <v>0</v>
      </c>
      <c r="BH20" s="760">
        <f t="shared" ca="1" si="18"/>
        <v>1</v>
      </c>
      <c r="BI20" s="760">
        <f t="shared" ca="1" si="19"/>
        <v>2</v>
      </c>
      <c r="BJ20" s="760">
        <f t="shared" ca="1" si="20"/>
        <v>1</v>
      </c>
      <c r="BK20" s="760">
        <f t="shared" ca="1" si="21"/>
        <v>3</v>
      </c>
      <c r="BL20" s="760">
        <f t="shared" ca="1" si="27"/>
        <v>-2</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1</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33"/>
      <c r="X21" s="195">
        <f ca="1">Horarios!C21</f>
        <v>46186.791666666664</v>
      </c>
      <c r="Y21" s="196">
        <f ca="1">Horarios!C21</f>
        <v>46186.791666666664</v>
      </c>
      <c r="Z21" s="197" t="str">
        <f>$Z$4</f>
        <v>J1</v>
      </c>
      <c r="AA21" s="198" t="str">
        <f ca="1">A23</f>
        <v>Haití</v>
      </c>
      <c r="AB21" s="486" t="e" cm="1" vm="11">
        <f t="array" aca="1" ref="AB21" ca="1">Ver_flag_local</f>
        <v>#VALUE!</v>
      </c>
      <c r="AC21" s="199">
        <v>0</v>
      </c>
      <c r="AD21" s="200">
        <v>2</v>
      </c>
      <c r="AE21" s="491" t="e" cm="1" vm="12">
        <f t="array" aca="1" ref="AE21" ca="1">Ver_flag_visit</f>
        <v>#VALUE!</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9</v>
      </c>
      <c r="BF21" s="760">
        <f t="shared" ca="1" si="26"/>
        <v>3</v>
      </c>
      <c r="BG21" s="760">
        <f t="shared" ca="1" si="17"/>
        <v>3</v>
      </c>
      <c r="BH21" s="760">
        <f t="shared" ca="1" si="18"/>
        <v>0</v>
      </c>
      <c r="BI21" s="760">
        <f t="shared" ca="1" si="19"/>
        <v>0</v>
      </c>
      <c r="BJ21" s="760">
        <f t="shared" ca="1" si="20"/>
        <v>4</v>
      </c>
      <c r="BK21" s="760">
        <f t="shared" ca="1" si="21"/>
        <v>1</v>
      </c>
      <c r="BL21" s="760">
        <f t="shared" ca="1" si="27"/>
        <v>3</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9</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6"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33"/>
      <c r="X22" s="195">
        <f ca="1">Horarios!C22</f>
        <v>46192.666666666664</v>
      </c>
      <c r="Y22" s="196">
        <f ca="1">Horarios!C22</f>
        <v>46192.666666666664</v>
      </c>
      <c r="Z22" s="197" t="str">
        <f>$Z$6</f>
        <v>J2</v>
      </c>
      <c r="AA22" s="198" t="str">
        <f ca="1">A24</f>
        <v>Escocia</v>
      </c>
      <c r="AB22" s="486" t="e" cm="1" vm="12">
        <f t="array" aca="1" ref="AB22" ca="1">Ver_flag_local</f>
        <v>#VALUE!</v>
      </c>
      <c r="AC22" s="199">
        <v>0</v>
      </c>
      <c r="AD22" s="200">
        <v>1</v>
      </c>
      <c r="AE22" s="491" t="e" cm="1" vm="10">
        <f t="array" aca="1" ref="AE22" ca="1">Ver_flag_visit</f>
        <v>#VALUE!</v>
      </c>
      <c r="AF22" s="201" t="str">
        <f ca="1">A22</f>
        <v>Marruecos</v>
      </c>
      <c r="AG22" s="421">
        <f t="shared" si="86"/>
        <v>1</v>
      </c>
      <c r="AH22" s="202">
        <v>30</v>
      </c>
      <c r="AI22" s="19" t="str">
        <f>AJ22&amp;$B$20</f>
        <v>1C</v>
      </c>
      <c r="AJ22" s="217">
        <v>1</v>
      </c>
      <c r="AK22" s="496" t="e" cm="1" vm="9">
        <f t="array" aca="1" ref="AK22" ca="1">Ver_flag_visit</f>
        <v>#VALUE!</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8</v>
      </c>
      <c r="AS22" s="220">
        <f t="shared" ca="1" si="90"/>
        <v>2</v>
      </c>
      <c r="AT22" s="221">
        <f t="shared" ca="1" si="90"/>
        <v>6</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10</v>
      </c>
      <c r="BK22" s="760">
        <f t="shared" ca="1" si="21"/>
        <v>1</v>
      </c>
      <c r="BL22" s="760">
        <f t="shared" ca="1" si="27"/>
        <v>9</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33"/>
      <c r="X23" s="195">
        <f ca="1">Horarios!C23</f>
        <v>46192.770833333328</v>
      </c>
      <c r="Y23" s="196">
        <f ca="1">Horarios!C23</f>
        <v>46192.770833333328</v>
      </c>
      <c r="Z23" s="197" t="str">
        <f>$Z$6</f>
        <v>J2</v>
      </c>
      <c r="AA23" s="198" t="str">
        <f ca="1">A21</f>
        <v>Brasil</v>
      </c>
      <c r="AB23" s="486" t="e" cm="1" vm="9">
        <f t="array" aca="1" ref="AB23" ca="1">Ver_flag_local</f>
        <v>#VALUE!</v>
      </c>
      <c r="AC23" s="199">
        <v>4</v>
      </c>
      <c r="AD23" s="200">
        <v>0</v>
      </c>
      <c r="AE23" s="491" t="e" cm="1" vm="11">
        <f t="array" aca="1" ref="AE23" ca="1">Ver_flag_visit</f>
        <v>#VALUE!</v>
      </c>
      <c r="AF23" s="201" t="str">
        <f ca="1">A23</f>
        <v>Haití</v>
      </c>
      <c r="AG23" s="421">
        <f t="shared" si="86"/>
        <v>1</v>
      </c>
      <c r="AH23" s="202">
        <v>29</v>
      </c>
      <c r="AI23" s="19" t="str">
        <f t="shared" ref="AI23:AI25" si="91">AJ23&amp;$B$20</f>
        <v>2C</v>
      </c>
      <c r="AJ23" s="227">
        <v>2</v>
      </c>
      <c r="AK23" s="494" t="e" cm="1" vm="10">
        <f t="array" aca="1" ref="AK23" ca="1">Ver_flag_visit</f>
        <v>#VALUE!</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5</v>
      </c>
      <c r="AS23" s="230">
        <f t="shared" ca="1" si="90"/>
        <v>3</v>
      </c>
      <c r="AT23" s="231">
        <f t="shared" ca="1" si="90"/>
        <v>2</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0</v>
      </c>
      <c r="BK23" s="760">
        <f t="shared" ca="1" si="21"/>
        <v>7</v>
      </c>
      <c r="BL23" s="760">
        <f t="shared" ca="1" si="27"/>
        <v>-7</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Ecuador</v>
      </c>
      <c r="DR23" s="756"/>
      <c r="DS23" s="756"/>
      <c r="DT23" s="756" t="str">
        <f t="shared" ca="1" si="15"/>
        <v>Brasil-Haití</v>
      </c>
      <c r="DU23" s="756"/>
      <c r="DV23" s="756"/>
      <c r="DW23" s="8"/>
    </row>
    <row r="24" spans="1:127" ht="16"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33"/>
      <c r="X24" s="195">
        <f ca="1">Horarios!C24</f>
        <v>46197.666666666664</v>
      </c>
      <c r="Y24" s="196">
        <f ca="1">Horarios!C24</f>
        <v>46197.666666666664</v>
      </c>
      <c r="Z24" s="197" t="str">
        <f>$Z$8</f>
        <v>J3</v>
      </c>
      <c r="AA24" s="198" t="str">
        <f ca="1">A24</f>
        <v>Escocia</v>
      </c>
      <c r="AB24" s="486" t="e" cm="1" vm="12">
        <f t="array" aca="1" ref="AB24" ca="1">Ver_flag_local</f>
        <v>#VALUE!</v>
      </c>
      <c r="AC24" s="199">
        <v>1</v>
      </c>
      <c r="AD24" s="200">
        <v>2</v>
      </c>
      <c r="AE24" s="491" t="e" cm="1" vm="9">
        <f t="array" aca="1" ref="AE24" ca="1">Ver_flag_visit</f>
        <v>#VALUE!</v>
      </c>
      <c r="AF24" s="201" t="str">
        <f ca="1">A21</f>
        <v>Brasil</v>
      </c>
      <c r="AG24" s="421">
        <f t="shared" si="86"/>
        <v>1</v>
      </c>
      <c r="AH24" s="202">
        <v>49</v>
      </c>
      <c r="AI24" s="19" t="str">
        <f t="shared" si="91"/>
        <v>3C</v>
      </c>
      <c r="AJ24" s="227">
        <v>3</v>
      </c>
      <c r="AK24" s="494" t="e" cm="1" vm="12">
        <f t="array" aca="1" ref="AK24" ca="1">Ver_flag_visit</f>
        <v>#VALUE!</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3</v>
      </c>
      <c r="AS24" s="230">
        <f t="shared" ca="1" si="90"/>
        <v>3</v>
      </c>
      <c r="AT24" s="231">
        <f t="shared" ca="1" si="90"/>
        <v>0</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3</v>
      </c>
      <c r="BF24" s="760">
        <f t="shared" ca="1" si="26"/>
        <v>3</v>
      </c>
      <c r="BG24" s="760">
        <f t="shared" ca="1" si="17"/>
        <v>1</v>
      </c>
      <c r="BH24" s="760">
        <f t="shared" ca="1" si="18"/>
        <v>0</v>
      </c>
      <c r="BI24" s="760">
        <f t="shared" ca="1" si="19"/>
        <v>2</v>
      </c>
      <c r="BJ24" s="760">
        <f t="shared" ca="1" si="20"/>
        <v>2</v>
      </c>
      <c r="BK24" s="760">
        <f t="shared" ca="1" si="21"/>
        <v>4</v>
      </c>
      <c r="BL24" s="760">
        <f t="shared" ca="1" si="27"/>
        <v>-2</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3</v>
      </c>
      <c r="BS24" s="769">
        <f ca="1">BP24+COUNTIFS($BQ$6:$BQ$53,BQ24,$BR$6:BR$53,"&gt;"&amp;BR24,$BC$6:$BC$53,INDEX(T_Equipos[Grupo],MATCH(BD24,T_Equipos[NombreEquipo],0)))</f>
        <v>3</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3</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3</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3</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3</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3</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3</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3</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3</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3</v>
      </c>
      <c r="DE24" s="768"/>
      <c r="DF24" s="768">
        <f t="shared" ca="1" si="52"/>
        <v>3</v>
      </c>
      <c r="DG24" s="768" t="str">
        <f ca="1">IF(DB24="-","-",COUNTIFS(DF$6:DF$53,"&lt;"&amp;DF24,$BC$6:$BC$53,INDEX(T_Equipos[Grupo],MATCH(BD24,T_Equipos[NombreEquipo],0))))</f>
        <v>-</v>
      </c>
      <c r="DH24" s="768">
        <f ca="1">DA24+COUNTIFS(DB$6:DB$53,DB24,DG$6:DG$53,"&lt;"&amp;DG24,$BC$6:$BC$53,INDEX(T_Equipos[Grupo],MATCH(BD24,T_Equipos[NombreEquipo],0)))</f>
        <v>3</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Costa de Marfil</v>
      </c>
      <c r="DR24" s="756"/>
      <c r="DS24" s="756"/>
      <c r="DT24" s="756" t="str">
        <f t="shared" ca="1" si="15"/>
        <v>Escocia-Brasil</v>
      </c>
      <c r="DU24" s="756"/>
      <c r="DV24" s="756"/>
      <c r="DW24" s="8"/>
    </row>
    <row r="25" spans="1:127" ht="17.149999999999999"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34"/>
      <c r="X25" s="234">
        <f ca="1">Horarios!C25</f>
        <v>46197.666666666664</v>
      </c>
      <c r="Y25" s="235">
        <f ca="1">Horarios!C25</f>
        <v>46197.666666666664</v>
      </c>
      <c r="Z25" s="236" t="str">
        <f>$Z$8</f>
        <v>J3</v>
      </c>
      <c r="AA25" s="237" t="str">
        <f ca="1">A22</f>
        <v>Marruecos</v>
      </c>
      <c r="AB25" s="487" t="e" cm="1" vm="10">
        <f t="array" aca="1" ref="AB25" ca="1">Ver_flag_local</f>
        <v>#VALUE!</v>
      </c>
      <c r="AC25" s="238">
        <v>3</v>
      </c>
      <c r="AD25" s="239">
        <v>1</v>
      </c>
      <c r="AE25" s="492" t="e" cm="1" vm="11">
        <f t="array" aca="1" ref="AE25" ca="1">Ver_flag_visit</f>
        <v>#VALUE!</v>
      </c>
      <c r="AF25" s="240" t="str">
        <f ca="1">A23</f>
        <v>Haití</v>
      </c>
      <c r="AG25" s="421">
        <f t="shared" si="86"/>
        <v>1</v>
      </c>
      <c r="AH25" s="202">
        <v>50</v>
      </c>
      <c r="AI25" s="19" t="str">
        <f t="shared" si="91"/>
        <v>4C</v>
      </c>
      <c r="AJ25" s="241">
        <v>4</v>
      </c>
      <c r="AK25" s="495" t="e" cm="1" vm="11">
        <f t="array" aca="1" ref="AK25" ca="1">Ver_flag_visit</f>
        <v>#VALUE!</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1</v>
      </c>
      <c r="AS25" s="244">
        <f t="shared" ca="1" si="90"/>
        <v>9</v>
      </c>
      <c r="AT25" s="245">
        <f t="shared" ca="1" si="90"/>
        <v>-8</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6</v>
      </c>
      <c r="BF25" s="760">
        <f t="shared" ca="1" si="26"/>
        <v>3</v>
      </c>
      <c r="BG25" s="760">
        <f t="shared" ca="1" si="17"/>
        <v>2</v>
      </c>
      <c r="BH25" s="760">
        <f t="shared" ca="1" si="18"/>
        <v>0</v>
      </c>
      <c r="BI25" s="760">
        <f t="shared" ca="1" si="19"/>
        <v>1</v>
      </c>
      <c r="BJ25" s="760">
        <f t="shared" ca="1" si="20"/>
        <v>3</v>
      </c>
      <c r="BK25" s="760">
        <f t="shared" ca="1" si="21"/>
        <v>3</v>
      </c>
      <c r="BL25" s="760">
        <f t="shared" ca="1" si="27"/>
        <v>0</v>
      </c>
      <c r="BM25" s="760" t="str">
        <f t="shared" ca="1" si="22"/>
        <v>2E</v>
      </c>
      <c r="BN25" s="760" t="str">
        <f t="shared" ca="1" si="23"/>
        <v>2E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6</v>
      </c>
      <c r="BS25" s="769">
        <f ca="1">BP25+COUNTIFS($BQ$6:$BQ$53,BQ25,$BR$6:BR$53,"&gt;"&amp;BR25,$BC$6:$BC$53,INDEX(T_Equipos[Grupo],MATCH(BD25,T_Equipos[NombreEquipo],0)))</f>
        <v>2</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2</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2</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2</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2</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2</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2</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2</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2</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2</v>
      </c>
      <c r="DE25" s="768"/>
      <c r="DF25" s="768">
        <f t="shared" ca="1" si="52"/>
        <v>2</v>
      </c>
      <c r="DG25" s="768" t="str">
        <f ca="1">IF(DB25="-","-",COUNTIFS(DF$6:DF$53,"&lt;"&amp;DF25,$BC$6:$BC$53,INDEX(T_Equipos[Grupo],MATCH(BD25,T_Equipos[NombreEquipo],0))))</f>
        <v>-</v>
      </c>
      <c r="DH25" s="768">
        <f ca="1">DA25+COUNTIFS(DB$6:DB$53,DB25,DG$6:DG$53,"&lt;"&amp;DG25,$BC$6:$BC$53,INDEX(T_Equipos[Grupo],MATCH(BD25,T_Equipos[NombreEquipo],0)))</f>
        <v>2</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9</v>
      </c>
      <c r="BF26" s="760">
        <f t="shared" ca="1" si="26"/>
        <v>3</v>
      </c>
      <c r="BG26" s="760">
        <f t="shared" ca="1" si="17"/>
        <v>3</v>
      </c>
      <c r="BH26" s="760">
        <f t="shared" ca="1" si="18"/>
        <v>0</v>
      </c>
      <c r="BI26" s="760">
        <f t="shared" ca="1" si="19"/>
        <v>0</v>
      </c>
      <c r="BJ26" s="760">
        <f t="shared" ca="1" si="20"/>
        <v>6</v>
      </c>
      <c r="BK26" s="760">
        <f t="shared" ca="1" si="21"/>
        <v>0</v>
      </c>
      <c r="BL26" s="760">
        <f t="shared" ca="1" si="27"/>
        <v>6</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9</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6</v>
      </c>
      <c r="BF27" s="760">
        <f t="shared" ca="1" si="26"/>
        <v>3</v>
      </c>
      <c r="BG27" s="760">
        <f t="shared" ca="1" si="17"/>
        <v>2</v>
      </c>
      <c r="BH27" s="760">
        <f t="shared" ca="1" si="18"/>
        <v>0</v>
      </c>
      <c r="BI27" s="760">
        <f t="shared" ca="1" si="19"/>
        <v>1</v>
      </c>
      <c r="BJ27" s="760">
        <f t="shared" ca="1" si="20"/>
        <v>3</v>
      </c>
      <c r="BK27" s="760">
        <f t="shared" ca="1" si="21"/>
        <v>2</v>
      </c>
      <c r="BL27" s="760">
        <f t="shared" ca="1" si="27"/>
        <v>1</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6</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v>
      </c>
      <c r="G28" s="756"/>
      <c r="H28" s="756" t="str">
        <f t="shared" ref="H28:H33" ca="1" si="97">IF(D28="Pendiente","-",INDEX($BZ$6:$BZ$53,MATCH($AA28,$BD$6:$BD$53,0)))</f>
        <v>-</v>
      </c>
      <c r="I28" s="756" t="str">
        <f t="shared" ref="I28:I33" ca="1" si="98">IF(D28="Pendiente","-",INDEX($BZ$6:$BZ$53,MATCH($AF28,$BD$6:$BD$53,0)))</f>
        <v>-</v>
      </c>
      <c r="J28" s="756"/>
      <c r="K28" s="756" t="str">
        <f t="shared" ref="K28:K33" ca="1" si="99">IF(D28="Pendiente","-",INDEX($CE$6:$CE$53,MATCH($AA28,$BD$6:$BD$53,0)))</f>
        <v>-</v>
      </c>
      <c r="L28" s="756" t="str">
        <f t="shared" ref="L28:L33" ca="1" si="100">IF(D28="Pendiente","-",INDEX($CE$6:$CE$53,MATCH($AF28,$BD$6:$BD$53,0)))</f>
        <v>-</v>
      </c>
      <c r="M28" s="756"/>
      <c r="N28" s="756" t="str">
        <f t="shared" ref="N28:N33" ca="1" si="101">IF(D28="Pendiente","-",INDEX($CH$6:$CH$53,MATCH($AA28,$BD$6:$BD$53,0)))</f>
        <v>-</v>
      </c>
      <c r="O28" s="756" t="str">
        <f t="shared" ref="O28:O33" ca="1" si="102">IF(D28="Pendiente","-",INDEX($CH$6:$CH$53,MATCH($AF28,$BD$6:$BD$53,0)))</f>
        <v>-</v>
      </c>
      <c r="P28" s="756"/>
      <c r="Q28" s="756" t="str">
        <f t="shared" ref="Q28:Q33" ca="1" si="103">IF(D28="Pendiente","-",INDEX($CN$6:$CN$53,MATCH($AA28,$BD$6:$BD$53,0)))</f>
        <v>-</v>
      </c>
      <c r="R28" s="756" t="str">
        <f t="shared" ref="R28:R33" ca="1" si="104">IF(D28="Pendiente","-",INDEX($CN$6:$CN$53,MATCH($AF28,$BD$6:$BD$53,0)))</f>
        <v>-</v>
      </c>
      <c r="S28" s="756"/>
      <c r="T28" s="756" t="str">
        <f t="shared" ref="T28:T33" ca="1" si="105">IF(D28="Pendiente","-",INDEX($CS$6:$CS$53,MATCH($AA28,$BD$6:$BD$53,0)))</f>
        <v>-</v>
      </c>
      <c r="U28" s="756" t="str">
        <f t="shared" ref="U28:U33" ca="1" si="106">IF(D28="Pendiente","-",INDEX($CS$6:$CS$53,MATCH($AF28,$BD$6:$BD$53,0)))</f>
        <v>-</v>
      </c>
      <c r="V28" s="178"/>
      <c r="W28" s="835" t="s">
        <v>73</v>
      </c>
      <c r="X28" s="195">
        <f ca="1">Horarios!C28</f>
        <v>46185.791666666664</v>
      </c>
      <c r="Y28" s="196">
        <f ca="1">Horarios!C28</f>
        <v>46185.791666666664</v>
      </c>
      <c r="Z28" s="197" t="str">
        <f>$Z$4</f>
        <v>J1</v>
      </c>
      <c r="AA28" s="198" t="str">
        <f ca="1">A29</f>
        <v>Estados Unidos</v>
      </c>
      <c r="AB28" s="486" t="e" cm="1" vm="13">
        <f t="array" aca="1" ref="AB28" ca="1">Ver_flag_local</f>
        <v>#VALUE!</v>
      </c>
      <c r="AC28" s="199">
        <v>2</v>
      </c>
      <c r="AD28" s="200">
        <v>1</v>
      </c>
      <c r="AE28" s="491" t="e" cm="1" vm="14">
        <f t="array" aca="1" ref="AE28" ca="1">Ver_flag_visit</f>
        <v>#VALUE!</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3</v>
      </c>
      <c r="BF28" s="760">
        <f t="shared" ca="1" si="26"/>
        <v>3</v>
      </c>
      <c r="BG28" s="760">
        <f t="shared" ca="1" si="17"/>
        <v>1</v>
      </c>
      <c r="BH28" s="760">
        <f t="shared" ca="1" si="18"/>
        <v>0</v>
      </c>
      <c r="BI28" s="760">
        <f t="shared" ca="1" si="19"/>
        <v>2</v>
      </c>
      <c r="BJ28" s="760">
        <f t="shared" ca="1" si="20"/>
        <v>1</v>
      </c>
      <c r="BK28" s="760">
        <f t="shared" ca="1" si="21"/>
        <v>3</v>
      </c>
      <c r="BL28" s="760">
        <f t="shared" ca="1" si="27"/>
        <v>-2</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3</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6" customHeight="1">
      <c r="A29" s="757" t="str">
        <f ca="1">+Equipos!B14</f>
        <v>Estados Unidos</v>
      </c>
      <c r="B29" s="754"/>
      <c r="C29" s="754"/>
      <c r="D29" s="756" t="str">
        <f t="shared" si="94"/>
        <v>Visitante</v>
      </c>
      <c r="E29" s="756" t="str">
        <f t="shared" ca="1" si="95"/>
        <v>-</v>
      </c>
      <c r="F29" s="756" t="str">
        <f t="shared" ca="1" si="96"/>
        <v>-</v>
      </c>
      <c r="G29" s="756"/>
      <c r="H29" s="756" t="str">
        <f t="shared" ca="1" si="97"/>
        <v>-</v>
      </c>
      <c r="I29" s="756" t="str">
        <f t="shared" ca="1" si="98"/>
        <v>-</v>
      </c>
      <c r="J29" s="756"/>
      <c r="K29" s="756" t="str">
        <f t="shared" ca="1" si="99"/>
        <v>-</v>
      </c>
      <c r="L29" s="756" t="str">
        <f t="shared" ca="1" si="100"/>
        <v>-</v>
      </c>
      <c r="M29" s="756"/>
      <c r="N29" s="756" t="str">
        <f t="shared" ca="1" si="101"/>
        <v>-</v>
      </c>
      <c r="O29" s="756" t="str">
        <f t="shared" ca="1" si="102"/>
        <v>-</v>
      </c>
      <c r="P29" s="756"/>
      <c r="Q29" s="756" t="str">
        <f t="shared" ca="1" si="103"/>
        <v>-</v>
      </c>
      <c r="R29" s="756" t="str">
        <f t="shared" ca="1" si="104"/>
        <v>-</v>
      </c>
      <c r="S29" s="756"/>
      <c r="T29" s="756" t="str">
        <f t="shared" ca="1" si="105"/>
        <v>-</v>
      </c>
      <c r="U29" s="756" t="str">
        <f t="shared" ca="1" si="106"/>
        <v>-</v>
      </c>
      <c r="V29" s="178"/>
      <c r="W29" s="835"/>
      <c r="X29" s="195">
        <f ca="1">Horarios!C29</f>
        <v>46186.916666666664</v>
      </c>
      <c r="Y29" s="196">
        <f ca="1">Horarios!C29</f>
        <v>46186.916666666664</v>
      </c>
      <c r="Z29" s="197" t="str">
        <f>$Z$4</f>
        <v>J1</v>
      </c>
      <c r="AA29" s="198" t="str">
        <f ca="1">A31</f>
        <v>Australia</v>
      </c>
      <c r="AB29" s="486" t="e" cm="1" vm="15">
        <f t="array" aca="1" ref="AB29" ca="1">Ver_flag_local</f>
        <v>#VALUE!</v>
      </c>
      <c r="AC29" s="199">
        <v>0</v>
      </c>
      <c r="AD29" s="200">
        <v>1</v>
      </c>
      <c r="AE29" s="491" t="e" cm="1" vm="16">
        <f t="array" aca="1" ref="AE29" ca="1">Ver_flag_visit</f>
        <v>#VALUE!</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0</v>
      </c>
      <c r="BK29" s="760">
        <f t="shared" ca="1" si="21"/>
        <v>5</v>
      </c>
      <c r="BL29" s="760">
        <f t="shared" ca="1" si="27"/>
        <v>-5</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 customHeight="1">
      <c r="A30" s="757" t="str">
        <f ca="1">+Equipos!B15</f>
        <v>Paraguay</v>
      </c>
      <c r="B30" s="754"/>
      <c r="C30" s="758"/>
      <c r="D30" s="756" t="str">
        <f t="shared" si="94"/>
        <v>Empate</v>
      </c>
      <c r="E30" s="756" t="str">
        <f t="shared" ca="1" si="95"/>
        <v>-</v>
      </c>
      <c r="F30" s="756" t="str">
        <f t="shared" ca="1" si="96"/>
        <v>-</v>
      </c>
      <c r="G30" s="756"/>
      <c r="H30" s="756" t="str">
        <f t="shared" ca="1" si="97"/>
        <v>-</v>
      </c>
      <c r="I30" s="756" t="str">
        <f t="shared" ca="1" si="98"/>
        <v>-</v>
      </c>
      <c r="J30" s="756"/>
      <c r="K30" s="756" t="str">
        <f t="shared" ca="1" si="99"/>
        <v>-</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35"/>
      <c r="X30" s="195">
        <f ca="1">Horarios!C30</f>
        <v>46192.541666666664</v>
      </c>
      <c r="Y30" s="196">
        <f ca="1">Horarios!C30</f>
        <v>46192.541666666664</v>
      </c>
      <c r="Z30" s="197" t="str">
        <f>$Z$6</f>
        <v>J2</v>
      </c>
      <c r="AA30" s="198" t="str">
        <f ca="1">A29</f>
        <v>Estados Unidos</v>
      </c>
      <c r="AB30" s="486" t="e" cm="1" vm="13">
        <f t="array" aca="1" ref="AB30" ca="1">Ver_flag_local</f>
        <v>#VALUE!</v>
      </c>
      <c r="AC30" s="199">
        <v>1</v>
      </c>
      <c r="AD30" s="200">
        <v>1</v>
      </c>
      <c r="AE30" s="491" t="e" cm="1" vm="15">
        <f t="array" aca="1" ref="AE30" ca="1">Ver_flag_visit</f>
        <v>#VALUE!</v>
      </c>
      <c r="AF30" s="201" t="str">
        <f ca="1">A31</f>
        <v>Australia</v>
      </c>
      <c r="AG30" s="421">
        <f t="shared" si="107"/>
        <v>1</v>
      </c>
      <c r="AH30" s="202">
        <v>32</v>
      </c>
      <c r="AI30" s="19" t="str">
        <f>AJ30&amp;$B$28</f>
        <v>1D</v>
      </c>
      <c r="AJ30" s="217">
        <v>1</v>
      </c>
      <c r="AK30" s="496" t="e" cm="1" vm="16">
        <f t="array" aca="1" ref="AK30" ca="1">Ver_flag_visit</f>
        <v>#VALUE!</v>
      </c>
      <c r="AL30" s="218" t="str">
        <f ca="1">IFERROR(INDEX($BD$6:$BD$53,MATCH(AI30,$BN$6:$BN$53,0)),"")</f>
        <v>Turquía</v>
      </c>
      <c r="AM30" s="219">
        <f t="shared" ref="AM30:AT33" ca="1" si="111">INDEX($BE$6:$BN$53,MATCH($AL30,$BD$6:$BD$53,0),MATCH(AM$5,$BE$5:$BN$5,0))</f>
        <v>9</v>
      </c>
      <c r="AN30" s="220">
        <f t="shared" ca="1" si="111"/>
        <v>3</v>
      </c>
      <c r="AO30" s="220">
        <f t="shared" ca="1" si="111"/>
        <v>3</v>
      </c>
      <c r="AP30" s="220">
        <f t="shared" ca="1" si="111"/>
        <v>0</v>
      </c>
      <c r="AQ30" s="220">
        <f t="shared" ca="1" si="111"/>
        <v>0</v>
      </c>
      <c r="AR30" s="220">
        <f t="shared" ca="1" si="111"/>
        <v>4</v>
      </c>
      <c r="AS30" s="220">
        <f t="shared" ca="1" si="111"/>
        <v>1</v>
      </c>
      <c r="AT30" s="221">
        <f t="shared" ca="1" si="111"/>
        <v>3</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6</v>
      </c>
      <c r="BK30" s="760">
        <f t="shared" ca="1" si="21"/>
        <v>1</v>
      </c>
      <c r="BL30" s="760">
        <f t="shared" ca="1" si="27"/>
        <v>5</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c r="A31" s="757" t="str">
        <f ca="1">+Equipos!B16</f>
        <v>Australia</v>
      </c>
      <c r="B31" s="754"/>
      <c r="C31" s="756"/>
      <c r="D31" s="756" t="str">
        <f t="shared" si="94"/>
        <v>Local</v>
      </c>
      <c r="E31" s="756" t="str">
        <f t="shared" ca="1" si="95"/>
        <v>-</v>
      </c>
      <c r="F31" s="756" t="str">
        <f t="shared" ca="1" si="96"/>
        <v>-</v>
      </c>
      <c r="G31" s="756"/>
      <c r="H31" s="756" t="str">
        <f t="shared" ca="1" si="97"/>
        <v>-</v>
      </c>
      <c r="I31" s="756" t="str">
        <f t="shared" ca="1" si="98"/>
        <v>-</v>
      </c>
      <c r="J31" s="756"/>
      <c r="K31" s="756" t="str">
        <f t="shared" ca="1" si="99"/>
        <v>-</v>
      </c>
      <c r="L31" s="756" t="str">
        <f t="shared" ca="1" si="100"/>
        <v>-</v>
      </c>
      <c r="M31" s="756"/>
      <c r="N31" s="756" t="str">
        <f t="shared" ca="1" si="101"/>
        <v>-</v>
      </c>
      <c r="O31" s="756" t="str">
        <f t="shared" ca="1" si="102"/>
        <v>-</v>
      </c>
      <c r="P31" s="756"/>
      <c r="Q31" s="756" t="str">
        <f t="shared" ca="1" si="103"/>
        <v>-</v>
      </c>
      <c r="R31" s="756" t="str">
        <f t="shared" ca="1" si="104"/>
        <v>-</v>
      </c>
      <c r="S31" s="756"/>
      <c r="T31" s="756" t="str">
        <f t="shared" ca="1" si="105"/>
        <v>-</v>
      </c>
      <c r="U31" s="756" t="str">
        <f t="shared" ca="1" si="106"/>
        <v>-</v>
      </c>
      <c r="V31" s="178"/>
      <c r="W31" s="835"/>
      <c r="X31" s="195">
        <f ca="1">Horarios!C31</f>
        <v>46192.875</v>
      </c>
      <c r="Y31" s="196">
        <f ca="1">Horarios!C31</f>
        <v>46192.875</v>
      </c>
      <c r="Z31" s="197" t="str">
        <f>$Z$6</f>
        <v>J2</v>
      </c>
      <c r="AA31" s="198" t="str">
        <f ca="1">A32</f>
        <v>Turquía</v>
      </c>
      <c r="AB31" s="486" t="e" cm="1" vm="16">
        <f t="array" aca="1" ref="AB31" ca="1">Ver_flag_local</f>
        <v>#VALUE!</v>
      </c>
      <c r="AC31" s="199">
        <v>1</v>
      </c>
      <c r="AD31" s="200">
        <v>0</v>
      </c>
      <c r="AE31" s="491" t="e" cm="1" vm="14">
        <f t="array" aca="1" ref="AE31" ca="1">Ver_flag_visit</f>
        <v>#VALUE!</v>
      </c>
      <c r="AF31" s="201" t="str">
        <f ca="1">A30</f>
        <v>Paraguay</v>
      </c>
      <c r="AG31" s="421">
        <f t="shared" si="107"/>
        <v>1</v>
      </c>
      <c r="AH31" s="202">
        <v>31</v>
      </c>
      <c r="AI31" s="19" t="str">
        <f t="shared" ref="AI31:AI33" si="112">AJ31&amp;$B$28</f>
        <v>2D</v>
      </c>
      <c r="AJ31" s="227">
        <v>2</v>
      </c>
      <c r="AK31" s="494" t="e" cm="1" vm="13">
        <f t="array" aca="1" ref="AK31" ca="1">Ver_flag_visit</f>
        <v>#VALUE!</v>
      </c>
      <c r="AL31" s="228" t="str">
        <f ca="1">IFERROR(INDEX($BD$6:$BD$53,MATCH(AI31,$BN$6:$BN$53,0)),"")</f>
        <v>Estados Unidos</v>
      </c>
      <c r="AM31" s="229">
        <f t="shared" ca="1" si="111"/>
        <v>4</v>
      </c>
      <c r="AN31" s="230">
        <f t="shared" ca="1" si="111"/>
        <v>3</v>
      </c>
      <c r="AO31" s="230">
        <f t="shared" ca="1" si="111"/>
        <v>1</v>
      </c>
      <c r="AP31" s="230">
        <f t="shared" ca="1" si="111"/>
        <v>1</v>
      </c>
      <c r="AQ31" s="230">
        <f t="shared" ca="1" si="111"/>
        <v>1</v>
      </c>
      <c r="AR31" s="230">
        <f t="shared" ca="1" si="111"/>
        <v>4</v>
      </c>
      <c r="AS31" s="230">
        <f t="shared" ca="1" si="111"/>
        <v>4</v>
      </c>
      <c r="AT31" s="231">
        <f t="shared" ca="1" si="111"/>
        <v>0</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6</v>
      </c>
      <c r="BF31" s="760">
        <f t="shared" ca="1" si="26"/>
        <v>3</v>
      </c>
      <c r="BG31" s="760">
        <f t="shared" ca="1" si="17"/>
        <v>2</v>
      </c>
      <c r="BH31" s="760">
        <f t="shared" ca="1" si="18"/>
        <v>0</v>
      </c>
      <c r="BI31" s="760">
        <f t="shared" ca="1" si="19"/>
        <v>1</v>
      </c>
      <c r="BJ31" s="760">
        <f t="shared" ca="1" si="20"/>
        <v>4</v>
      </c>
      <c r="BK31" s="760">
        <f t="shared" ca="1" si="21"/>
        <v>3</v>
      </c>
      <c r="BL31" s="760">
        <f t="shared" ca="1" si="27"/>
        <v>1</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6</v>
      </c>
      <c r="BS31" s="769">
        <f ca="1">BP31+COUNTIFS($BQ$6:$BQ$53,BQ31,$BR$6:BR$53,"&gt;"&amp;BR31,$BC$6:$BC$53,INDEX(T_Equipos[Grupo],MATCH(BD31,T_Equipos[NombreEquipo],0)))</f>
        <v>2</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2</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2</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2</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2</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2</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2</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6" customHeight="1">
      <c r="A32" s="757" t="str">
        <f ca="1">+Equipos!B17</f>
        <v>Turquía</v>
      </c>
      <c r="B32" s="754"/>
      <c r="C32" s="756"/>
      <c r="D32" s="756" t="str">
        <f t="shared" si="94"/>
        <v>Local</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35"/>
      <c r="X32" s="195">
        <f ca="1">Horarios!C32</f>
        <v>46198.833333333328</v>
      </c>
      <c r="Y32" s="196">
        <f ca="1">Horarios!C32</f>
        <v>46198.833333333328</v>
      </c>
      <c r="Z32" s="197" t="str">
        <f>$Z$8</f>
        <v>J3</v>
      </c>
      <c r="AA32" s="198" t="str">
        <f ca="1">A32</f>
        <v>Turquía</v>
      </c>
      <c r="AB32" s="486" t="e" cm="1" vm="16">
        <f t="array" aca="1" ref="AB32" ca="1">Ver_flag_local</f>
        <v>#VALUE!</v>
      </c>
      <c r="AC32" s="199">
        <v>2</v>
      </c>
      <c r="AD32" s="200">
        <v>1</v>
      </c>
      <c r="AE32" s="491" t="e" cm="1" vm="13">
        <f t="array" aca="1" ref="AE32" ca="1">Ver_flag_visit</f>
        <v>#VALUE!</v>
      </c>
      <c r="AF32" s="201" t="str">
        <f ca="1">A29</f>
        <v>Estados Unidos</v>
      </c>
      <c r="AG32" s="421">
        <f t="shared" si="107"/>
        <v>1</v>
      </c>
      <c r="AH32" s="202">
        <v>59</v>
      </c>
      <c r="AI32" s="19" t="str">
        <f t="shared" si="112"/>
        <v>3D</v>
      </c>
      <c r="AJ32" s="227">
        <v>3</v>
      </c>
      <c r="AK32" s="494" t="e" cm="1" vm="14">
        <f t="array" aca="1" ref="AK32" ca="1">Ver_flag_visit</f>
        <v>#VALUE!</v>
      </c>
      <c r="AL32" s="228" t="str">
        <f ca="1">IFERROR(INDEX($BD$6:$BD$53,MATCH(AI32,$BN$6:$BN$53,0)),"")</f>
        <v>Paraguay</v>
      </c>
      <c r="AM32" s="229">
        <f t="shared" ca="1" si="111"/>
        <v>3</v>
      </c>
      <c r="AN32" s="230">
        <f t="shared" ca="1" si="111"/>
        <v>3</v>
      </c>
      <c r="AO32" s="230">
        <f t="shared" ca="1" si="111"/>
        <v>1</v>
      </c>
      <c r="AP32" s="230">
        <f t="shared" ca="1" si="111"/>
        <v>0</v>
      </c>
      <c r="AQ32" s="230">
        <f t="shared" ca="1" si="111"/>
        <v>2</v>
      </c>
      <c r="AR32" s="230">
        <f t="shared" ca="1" si="111"/>
        <v>2</v>
      </c>
      <c r="AS32" s="230">
        <f t="shared" ca="1" si="111"/>
        <v>3</v>
      </c>
      <c r="AT32" s="231">
        <f t="shared" ca="1" si="111"/>
        <v>-1</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1</v>
      </c>
      <c r="BF32" s="760">
        <f t="shared" ca="1" si="26"/>
        <v>3</v>
      </c>
      <c r="BG32" s="760">
        <f t="shared" ca="1" si="17"/>
        <v>0</v>
      </c>
      <c r="BH32" s="760">
        <f t="shared" ca="1" si="18"/>
        <v>1</v>
      </c>
      <c r="BI32" s="760">
        <f t="shared" ca="1" si="19"/>
        <v>2</v>
      </c>
      <c r="BJ32" s="760">
        <f t="shared" ca="1" si="20"/>
        <v>1</v>
      </c>
      <c r="BK32" s="760">
        <f t="shared" ca="1" si="21"/>
        <v>4</v>
      </c>
      <c r="BL32" s="760">
        <f t="shared" ca="1" si="27"/>
        <v>-3</v>
      </c>
      <c r="BM32" s="760" t="str">
        <f t="shared" ca="1" si="22"/>
        <v>4G</v>
      </c>
      <c r="BN32" s="760" t="str">
        <f t="shared" ca="1" si="23"/>
        <v>4G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1</v>
      </c>
      <c r="BS32" s="769">
        <f ca="1">BP32+COUNTIFS($BQ$6:$BQ$53,BQ32,$BR$6:BR$53,"&gt;"&amp;BR32,$BC$6:$BC$53,INDEX(T_Equipos[Grupo],MATCH(BD32,T_Equipos[NombreEquipo],0)))</f>
        <v>3</v>
      </c>
      <c r="BT32" s="769" t="str">
        <f ca="1">IF(COUNTIFS($BS$6:$BS$53,BS32,$BC$6:$BC$53,INDEX(T_Equipos[Grupo],MATCH(BD32,T_Equipos[NombreEquipo],0)))=1,"-","P."&amp;BS32&amp;" ("&amp;COUNTIFS($BS$6:$BS$53,BS32,$BC$6:$BC$53,INDEX(T_Equipos[Grupo],MATCH(BD32,T_Equipos[NombreEquipo],0)))&amp;")")</f>
        <v>P.3 (2)</v>
      </c>
      <c r="BU32" s="770">
        <f t="shared" ca="1" si="36"/>
        <v>0</v>
      </c>
      <c r="BV32" s="770">
        <f t="shared" ca="1" si="37"/>
        <v>1</v>
      </c>
      <c r="BW32" s="770">
        <f t="shared" ca="1" si="38"/>
        <v>0</v>
      </c>
      <c r="BX32" s="770">
        <f t="shared" ca="1" si="39"/>
        <v>1</v>
      </c>
      <c r="BY32" s="770">
        <f ca="1">BS32+COUNTIFS($BT$6:$BT$53,BT32,$BX$6:BX$53,"&gt;"&amp;BX32,$BC$6:$BC$53,INDEX(T_Equipos[Grupo],MATCH(BD32,T_Equipos[NombreEquipo],0)))</f>
        <v>3</v>
      </c>
      <c r="BZ32" s="769" t="str">
        <f ca="1">IF(COUNTIFS($BY$6:$BY$53,BY32,$BC$6:$BC$53,INDEX(T_Equipos[Grupo],MATCH(BD32,T_Equipos[NombreEquipo],0)))=1,"-","P."&amp;BY32&amp;" ("&amp;COUNTIFS($BY$6:$BY$53,BY32,$BC$6:$BC$53,INDEX(T_Equipos[Grupo],MATCH(BD32,T_Equipos[NombreEquipo],0)))&amp;")")</f>
        <v>P.3 (2)</v>
      </c>
      <c r="CA32" s="770">
        <f t="shared" ca="1" si="40"/>
        <v>1</v>
      </c>
      <c r="CB32" s="770">
        <f t="shared" ca="1" si="41"/>
        <v>1</v>
      </c>
      <c r="CC32" s="770">
        <f t="shared" ca="1" si="42"/>
        <v>0</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P.3 (2)</v>
      </c>
      <c r="CF32" s="770">
        <f t="shared" ca="1" si="43"/>
        <v>1</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P.3 (2)</v>
      </c>
      <c r="CI32" s="770">
        <f t="shared" ca="1" si="44"/>
        <v>0</v>
      </c>
      <c r="CJ32" s="770">
        <f t="shared" ca="1" si="45"/>
        <v>1</v>
      </c>
      <c r="CK32" s="770">
        <f t="shared" ca="1" si="46"/>
        <v>0</v>
      </c>
      <c r="CL32" s="770">
        <f t="shared" ca="1" si="47"/>
        <v>1</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P.3 (2)</v>
      </c>
      <c r="CO32" s="770">
        <f t="shared" ca="1" si="48"/>
        <v>1</v>
      </c>
      <c r="CP32" s="770">
        <f t="shared" ca="1" si="49"/>
        <v>1</v>
      </c>
      <c r="CQ32" s="770">
        <f t="shared" ca="1" si="50"/>
        <v>0</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P.3 (2)</v>
      </c>
      <c r="CT32" s="770">
        <f t="shared" ca="1" si="51"/>
        <v>1</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P.3 (2)</v>
      </c>
      <c r="CW32" s="769">
        <f t="shared" ca="1" si="30"/>
        <v>-3</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P.3 (2)</v>
      </c>
      <c r="CZ32" s="769">
        <f t="shared" ca="1" si="31"/>
        <v>1</v>
      </c>
      <c r="DA32" s="770">
        <f ca="1">CX32+COUNTIFS($CY$6:$CY$53,CY32,$CZ$6:CZ$53,"&gt;"&amp;CZ32,$BC$6:$BC$53,INDEX(T_Equipos[Grupo],MATCH(BD32,T_Equipos[NombreEquipo],0)))</f>
        <v>4</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4</v>
      </c>
      <c r="DE32" s="768"/>
      <c r="DF32" s="768">
        <f t="shared" ca="1" si="52"/>
        <v>4</v>
      </c>
      <c r="DG32" s="768" t="str">
        <f ca="1">IF(DB32="-","-",COUNTIFS(DF$6:DF$53,"&lt;"&amp;DF32,$BC$6:$BC$53,INDEX(T_Equipos[Grupo],MATCH(BD32,T_Equipos[NombreEquipo],0))))</f>
        <v>-</v>
      </c>
      <c r="DH32" s="768">
        <f ca="1">DA32+COUNTIFS(DB$6:DB$53,DB32,DG$6:DG$53,"&lt;"&amp;DG32,$BC$6:$BC$53,INDEX(T_Equipos[Grupo],MATCH(BD32,T_Equipos[NombreEquipo],0)))</f>
        <v>4</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Nueva Zelanda</v>
      </c>
      <c r="DR32" s="756"/>
      <c r="DS32" s="756"/>
      <c r="DT32" s="756" t="str">
        <f t="shared" ca="1" si="15"/>
        <v>Turquía-Estados Unidos</v>
      </c>
      <c r="DU32" s="756"/>
      <c r="DV32" s="756"/>
      <c r="DW32" s="8"/>
    </row>
    <row r="33" spans="1:127" ht="17.149999999999999" customHeight="1" thickBot="1">
      <c r="A33" s="751"/>
      <c r="B33" s="751"/>
      <c r="C33" s="751"/>
      <c r="D33" s="756" t="str">
        <f t="shared" si="94"/>
        <v>Local</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36"/>
      <c r="X33" s="234">
        <f ca="1">Horarios!C33</f>
        <v>46198.833333333328</v>
      </c>
      <c r="Y33" s="235">
        <f ca="1">Horarios!C33</f>
        <v>46198.833333333328</v>
      </c>
      <c r="Z33" s="236" t="str">
        <f>$Z$8</f>
        <v>J3</v>
      </c>
      <c r="AA33" s="237" t="str">
        <f ca="1">A30</f>
        <v>Paraguay</v>
      </c>
      <c r="AB33" s="487" t="e" cm="1" vm="14">
        <f t="array" aca="1" ref="AB33" ca="1">Ver_flag_local</f>
        <v>#VALUE!</v>
      </c>
      <c r="AC33" s="238">
        <v>1</v>
      </c>
      <c r="AD33" s="239">
        <v>0</v>
      </c>
      <c r="AE33" s="492" t="e" cm="1" vm="15">
        <f t="array" aca="1" ref="AE33" ca="1">Ver_flag_visit</f>
        <v>#VALUE!</v>
      </c>
      <c r="AF33" s="240" t="str">
        <f ca="1">A31</f>
        <v>Australia</v>
      </c>
      <c r="AG33" s="421">
        <f t="shared" si="107"/>
        <v>1</v>
      </c>
      <c r="AH33" s="202">
        <v>60</v>
      </c>
      <c r="AI33" s="19" t="str">
        <f t="shared" si="112"/>
        <v>4D</v>
      </c>
      <c r="AJ33" s="241">
        <v>4</v>
      </c>
      <c r="AK33" s="495" t="e" cm="1" vm="15">
        <f t="array" aca="1" ref="AK33" ca="1">Ver_flag_visit</f>
        <v>#VALUE!</v>
      </c>
      <c r="AL33" s="242" t="str">
        <f ca="1">IFERROR(INDEX($BD$6:$BD$53,MATCH(AI33,$BN$6:$BN$53,0)),"")</f>
        <v>Australia</v>
      </c>
      <c r="AM33" s="243">
        <f t="shared" ca="1" si="111"/>
        <v>1</v>
      </c>
      <c r="AN33" s="244">
        <f t="shared" ca="1" si="111"/>
        <v>3</v>
      </c>
      <c r="AO33" s="244">
        <f t="shared" ca="1" si="111"/>
        <v>0</v>
      </c>
      <c r="AP33" s="244">
        <f t="shared" ca="1" si="111"/>
        <v>1</v>
      </c>
      <c r="AQ33" s="244">
        <f t="shared" ca="1" si="111"/>
        <v>2</v>
      </c>
      <c r="AR33" s="244">
        <f t="shared" ca="1" si="111"/>
        <v>1</v>
      </c>
      <c r="AS33" s="244">
        <f t="shared" ca="1" si="111"/>
        <v>3</v>
      </c>
      <c r="AT33" s="245">
        <f t="shared" ca="1" si="111"/>
        <v>-2</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2</v>
      </c>
      <c r="BK33" s="760">
        <f t="shared" ca="1" si="21"/>
        <v>5</v>
      </c>
      <c r="BL33" s="760">
        <f t="shared" ca="1" si="27"/>
        <v>-3</v>
      </c>
      <c r="BM33" s="760" t="str">
        <f t="shared" ca="1" si="22"/>
        <v>3G</v>
      </c>
      <c r="BN33" s="760" t="str">
        <f t="shared" ca="1" si="23"/>
        <v>3G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3</v>
      </c>
      <c r="BT33" s="769" t="str">
        <f ca="1">IF(COUNTIFS($BS$6:$BS$53,BS33,$BC$6:$BC$53,INDEX(T_Equipos[Grupo],MATCH(BD33,T_Equipos[NombreEquipo],0)))=1,"-","P."&amp;BS33&amp;" ("&amp;COUNTIFS($BS$6:$BS$53,BS33,$BC$6:$BC$53,INDEX(T_Equipos[Grupo],MATCH(BD33,T_Equipos[NombreEquipo],0)))&amp;")")</f>
        <v>P.3 (2)</v>
      </c>
      <c r="BU33" s="770">
        <f t="shared" ca="1" si="36"/>
        <v>0</v>
      </c>
      <c r="BV33" s="770">
        <f t="shared" ca="1" si="37"/>
        <v>1</v>
      </c>
      <c r="BW33" s="770">
        <f t="shared" ca="1" si="38"/>
        <v>0</v>
      </c>
      <c r="BX33" s="770">
        <f t="shared" ca="1" si="39"/>
        <v>1</v>
      </c>
      <c r="BY33" s="770">
        <f ca="1">BS33+COUNTIFS($BT$6:$BT$53,BT33,$BX$6:BX$53,"&gt;"&amp;BX33,$BC$6:$BC$53,INDEX(T_Equipos[Grupo],MATCH(BD33,T_Equipos[NombreEquipo],0)))</f>
        <v>3</v>
      </c>
      <c r="BZ33" s="769" t="str">
        <f ca="1">IF(COUNTIFS($BY$6:$BY$53,BY33,$BC$6:$BC$53,INDEX(T_Equipos[Grupo],MATCH(BD33,T_Equipos[NombreEquipo],0)))=1,"-","P."&amp;BY33&amp;" ("&amp;COUNTIFS($BY$6:$BY$53,BY33,$BC$6:$BC$53,INDEX(T_Equipos[Grupo],MATCH(BD33,T_Equipos[NombreEquipo],0)))&amp;")")</f>
        <v>P.3 (2)</v>
      </c>
      <c r="CA33" s="770">
        <f t="shared" ca="1" si="40"/>
        <v>1</v>
      </c>
      <c r="CB33" s="770">
        <f t="shared" ca="1" si="41"/>
        <v>1</v>
      </c>
      <c r="CC33" s="770">
        <f t="shared" ca="1" si="42"/>
        <v>0</v>
      </c>
      <c r="CD33" s="770">
        <f ca="1">BY33+COUNTIFS($BZ$6:$BZ$53,BZ33,$CC$6:CC$53,"&gt;"&amp;CC33,$BC$6:$BC$53,INDEX(T_Equipos[Grupo],MATCH(BD33,T_Equipos[NombreEquipo],0)))</f>
        <v>3</v>
      </c>
      <c r="CE33" s="769" t="str">
        <f ca="1">IF(COUNTIFS($CD$6:$CD$53,CD33,$BC$6:$BC$53,INDEX(T_Equipos[Grupo],MATCH(BD33,T_Equipos[NombreEquipo],0)))=1,"-","P."&amp;CD33&amp;" ("&amp;COUNTIFS($CD$6:$CD$53,CD33,$BC$6:$BC$53,INDEX(T_Equipos[Grupo],MATCH(BD33,T_Equipos[NombreEquipo],0)))&amp;")")</f>
        <v>P.3 (2)</v>
      </c>
      <c r="CF33" s="770">
        <f t="shared" ca="1" si="43"/>
        <v>1</v>
      </c>
      <c r="CG33" s="770">
        <f ca="1">CD33+COUNTIFS($CE$6:$CE$53,CE33,$CF$6:CF$53,"&gt;"&amp;CF33,$BC$6:$BC$53,INDEX(T_Equipos[Grupo],MATCH(BD33,T_Equipos[NombreEquipo],0)))</f>
        <v>3</v>
      </c>
      <c r="CH33" s="769" t="str">
        <f ca="1">IF(COUNTIFS($CG$6:$CG$53,CG33,$BC$6:$BC$53,INDEX(T_Equipos[Grupo],MATCH(BD33,T_Equipos[NombreEquipo],0)))=1,"-","P."&amp;CG33&amp;" ("&amp;COUNTIFS($CG$6:$CG$53,CG33,$BC$6:$BC$53,INDEX(T_Equipos[Grupo],MATCH(BD33,T_Equipos[NombreEquipo],0)))&amp;")")</f>
        <v>P.3 (2)</v>
      </c>
      <c r="CI33" s="770">
        <f t="shared" ca="1" si="44"/>
        <v>0</v>
      </c>
      <c r="CJ33" s="770">
        <f t="shared" ca="1" si="45"/>
        <v>1</v>
      </c>
      <c r="CK33" s="770">
        <f t="shared" ca="1" si="46"/>
        <v>0</v>
      </c>
      <c r="CL33" s="770">
        <f t="shared" ca="1" si="47"/>
        <v>1</v>
      </c>
      <c r="CM33" s="770">
        <f ca="1">CG33+COUNTIFS($CH$6:$CH$53,CH33,$CL$6:CL$53,"&gt;"&amp;CL33,$BC$6:$BC$53,INDEX(T_Equipos[Grupo],MATCH(BD33,T_Equipos[NombreEquipo],0)))</f>
        <v>3</v>
      </c>
      <c r="CN33" s="769" t="str">
        <f ca="1">IF(COUNTIFS($CM$6:$CM$53,CM33,$BC$6:$BC$53,INDEX(T_Equipos[Grupo],MATCH(BD33,T_Equipos[NombreEquipo],0)))=1,"-","P."&amp;CM33&amp;" ("&amp;COUNTIFS($CM$6:$CM$53,CM33,$BC$6:$BC$53,INDEX(T_Equipos[Grupo],MATCH(BD33,T_Equipos[NombreEquipo],0)))&amp;")")</f>
        <v>P.3 (2)</v>
      </c>
      <c r="CO33" s="770">
        <f t="shared" ca="1" si="48"/>
        <v>1</v>
      </c>
      <c r="CP33" s="770">
        <f t="shared" ca="1" si="49"/>
        <v>1</v>
      </c>
      <c r="CQ33" s="770">
        <f t="shared" ca="1" si="50"/>
        <v>0</v>
      </c>
      <c r="CR33" s="770">
        <f ca="1">CM33+COUNTIFS($CN$6:$CN$53,CN33,$CQ$6:CQ$53,"&gt;"&amp;CQ33,$BC$6:$BC$53,INDEX(T_Equipos[Grupo],MATCH(BD33,T_Equipos[NombreEquipo],0)))</f>
        <v>3</v>
      </c>
      <c r="CS33" s="769" t="str">
        <f ca="1">IF(COUNTIFS($CR$6:$CR$53,CR33,$BC$6:$BC$53,INDEX(T_Equipos[Grupo],MATCH(BD33,T_Equipos[NombreEquipo],0)))=1,"-","P."&amp;CR33&amp;" ("&amp;COUNTIFS($CR$6:$CR$53,CR33,$BC$6:$BC$53,INDEX(T_Equipos[Grupo],MATCH(BD33,T_Equipos[NombreEquipo],0)))&amp;")")</f>
        <v>P.3 (2)</v>
      </c>
      <c r="CT33" s="770">
        <f t="shared" ca="1" si="51"/>
        <v>1</v>
      </c>
      <c r="CU33" s="770">
        <f ca="1">CR33+COUNTIFS($CS$6:$CS$53,CS33,$CT$6:CT$53,"&gt;"&amp;CT33,$BC$6:$BC$53,INDEX(T_Equipos[Grupo],MATCH(BD33,T_Equipos[NombreEquipo],0)))</f>
        <v>3</v>
      </c>
      <c r="CV33" s="769" t="str">
        <f ca="1">IF(COUNTIFS($CU$6:$CU$53,CU33,$BC$6:$BC$53,INDEX(T_Equipos[Grupo],MATCH(BD33,T_Equipos[NombreEquipo],0)))=1,"-","P."&amp;CU33&amp;" ("&amp;COUNTIFS($CU$6:$CU$53,CU33,$BC$6:$BC$53,INDEX(T_Equipos[Grupo],MATCH(BD33,T_Equipos[NombreEquipo],0)))&amp;")")</f>
        <v>P.3 (2)</v>
      </c>
      <c r="CW33" s="769">
        <f t="shared" ca="1" si="30"/>
        <v>-3</v>
      </c>
      <c r="CX33" s="769">
        <f ca="1">CU33+COUNTIFS($CV$6:$CV$53,CV33,$CW$6:CW$53,"&gt;"&amp;CW33,$BC$6:$BC$53,INDEX(T_Equipos[Grupo],MATCH(BD33,T_Equipos[NombreEquipo],0)))</f>
        <v>3</v>
      </c>
      <c r="CY33" s="769" t="str">
        <f ca="1">IF(COUNTIFS($CX$6:$CX$53,CX33,$BC$6:$BC$53,INDEX(T_Equipos[Grupo],MATCH(BD33,T_Equipos[NombreEquipo],0)))=1,"-","P."&amp;CX33&amp;" ("&amp;COUNTIFS($CX$6:$CX$53,CX33,$BC$6:$BC$53,INDEX(T_Equipos[Grupo],MATCH(BD33,T_Equipos[NombreEquipo],0)))&amp;")")</f>
        <v>P.3 (2)</v>
      </c>
      <c r="CZ33" s="769">
        <f t="shared" ca="1" si="31"/>
        <v>2</v>
      </c>
      <c r="DA33" s="770">
        <f ca="1">CX33+COUNTIFS($CY$6:$CY$53,CY33,$CZ$6:CZ$53,"&gt;"&amp;CZ33,$BC$6:$BC$53,INDEX(T_Equipos[Grupo],MATCH(BD33,T_Equipos[NombreEquipo],0)))</f>
        <v>3</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3</v>
      </c>
      <c r="DE33" s="768"/>
      <c r="DF33" s="768">
        <f t="shared" ca="1" si="52"/>
        <v>3</v>
      </c>
      <c r="DG33" s="768" t="str">
        <f ca="1">IF(DB33="-","-",COUNTIFS(DF$6:DF$53,"&lt;"&amp;DF33,$BC$6:$BC$53,INDEX(T_Equipos[Grupo],MATCH(BD33,T_Equipos[NombreEquipo],0))))</f>
        <v>-</v>
      </c>
      <c r="DH33" s="768">
        <f ca="1">DA33+COUNTIFS(DB$6:DB$53,DB33,DG$6:DG$53,"&lt;"&amp;DG33,$BC$6:$BC$53,INDEX(T_Equipos[Grupo],MATCH(BD33,T_Equipos[NombreEquipo],0)))</f>
        <v>3</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Irán</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8</v>
      </c>
      <c r="BK34" s="760">
        <f t="shared" ca="1" si="21"/>
        <v>1</v>
      </c>
      <c r="BL34" s="760">
        <f t="shared" ca="1" si="27"/>
        <v>7</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1</v>
      </c>
      <c r="BK35" s="760">
        <f t="shared" ca="1" si="21"/>
        <v>6</v>
      </c>
      <c r="BL35" s="760">
        <f t="shared" ca="1" si="27"/>
        <v>-5</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37" t="s">
        <v>3</v>
      </c>
      <c r="X36" s="195">
        <f ca="1">Horarios!C36</f>
        <v>46187.458333333328</v>
      </c>
      <c r="Y36" s="196">
        <f ca="1">Horarios!C36</f>
        <v>46187.458333333328</v>
      </c>
      <c r="Z36" s="197" t="str">
        <f>$Z$4</f>
        <v>J1</v>
      </c>
      <c r="AA36" s="198" t="str">
        <f ca="1">A37</f>
        <v>Alemania</v>
      </c>
      <c r="AB36" s="486" t="e" cm="1" vm="17">
        <f t="array" aca="1" ref="AB36" ca="1">Ver_flag_local</f>
        <v>#VALUE!</v>
      </c>
      <c r="AC36" s="199">
        <v>4</v>
      </c>
      <c r="AD36" s="200">
        <v>0</v>
      </c>
      <c r="AE36" s="491" t="e" cm="1" vm="18">
        <f t="array" aca="1" ref="AE36" ca="1">Ver_flag_visit</f>
        <v>#VALUE!</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1</v>
      </c>
      <c r="BK36" s="760">
        <f t="shared" ca="1" si="21"/>
        <v>5</v>
      </c>
      <c r="BL36" s="760">
        <f t="shared" ca="1" si="27"/>
        <v>-4</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6" customHeight="1">
      <c r="A37" s="757" t="str">
        <f ca="1">+Equipos!B18</f>
        <v>Alemania</v>
      </c>
      <c r="B37" s="754"/>
      <c r="C37" s="754"/>
      <c r="D37" s="756" t="str">
        <f t="shared" si="115"/>
        <v>Visitante</v>
      </c>
      <c r="E37" s="756" t="str">
        <f t="shared" ca="1" si="116"/>
        <v>-</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37"/>
      <c r="X37" s="195">
        <f ca="1">Horarios!C37</f>
        <v>46187.708333333328</v>
      </c>
      <c r="Y37" s="196">
        <f ca="1">Horarios!C37</f>
        <v>46187.708333333328</v>
      </c>
      <c r="Z37" s="197" t="str">
        <f>$Z$4</f>
        <v>J1</v>
      </c>
      <c r="AA37" s="198" t="str">
        <f ca="1">A39</f>
        <v>Costa de Marfil</v>
      </c>
      <c r="AB37" s="486" t="e" cm="1" vm="19">
        <f t="array" aca="1" ref="AB37" ca="1">Ver_flag_local</f>
        <v>#VALUE!</v>
      </c>
      <c r="AC37" s="199">
        <v>0</v>
      </c>
      <c r="AD37" s="200">
        <v>1</v>
      </c>
      <c r="AE37" s="491" t="e" cm="1" vm="20">
        <f t="array" aca="1" ref="AE37" ca="1">Ver_flag_visit</f>
        <v>#VALUE!</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5</v>
      </c>
      <c r="BK37" s="760">
        <f t="shared" ca="1" si="21"/>
        <v>3</v>
      </c>
      <c r="BL37" s="760">
        <f t="shared" ca="1" si="27"/>
        <v>2</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6" customHeight="1">
      <c r="A38" s="757" t="str">
        <f ca="1">+Equipos!B19</f>
        <v>Curazao</v>
      </c>
      <c r="B38" s="754"/>
      <c r="C38" s="758"/>
      <c r="D38" s="756" t="str">
        <f t="shared" si="115"/>
        <v>Local</v>
      </c>
      <c r="E38" s="756" t="str">
        <f t="shared" ca="1" si="116"/>
        <v>-</v>
      </c>
      <c r="F38" s="756" t="str">
        <f t="shared" ca="1" si="117"/>
        <v>-</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37"/>
      <c r="X38" s="195">
        <f ca="1">Horarios!C38</f>
        <v>46193.583333333328</v>
      </c>
      <c r="Y38" s="196">
        <f ca="1">Horarios!C38</f>
        <v>46193.583333333328</v>
      </c>
      <c r="Z38" s="197" t="str">
        <f>$Z$6</f>
        <v>J2</v>
      </c>
      <c r="AA38" s="198" t="str">
        <f ca="1">A37</f>
        <v>Alemania</v>
      </c>
      <c r="AB38" s="486" t="e" cm="1" vm="17">
        <f t="array" aca="1" ref="AB38" ca="1">Ver_flag_local</f>
        <v>#VALUE!</v>
      </c>
      <c r="AC38" s="199">
        <v>3</v>
      </c>
      <c r="AD38" s="200">
        <v>1</v>
      </c>
      <c r="AE38" s="491" t="e" cm="1" vm="19">
        <f t="array" aca="1" ref="AE38" ca="1">Ver_flag_visit</f>
        <v>#VALUE!</v>
      </c>
      <c r="AF38" s="201" t="str">
        <f ca="1">A39</f>
        <v>Costa de Marfil</v>
      </c>
      <c r="AG38" s="421">
        <f t="shared" si="128"/>
        <v>1</v>
      </c>
      <c r="AH38" s="202">
        <v>33</v>
      </c>
      <c r="AI38" s="19" t="str">
        <f>AJ38&amp;$B$36</f>
        <v>1E</v>
      </c>
      <c r="AJ38" s="217">
        <v>1</v>
      </c>
      <c r="AK38" s="496" t="e" cm="1" vm="17">
        <f t="array" aca="1" ref="AK38" ca="1">Ver_flag_visit</f>
        <v>#VALUE!</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10</v>
      </c>
      <c r="AS38" s="220">
        <f t="shared" ca="1" si="132"/>
        <v>1</v>
      </c>
      <c r="AT38" s="221">
        <f t="shared" ca="1" si="132"/>
        <v>9</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8</v>
      </c>
      <c r="BK38" s="760">
        <f t="shared" ca="1" si="21"/>
        <v>1</v>
      </c>
      <c r="BL38" s="760">
        <f t="shared" ca="1" si="27"/>
        <v>7</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37"/>
      <c r="X39" s="195">
        <f ca="1">Horarios!C39</f>
        <v>46193.75</v>
      </c>
      <c r="Y39" s="196">
        <f ca="1">Horarios!C39</f>
        <v>46193.75</v>
      </c>
      <c r="Z39" s="197" t="str">
        <f>$Z$6</f>
        <v>J2</v>
      </c>
      <c r="AA39" s="198" t="str">
        <f ca="1">A40</f>
        <v>Ecuador</v>
      </c>
      <c r="AB39" s="486" t="e" cm="1" vm="20">
        <f t="array" aca="1" ref="AB39" ca="1">Ver_flag_local</f>
        <v>#VALUE!</v>
      </c>
      <c r="AC39" s="199">
        <v>2</v>
      </c>
      <c r="AD39" s="200">
        <v>0</v>
      </c>
      <c r="AE39" s="491" t="e" cm="1" vm="18">
        <f t="array" aca="1" ref="AE39" ca="1">Ver_flag_visit</f>
        <v>#VALUE!</v>
      </c>
      <c r="AF39" s="201" t="str">
        <f ca="1">A38</f>
        <v>Curazao</v>
      </c>
      <c r="AG39" s="421">
        <f t="shared" si="128"/>
        <v>1</v>
      </c>
      <c r="AH39" s="202">
        <v>34</v>
      </c>
      <c r="AI39" s="19" t="str">
        <f t="shared" ref="AI39:AI41" si="133">AJ39&amp;$B$36</f>
        <v>2E</v>
      </c>
      <c r="AJ39" s="227">
        <v>2</v>
      </c>
      <c r="AK39" s="494" t="e" cm="1" vm="20">
        <f t="array" aca="1" ref="AK39" ca="1">Ver_flag_visit</f>
        <v>#VALUE!</v>
      </c>
      <c r="AL39" s="228" t="str">
        <f ca="1">IFERROR(INDEX($BD$6:$BD$53,MATCH(AI39,$BN$6:$BN$53,0)),"")</f>
        <v>Ecuador</v>
      </c>
      <c r="AM39" s="229">
        <f t="shared" ca="1" si="132"/>
        <v>6</v>
      </c>
      <c r="AN39" s="230">
        <f t="shared" ca="1" si="132"/>
        <v>3</v>
      </c>
      <c r="AO39" s="230">
        <f t="shared" ca="1" si="132"/>
        <v>2</v>
      </c>
      <c r="AP39" s="230">
        <f t="shared" ca="1" si="132"/>
        <v>0</v>
      </c>
      <c r="AQ39" s="230">
        <f t="shared" ca="1" si="132"/>
        <v>1</v>
      </c>
      <c r="AR39" s="230">
        <f t="shared" ca="1" si="132"/>
        <v>3</v>
      </c>
      <c r="AS39" s="230">
        <f t="shared" ca="1" si="132"/>
        <v>3</v>
      </c>
      <c r="AT39" s="231">
        <f t="shared" ca="1" si="132"/>
        <v>0</v>
      </c>
      <c r="AU39" s="428">
        <f ca="1">INDEX($DL$6:$DL$53,MATCH(AI39,$DP$6:$DP$53,0))</f>
        <v>1</v>
      </c>
      <c r="AV39" s="223" t="str">
        <f ca="1">INDEX($BD$6:$BD$53,MATCH(AI39,$BM$6:$BM$53,0))</f>
        <v>Ecuador</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2</v>
      </c>
      <c r="BK39" s="760">
        <f t="shared" ca="1" si="21"/>
        <v>3</v>
      </c>
      <c r="BL39" s="760">
        <f t="shared" ca="1" si="27"/>
        <v>-1</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6"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37"/>
      <c r="X40" s="195">
        <f ca="1">Horarios!C40</f>
        <v>46198.583333333328</v>
      </c>
      <c r="Y40" s="196">
        <f ca="1">Horarios!C40</f>
        <v>46198.583333333328</v>
      </c>
      <c r="Z40" s="197" t="str">
        <f>$Z$8</f>
        <v>J3</v>
      </c>
      <c r="AA40" s="198" t="str">
        <f ca="1">A38</f>
        <v>Curazao</v>
      </c>
      <c r="AB40" s="486" t="e" cm="1" vm="18">
        <f t="array" aca="1" ref="AB40" ca="1">Ver_flag_local</f>
        <v>#VALUE!</v>
      </c>
      <c r="AC40" s="199">
        <v>0</v>
      </c>
      <c r="AD40" s="200">
        <v>1</v>
      </c>
      <c r="AE40" s="491" t="e" cm="1" vm="19">
        <f t="array" aca="1" ref="AE40" ca="1">Ver_flag_visit</f>
        <v>#VALUE!</v>
      </c>
      <c r="AF40" s="201" t="str">
        <f ca="1">A39</f>
        <v>Costa de Marfil</v>
      </c>
      <c r="AG40" s="421">
        <f t="shared" si="128"/>
        <v>1</v>
      </c>
      <c r="AH40" s="202">
        <v>55</v>
      </c>
      <c r="AI40" s="19" t="str">
        <f t="shared" si="133"/>
        <v>3E</v>
      </c>
      <c r="AJ40" s="227">
        <v>3</v>
      </c>
      <c r="AK40" s="494" t="e" cm="1" vm="19">
        <f t="array" aca="1" ref="AK40" ca="1">Ver_flag_visit</f>
        <v>#VALUE!</v>
      </c>
      <c r="AL40" s="228" t="str">
        <f ca="1">IFERROR(INDEX($BD$6:$BD$53,MATCH(AI40,$BN$6:$BN$53,0)),"")</f>
        <v>Costa de Marfil</v>
      </c>
      <c r="AM40" s="229">
        <f t="shared" ca="1" si="132"/>
        <v>3</v>
      </c>
      <c r="AN40" s="230">
        <f t="shared" ca="1" si="132"/>
        <v>3</v>
      </c>
      <c r="AO40" s="230">
        <f t="shared" ca="1" si="132"/>
        <v>1</v>
      </c>
      <c r="AP40" s="230">
        <f t="shared" ca="1" si="132"/>
        <v>0</v>
      </c>
      <c r="AQ40" s="230">
        <f t="shared" ca="1" si="132"/>
        <v>2</v>
      </c>
      <c r="AR40" s="230">
        <f t="shared" ca="1" si="132"/>
        <v>2</v>
      </c>
      <c r="AS40" s="230">
        <f t="shared" ca="1" si="132"/>
        <v>4</v>
      </c>
      <c r="AT40" s="231">
        <f t="shared" ca="1" si="132"/>
        <v>-2</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0</v>
      </c>
      <c r="BK40" s="760">
        <f t="shared" ca="1" si="21"/>
        <v>9</v>
      </c>
      <c r="BL40" s="760">
        <f t="shared" ca="1" si="27"/>
        <v>-9</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49999999999999" customHeight="1" thickBot="1">
      <c r="A41" s="751"/>
      <c r="B41" s="751"/>
      <c r="C41" s="751"/>
      <c r="D41" s="756" t="str">
        <f t="shared" si="115"/>
        <v>Visitante</v>
      </c>
      <c r="E41" s="756" t="str">
        <f t="shared" ca="1" si="116"/>
        <v>-</v>
      </c>
      <c r="F41" s="756" t="str">
        <f t="shared" ca="1" si="117"/>
        <v>-</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38"/>
      <c r="X41" s="234">
        <f ca="1">Horarios!C41</f>
        <v>46198.583333333328</v>
      </c>
      <c r="Y41" s="235">
        <f ca="1">Horarios!C41</f>
        <v>46198.583333333328</v>
      </c>
      <c r="Z41" s="236" t="str">
        <f>$Z$8</f>
        <v>J3</v>
      </c>
      <c r="AA41" s="237" t="str">
        <f ca="1">A40</f>
        <v>Ecuador</v>
      </c>
      <c r="AB41" s="487" t="e" cm="1" vm="20">
        <f t="array" aca="1" ref="AB41" ca="1">Ver_flag_local</f>
        <v>#VALUE!</v>
      </c>
      <c r="AC41" s="238">
        <v>0</v>
      </c>
      <c r="AD41" s="239">
        <v>3</v>
      </c>
      <c r="AE41" s="492" t="e" cm="1" vm="17">
        <f t="array" aca="1" ref="AE41" ca="1">Ver_flag_visit</f>
        <v>#VALUE!</v>
      </c>
      <c r="AF41" s="240" t="str">
        <f ca="1">A37</f>
        <v>Alemania</v>
      </c>
      <c r="AG41" s="421">
        <f t="shared" si="128"/>
        <v>1</v>
      </c>
      <c r="AH41" s="202">
        <v>56</v>
      </c>
      <c r="AI41" s="19" t="str">
        <f t="shared" si="133"/>
        <v>4E</v>
      </c>
      <c r="AJ41" s="241">
        <v>4</v>
      </c>
      <c r="AK41" s="495" t="e" cm="1" vm="18">
        <f t="array" aca="1" ref="AK41" ca="1">Ver_flag_visit</f>
        <v>#VALUE!</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0</v>
      </c>
      <c r="AS41" s="244">
        <f t="shared" ca="1" si="132"/>
        <v>7</v>
      </c>
      <c r="AT41" s="245">
        <f t="shared" ca="1" si="132"/>
        <v>-7</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6</v>
      </c>
      <c r="BF41" s="760">
        <f t="shared" ca="1" si="26"/>
        <v>3</v>
      </c>
      <c r="BG41" s="760">
        <f t="shared" ca="1" si="17"/>
        <v>2</v>
      </c>
      <c r="BH41" s="760">
        <f t="shared" ca="1" si="18"/>
        <v>0</v>
      </c>
      <c r="BI41" s="760">
        <f t="shared" ca="1" si="19"/>
        <v>1</v>
      </c>
      <c r="BJ41" s="760">
        <f t="shared" ca="1" si="20"/>
        <v>5</v>
      </c>
      <c r="BK41" s="760">
        <f t="shared" ca="1" si="21"/>
        <v>2</v>
      </c>
      <c r="BL41" s="760">
        <f t="shared" ca="1" si="27"/>
        <v>3</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6</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1</v>
      </c>
      <c r="BL42" s="760">
        <f t="shared" ca="1" si="27"/>
        <v>7</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3</v>
      </c>
      <c r="BF43" s="760">
        <f t="shared" ca="1" si="26"/>
        <v>3</v>
      </c>
      <c r="BG43" s="760">
        <f t="shared" ca="1" si="17"/>
        <v>1</v>
      </c>
      <c r="BH43" s="760">
        <f t="shared" ca="1" si="18"/>
        <v>0</v>
      </c>
      <c r="BI43" s="760">
        <f t="shared" ca="1" si="19"/>
        <v>2</v>
      </c>
      <c r="BJ43" s="760">
        <f t="shared" ca="1" si="20"/>
        <v>1</v>
      </c>
      <c r="BK43" s="760">
        <f t="shared" ca="1" si="21"/>
        <v>4</v>
      </c>
      <c r="BL43" s="760">
        <f t="shared" ca="1" si="27"/>
        <v>-3</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3</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00" t="s">
        <v>4</v>
      </c>
      <c r="X44" s="195">
        <f ca="1">Horarios!C44</f>
        <v>46187.583333333328</v>
      </c>
      <c r="Y44" s="196">
        <f ca="1">Horarios!C44</f>
        <v>46187.583333333328</v>
      </c>
      <c r="Z44" s="197" t="str">
        <f>$Z$4</f>
        <v>J1</v>
      </c>
      <c r="AA44" s="198" t="str">
        <f ca="1">A45</f>
        <v>Países Bajos</v>
      </c>
      <c r="AB44" s="486" t="e" cm="1" vm="21">
        <f t="array" aca="1" ref="AB44" ca="1">Ver_flag_local</f>
        <v>#VALUE!</v>
      </c>
      <c r="AC44" s="199">
        <v>2</v>
      </c>
      <c r="AD44" s="200">
        <v>0</v>
      </c>
      <c r="AE44" s="491" t="e" cm="1" vm="22">
        <f t="array" aca="1" ref="AE44" ca="1">Ver_flag_visit</f>
        <v>#VALUE!</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6</v>
      </c>
      <c r="BF44" s="760">
        <f t="shared" ca="1" si="26"/>
        <v>3</v>
      </c>
      <c r="BG44" s="760">
        <f t="shared" ca="1" si="17"/>
        <v>2</v>
      </c>
      <c r="BH44" s="760">
        <f t="shared" ca="1" si="18"/>
        <v>0</v>
      </c>
      <c r="BI44" s="760">
        <f t="shared" ca="1" si="19"/>
        <v>1</v>
      </c>
      <c r="BJ44" s="760">
        <f t="shared" ca="1" si="20"/>
        <v>4</v>
      </c>
      <c r="BK44" s="760">
        <f t="shared" ca="1" si="21"/>
        <v>4</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6</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00"/>
      <c r="X45" s="195">
        <f ca="1">Horarios!C45</f>
        <v>46187.833333333328</v>
      </c>
      <c r="Y45" s="196">
        <f ca="1">Horarios!C45</f>
        <v>46187.833333333328</v>
      </c>
      <c r="Z45" s="197" t="str">
        <f>$Z$4</f>
        <v>J1</v>
      </c>
      <c r="AA45" s="198" t="str">
        <f ca="1">A47</f>
        <v>Suecia</v>
      </c>
      <c r="AB45" s="486" t="e" cm="1" vm="23">
        <f t="array" aca="1" ref="AB45" ca="1">Ver_flag_local</f>
        <v>#VALUE!</v>
      </c>
      <c r="AC45" s="199">
        <v>1</v>
      </c>
      <c r="AD45" s="200">
        <v>0</v>
      </c>
      <c r="AE45" s="491" t="e" cm="1" vm="24">
        <f t="array" aca="1" ref="AE45" ca="1">Ver_flag_visit</f>
        <v>#VALUE!</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1</v>
      </c>
      <c r="BK45" s="760">
        <f t="shared" ca="1" si="21"/>
        <v>5</v>
      </c>
      <c r="BL45" s="760">
        <f t="shared" ca="1" si="27"/>
        <v>-4</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 customHeight="1">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00"/>
      <c r="X46" s="195">
        <f ca="1">Horarios!C46</f>
        <v>46193.458333333328</v>
      </c>
      <c r="Y46" s="196">
        <f ca="1">Horarios!C46</f>
        <v>46193.458333333328</v>
      </c>
      <c r="Z46" s="197" t="str">
        <f>$Z$6</f>
        <v>J2</v>
      </c>
      <c r="AA46" s="198" t="str">
        <f ca="1">A45</f>
        <v>Países Bajos</v>
      </c>
      <c r="AB46" s="486" t="e" cm="1" vm="21">
        <f t="array" aca="1" ref="AB46" ca="1">Ver_flag_local</f>
        <v>#VALUE!</v>
      </c>
      <c r="AC46" s="199">
        <v>2</v>
      </c>
      <c r="AD46" s="200">
        <v>0</v>
      </c>
      <c r="AE46" s="491" t="e" cm="1" vm="23">
        <f t="array" aca="1" ref="AE46" ca="1">Ver_flag_visit</f>
        <v>#VALUE!</v>
      </c>
      <c r="AF46" s="201" t="str">
        <f ca="1">A47</f>
        <v>Suecia</v>
      </c>
      <c r="AG46" s="421">
        <f t="shared" si="149"/>
        <v>1</v>
      </c>
      <c r="AH46" s="202">
        <v>35</v>
      </c>
      <c r="AI46" s="19" t="str">
        <f>AJ46&amp;$B$44</f>
        <v>1F</v>
      </c>
      <c r="AJ46" s="217">
        <v>1</v>
      </c>
      <c r="AK46" s="496" t="e" cm="1" vm="21">
        <f t="array" aca="1" ref="AK46" ca="1">Ver_flag_visit</f>
        <v>#VALUE!</v>
      </c>
      <c r="AL46" s="218" t="str">
        <f ca="1">IFERROR(INDEX($BD$6:$BD$53,MATCH(AI46,$BN$6:$BN$53,0)),"")</f>
        <v>Países Bajos</v>
      </c>
      <c r="AM46" s="219">
        <f t="shared" ref="AM46:AT49" ca="1" si="153">INDEX($BE$6:$BN$53,MATCH($AL46,$BD$6:$BD$53,0),MATCH(AM$5,$BE$5:$BN$5,0))</f>
        <v>9</v>
      </c>
      <c r="AN46" s="220">
        <f t="shared" ca="1" si="153"/>
        <v>3</v>
      </c>
      <c r="AO46" s="220">
        <f t="shared" ca="1" si="153"/>
        <v>3</v>
      </c>
      <c r="AP46" s="220">
        <f t="shared" ca="1" si="153"/>
        <v>0</v>
      </c>
      <c r="AQ46" s="220">
        <f t="shared" ca="1" si="153"/>
        <v>0</v>
      </c>
      <c r="AR46" s="220">
        <f t="shared" ca="1" si="153"/>
        <v>6</v>
      </c>
      <c r="AS46" s="220">
        <f t="shared" ca="1" si="153"/>
        <v>0</v>
      </c>
      <c r="AT46" s="221">
        <f t="shared" ca="1" si="153"/>
        <v>6</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9</v>
      </c>
      <c r="BK46" s="760">
        <f t="shared" ca="1" si="21"/>
        <v>2</v>
      </c>
      <c r="BL46" s="760">
        <f t="shared" ca="1" si="27"/>
        <v>7</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00"/>
      <c r="X47" s="195">
        <f ca="1">Horarios!C47</f>
        <v>46193.916666666664</v>
      </c>
      <c r="Y47" s="196">
        <f ca="1">Horarios!C47</f>
        <v>46193.916666666664</v>
      </c>
      <c r="Z47" s="197" t="str">
        <f>$Z$6</f>
        <v>J2</v>
      </c>
      <c r="AA47" s="198" t="str">
        <f ca="1">A48</f>
        <v>Túnez</v>
      </c>
      <c r="AB47" s="486" t="e" cm="1" vm="24">
        <f t="array" aca="1" ref="AB47" ca="1">Ver_flag_local</f>
        <v>#VALUE!</v>
      </c>
      <c r="AC47" s="199">
        <v>0</v>
      </c>
      <c r="AD47" s="200">
        <v>2</v>
      </c>
      <c r="AE47" s="491" t="e" cm="1" vm="22">
        <f t="array" aca="1" ref="AE47" ca="1">Ver_flag_visit</f>
        <v>#VALUE!</v>
      </c>
      <c r="AF47" s="201" t="str">
        <f ca="1">A46</f>
        <v>Japón</v>
      </c>
      <c r="AG47" s="421">
        <f t="shared" si="149"/>
        <v>1</v>
      </c>
      <c r="AH47" s="202">
        <v>36</v>
      </c>
      <c r="AI47" s="19" t="str">
        <f t="shared" ref="AI47:AI49" si="154">AJ47&amp;$B$44</f>
        <v>2F</v>
      </c>
      <c r="AJ47" s="227">
        <v>2</v>
      </c>
      <c r="AK47" s="494" t="e" cm="1" vm="22">
        <f t="array" aca="1" ref="AK47" ca="1">Ver_flag_visit</f>
        <v>#VALUE!</v>
      </c>
      <c r="AL47" s="228" t="str">
        <f ca="1">IFERROR(INDEX($BD$6:$BD$53,MATCH(AI47,$BN$6:$BN$53,0)),"")</f>
        <v>Japón</v>
      </c>
      <c r="AM47" s="229">
        <f t="shared" ca="1" si="153"/>
        <v>6</v>
      </c>
      <c r="AN47" s="230">
        <f t="shared" ca="1" si="153"/>
        <v>3</v>
      </c>
      <c r="AO47" s="230">
        <f t="shared" ca="1" si="153"/>
        <v>2</v>
      </c>
      <c r="AP47" s="230">
        <f t="shared" ca="1" si="153"/>
        <v>0</v>
      </c>
      <c r="AQ47" s="230">
        <f t="shared" ca="1" si="153"/>
        <v>1</v>
      </c>
      <c r="AR47" s="230">
        <f t="shared" ca="1" si="153"/>
        <v>3</v>
      </c>
      <c r="AS47" s="230">
        <f t="shared" ca="1" si="153"/>
        <v>2</v>
      </c>
      <c r="AT47" s="231">
        <f t="shared" ca="1" si="153"/>
        <v>1</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3</v>
      </c>
      <c r="BF47" s="760">
        <f t="shared" ca="1" si="26"/>
        <v>3</v>
      </c>
      <c r="BG47" s="760">
        <f t="shared" ca="1" si="17"/>
        <v>1</v>
      </c>
      <c r="BH47" s="760">
        <f t="shared" ca="1" si="18"/>
        <v>0</v>
      </c>
      <c r="BI47" s="760">
        <f t="shared" ca="1" si="19"/>
        <v>2</v>
      </c>
      <c r="BJ47" s="760">
        <f t="shared" ca="1" si="20"/>
        <v>3</v>
      </c>
      <c r="BK47" s="760">
        <f t="shared" ca="1" si="21"/>
        <v>5</v>
      </c>
      <c r="BL47" s="760">
        <f t="shared" ca="1" si="27"/>
        <v>-2</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3</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6" customHeight="1">
      <c r="A48" s="757" t="str">
        <f ca="1">+Equipos!B25</f>
        <v>Túnez</v>
      </c>
      <c r="B48" s="754"/>
      <c r="C48" s="756"/>
      <c r="D48" s="756" t="str">
        <f t="shared" si="136"/>
        <v>Local</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00"/>
      <c r="X48" s="195">
        <f ca="1">Horarios!C48</f>
        <v>46198.708333333328</v>
      </c>
      <c r="Y48" s="196">
        <f ca="1">Horarios!C48</f>
        <v>46198.708333333328</v>
      </c>
      <c r="Z48" s="197" t="str">
        <f>$Z$8</f>
        <v>J3</v>
      </c>
      <c r="AA48" s="198" t="str">
        <f ca="1">A46</f>
        <v>Japón</v>
      </c>
      <c r="AB48" s="486" t="e" cm="1" vm="22">
        <f t="array" aca="1" ref="AB48" ca="1">Ver_flag_local</f>
        <v>#VALUE!</v>
      </c>
      <c r="AC48" s="199">
        <v>1</v>
      </c>
      <c r="AD48" s="200">
        <v>0</v>
      </c>
      <c r="AE48" s="491" t="e" cm="1" vm="23">
        <f t="array" aca="1" ref="AE48" ca="1">Ver_flag_visit</f>
        <v>#VALUE!</v>
      </c>
      <c r="AF48" s="201" t="str">
        <f ca="1">A47</f>
        <v>Suecia</v>
      </c>
      <c r="AG48" s="421">
        <f t="shared" si="149"/>
        <v>1</v>
      </c>
      <c r="AH48" s="202">
        <v>57</v>
      </c>
      <c r="AI48" s="19" t="str">
        <f t="shared" si="154"/>
        <v>3F</v>
      </c>
      <c r="AJ48" s="227">
        <v>3</v>
      </c>
      <c r="AK48" s="494" t="e" cm="1" vm="23">
        <f t="array" aca="1" ref="AK48" ca="1">Ver_flag_visit</f>
        <v>#VALUE!</v>
      </c>
      <c r="AL48" s="228" t="str">
        <f ca="1">IFERROR(INDEX($BD$6:$BD$53,MATCH(AI48,$BN$6:$BN$53,0)),"")</f>
        <v>Suecia</v>
      </c>
      <c r="AM48" s="229">
        <f t="shared" ca="1" si="153"/>
        <v>3</v>
      </c>
      <c r="AN48" s="230">
        <f t="shared" ca="1" si="153"/>
        <v>3</v>
      </c>
      <c r="AO48" s="230">
        <f t="shared" ca="1" si="153"/>
        <v>1</v>
      </c>
      <c r="AP48" s="230">
        <f t="shared" ca="1" si="153"/>
        <v>0</v>
      </c>
      <c r="AQ48" s="230">
        <f t="shared" ca="1" si="153"/>
        <v>2</v>
      </c>
      <c r="AR48" s="230">
        <f t="shared" ca="1" si="153"/>
        <v>1</v>
      </c>
      <c r="AS48" s="230">
        <f t="shared" ca="1" si="153"/>
        <v>3</v>
      </c>
      <c r="AT48" s="231">
        <f t="shared" ca="1" si="153"/>
        <v>-2</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0</v>
      </c>
      <c r="BK48" s="760">
        <f t="shared" ca="1" si="21"/>
        <v>7</v>
      </c>
      <c r="BL48" s="760">
        <f t="shared" ca="1" si="27"/>
        <v>-7</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149999999999999"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01"/>
      <c r="X49" s="234">
        <f ca="1">Horarios!C49</f>
        <v>46198.708333333328</v>
      </c>
      <c r="Y49" s="235">
        <f ca="1">Horarios!C49</f>
        <v>46198.708333333328</v>
      </c>
      <c r="Z49" s="236" t="str">
        <f>$Z$8</f>
        <v>J3</v>
      </c>
      <c r="AA49" s="237" t="str">
        <f ca="1">A48</f>
        <v>Túnez</v>
      </c>
      <c r="AB49" s="487" t="e" cm="1" vm="24">
        <f t="array" aca="1" ref="AB49" ca="1">Ver_flag_local</f>
        <v>#VALUE!</v>
      </c>
      <c r="AC49" s="238">
        <v>0</v>
      </c>
      <c r="AD49" s="239">
        <v>2</v>
      </c>
      <c r="AE49" s="492" t="e" cm="1" vm="21">
        <f t="array" aca="1" ref="AE49" ca="1">Ver_flag_visit</f>
        <v>#VALUE!</v>
      </c>
      <c r="AF49" s="240" t="str">
        <f ca="1">A45</f>
        <v>Países Bajos</v>
      </c>
      <c r="AG49" s="421">
        <f t="shared" si="149"/>
        <v>1</v>
      </c>
      <c r="AH49" s="202">
        <v>58</v>
      </c>
      <c r="AI49" s="19" t="str">
        <f t="shared" si="154"/>
        <v>4F</v>
      </c>
      <c r="AJ49" s="241">
        <v>4</v>
      </c>
      <c r="AK49" s="495" t="e" cm="1" vm="24">
        <f t="array" aca="1" ref="AK49" ca="1">Ver_flag_visit</f>
        <v>#VALUE!</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0</v>
      </c>
      <c r="AS49" s="244">
        <f t="shared" ca="1" si="153"/>
        <v>5</v>
      </c>
      <c r="AT49" s="245">
        <f t="shared" ca="1" si="153"/>
        <v>-5</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4</v>
      </c>
      <c r="BK49" s="760">
        <f t="shared" ca="1" si="21"/>
        <v>2</v>
      </c>
      <c r="BL49" s="760">
        <f t="shared" ca="1" si="27"/>
        <v>2</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9</v>
      </c>
      <c r="BF50" s="760">
        <f t="shared" ca="1" si="26"/>
        <v>3</v>
      </c>
      <c r="BG50" s="760">
        <f t="shared" ca="1" si="17"/>
        <v>3</v>
      </c>
      <c r="BH50" s="760">
        <f t="shared" ca="1" si="18"/>
        <v>0</v>
      </c>
      <c r="BI50" s="760">
        <f t="shared" ca="1" si="19"/>
        <v>0</v>
      </c>
      <c r="BJ50" s="760">
        <f t="shared" ca="1" si="20"/>
        <v>8</v>
      </c>
      <c r="BK50" s="760">
        <f t="shared" ca="1" si="21"/>
        <v>2</v>
      </c>
      <c r="BL50" s="760">
        <f t="shared" ca="1" si="27"/>
        <v>6</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9</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5</v>
      </c>
      <c r="BK51" s="760">
        <f t="shared" ca="1" si="21"/>
        <v>2</v>
      </c>
      <c r="BL51" s="760">
        <f t="shared" ca="1" si="27"/>
        <v>3</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0" t="s">
        <v>6</v>
      </c>
      <c r="X52" s="195">
        <f ca="1">Horarios!C52</f>
        <v>46188.541666666664</v>
      </c>
      <c r="Y52" s="196">
        <f ca="1">Horarios!C52</f>
        <v>46188.541666666664</v>
      </c>
      <c r="Z52" s="197" t="str">
        <f>$Z$4</f>
        <v>J1</v>
      </c>
      <c r="AA52" s="198" t="str">
        <f ca="1">A53</f>
        <v>Bélgica</v>
      </c>
      <c r="AB52" s="486" t="e" cm="1" vm="25">
        <f t="array" aca="1" ref="AB52" ca="1">Ver_flag_local</f>
        <v>#VALUE!</v>
      </c>
      <c r="AC52" s="199">
        <v>2</v>
      </c>
      <c r="AD52" s="200">
        <v>1</v>
      </c>
      <c r="AE52" s="491" t="e" cm="1" vm="26">
        <f t="array" aca="1" ref="AE52" ca="1">Ver_flag_visit</f>
        <v>#VALUE!</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2</v>
      </c>
      <c r="BK52" s="760">
        <f t="shared" ca="1" si="21"/>
        <v>5</v>
      </c>
      <c r="BL52" s="760">
        <f t="shared" ca="1" si="27"/>
        <v>-3</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Empate</v>
      </c>
      <c r="E53" s="756" t="str">
        <f t="shared" ca="1" si="156"/>
        <v>P.3 (2)</v>
      </c>
      <c r="F53" s="756" t="str">
        <f t="shared" ca="1" si="157"/>
        <v>P.3 (2)</v>
      </c>
      <c r="G53" s="756"/>
      <c r="H53" s="756" t="str">
        <f t="shared" ca="1" si="158"/>
        <v>P.3 (2)</v>
      </c>
      <c r="I53" s="756" t="str">
        <f t="shared" ca="1" si="159"/>
        <v>P.3 (2)</v>
      </c>
      <c r="J53" s="756"/>
      <c r="K53" s="756" t="str">
        <f t="shared" ca="1" si="160"/>
        <v>P.3 (2)</v>
      </c>
      <c r="L53" s="756" t="str">
        <f t="shared" ca="1" si="161"/>
        <v>P.3 (2)</v>
      </c>
      <c r="M53" s="756"/>
      <c r="N53" s="756" t="str">
        <f t="shared" ca="1" si="162"/>
        <v>P.3 (2)</v>
      </c>
      <c r="O53" s="756" t="str">
        <f t="shared" ca="1" si="163"/>
        <v>P.3 (2)</v>
      </c>
      <c r="P53" s="756"/>
      <c r="Q53" s="756" t="str">
        <f t="shared" ca="1" si="164"/>
        <v>P.3 (2)</v>
      </c>
      <c r="R53" s="756" t="str">
        <f t="shared" ca="1" si="165"/>
        <v>P.3 (2)</v>
      </c>
      <c r="S53" s="756"/>
      <c r="T53" s="756" t="str">
        <f t="shared" ca="1" si="166"/>
        <v>P.3 (2)</v>
      </c>
      <c r="U53" s="756" t="str">
        <f t="shared" ca="1" si="167"/>
        <v>P.3 (2)</v>
      </c>
      <c r="V53" s="178"/>
      <c r="W53" s="820"/>
      <c r="X53" s="195">
        <f ca="1">Horarios!C53</f>
        <v>46188.791666666664</v>
      </c>
      <c r="Y53" s="196">
        <f ca="1">Horarios!C53</f>
        <v>46188.791666666664</v>
      </c>
      <c r="Z53" s="197" t="str">
        <f>$Z$4</f>
        <v>J1</v>
      </c>
      <c r="AA53" s="198" t="str">
        <f ca="1">A55</f>
        <v>Irán</v>
      </c>
      <c r="AB53" s="486" t="e" cm="1" vm="27">
        <f t="array" aca="1" ref="AB53" ca="1">Ver_flag_local</f>
        <v>#VALUE!</v>
      </c>
      <c r="AC53" s="199">
        <v>1</v>
      </c>
      <c r="AD53" s="200">
        <v>1</v>
      </c>
      <c r="AE53" s="491" t="e" cm="1" vm="28">
        <f t="array" aca="1" ref="AE53" ca="1">Ver_flag_visit</f>
        <v>#VALUE!</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0</v>
      </c>
      <c r="BK53" s="760">
        <f t="shared" ca="1" si="21"/>
        <v>6</v>
      </c>
      <c r="BL53" s="760">
        <f t="shared" ca="1" si="27"/>
        <v>-6</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P.3 (2)</v>
      </c>
      <c r="G54" s="756"/>
      <c r="H54" s="756" t="str">
        <f t="shared" ca="1" si="158"/>
        <v>-</v>
      </c>
      <c r="I54" s="756" t="str">
        <f t="shared" ca="1" si="159"/>
        <v>P.3 (2)</v>
      </c>
      <c r="J54" s="756"/>
      <c r="K54" s="756" t="str">
        <f t="shared" ca="1" si="160"/>
        <v>-</v>
      </c>
      <c r="L54" s="756" t="str">
        <f t="shared" ca="1" si="161"/>
        <v>P.3 (2)</v>
      </c>
      <c r="M54" s="756"/>
      <c r="N54" s="756" t="str">
        <f t="shared" ca="1" si="162"/>
        <v>-</v>
      </c>
      <c r="O54" s="756" t="str">
        <f t="shared" ca="1" si="163"/>
        <v>P.3 (2)</v>
      </c>
      <c r="P54" s="756"/>
      <c r="Q54" s="756" t="str">
        <f t="shared" ca="1" si="164"/>
        <v>-</v>
      </c>
      <c r="R54" s="756" t="str">
        <f t="shared" ca="1" si="165"/>
        <v>P.3 (2)</v>
      </c>
      <c r="S54" s="756"/>
      <c r="T54" s="756" t="str">
        <f t="shared" ca="1" si="166"/>
        <v>-</v>
      </c>
      <c r="U54" s="756" t="str">
        <f t="shared" ca="1" si="167"/>
        <v>P.3 (2)</v>
      </c>
      <c r="V54" s="178"/>
      <c r="W54" s="820"/>
      <c r="X54" s="195">
        <f ca="1">Horarios!C54</f>
        <v>46194.541666666664</v>
      </c>
      <c r="Y54" s="196">
        <f ca="1">Horarios!C54</f>
        <v>46194.541666666664</v>
      </c>
      <c r="Z54" s="197" t="str">
        <f>$Z$6</f>
        <v>J2</v>
      </c>
      <c r="AA54" s="198" t="str">
        <f ca="1">A53</f>
        <v>Bélgica</v>
      </c>
      <c r="AB54" s="486" t="e" cm="1" vm="25">
        <f t="array" aca="1" ref="AB54" ca="1">Ver_flag_local</f>
        <v>#VALUE!</v>
      </c>
      <c r="AC54" s="199">
        <v>2</v>
      </c>
      <c r="AD54" s="200">
        <v>0</v>
      </c>
      <c r="AE54" s="491" t="e" cm="1" vm="27">
        <f t="array" aca="1" ref="AE54" ca="1">Ver_flag_visit</f>
        <v>#VALUE!</v>
      </c>
      <c r="AF54" s="201" t="str">
        <f ca="1">A55</f>
        <v>Irán</v>
      </c>
      <c r="AG54" s="421">
        <f t="shared" si="168"/>
        <v>1</v>
      </c>
      <c r="AH54" s="202">
        <v>39</v>
      </c>
      <c r="AI54" s="19" t="str">
        <f>AJ54&amp;$B$52</f>
        <v>1G</v>
      </c>
      <c r="AJ54" s="217">
        <v>1</v>
      </c>
      <c r="AK54" s="496" t="e" cm="1" vm="25">
        <f t="array" aca="1" ref="AK54" ca="1">Ver_flag_visit</f>
        <v>#VALUE!</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6</v>
      </c>
      <c r="AS54" s="220">
        <f t="shared" ca="1" si="172"/>
        <v>1</v>
      </c>
      <c r="AT54" s="221">
        <f t="shared" ca="1" si="172"/>
        <v>5</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P.3 (2)</v>
      </c>
      <c r="F55" s="756" t="str">
        <f t="shared" ca="1" si="157"/>
        <v>-</v>
      </c>
      <c r="G55" s="756"/>
      <c r="H55" s="756" t="str">
        <f t="shared" ca="1" si="158"/>
        <v>P.3 (2)</v>
      </c>
      <c r="I55" s="756" t="str">
        <f t="shared" ca="1" si="159"/>
        <v>-</v>
      </c>
      <c r="J55" s="756"/>
      <c r="K55" s="756" t="str">
        <f t="shared" ca="1" si="160"/>
        <v>P.3 (2)</v>
      </c>
      <c r="L55" s="756" t="str">
        <f t="shared" ca="1" si="161"/>
        <v>-</v>
      </c>
      <c r="M55" s="756"/>
      <c r="N55" s="756" t="str">
        <f t="shared" ca="1" si="162"/>
        <v>P.3 (2)</v>
      </c>
      <c r="O55" s="756" t="str">
        <f t="shared" ca="1" si="163"/>
        <v>-</v>
      </c>
      <c r="P55" s="756"/>
      <c r="Q55" s="756" t="str">
        <f t="shared" ca="1" si="164"/>
        <v>P.3 (2)</v>
      </c>
      <c r="R55" s="756" t="str">
        <f t="shared" ca="1" si="165"/>
        <v>-</v>
      </c>
      <c r="S55" s="756"/>
      <c r="T55" s="756" t="str">
        <f t="shared" ca="1" si="166"/>
        <v>P.3 (2)</v>
      </c>
      <c r="U55" s="756" t="str">
        <f t="shared" ca="1" si="167"/>
        <v>-</v>
      </c>
      <c r="V55" s="178"/>
      <c r="W55" s="820"/>
      <c r="X55" s="195">
        <f ca="1">Horarios!C55</f>
        <v>46194.791666666664</v>
      </c>
      <c r="Y55" s="196">
        <f ca="1">Horarios!C55</f>
        <v>46194.791666666664</v>
      </c>
      <c r="Z55" s="197" t="str">
        <f>$Z$6</f>
        <v>J2</v>
      </c>
      <c r="AA55" s="198" t="str">
        <f ca="1">A56</f>
        <v>Nueva Zelanda</v>
      </c>
      <c r="AB55" s="486" t="e" cm="1" vm="28">
        <f t="array" aca="1" ref="AB55" ca="1">Ver_flag_local</f>
        <v>#VALUE!</v>
      </c>
      <c r="AC55" s="199">
        <v>1</v>
      </c>
      <c r="AD55" s="200">
        <v>2</v>
      </c>
      <c r="AE55" s="491" t="e" cm="1" vm="26">
        <f t="array" aca="1" ref="AE55" ca="1">Ver_flag_visit</f>
        <v>#VALUE!</v>
      </c>
      <c r="AF55" s="201" t="str">
        <f ca="1">A54</f>
        <v>Egipto</v>
      </c>
      <c r="AG55" s="421">
        <f t="shared" si="168"/>
        <v>1</v>
      </c>
      <c r="AH55" s="202">
        <v>40</v>
      </c>
      <c r="AI55" s="19" t="str">
        <f t="shared" ref="AI55:AI57" si="173">AJ55&amp;$B$52</f>
        <v>2G</v>
      </c>
      <c r="AJ55" s="227">
        <v>2</v>
      </c>
      <c r="AK55" s="494" t="e" cm="1" vm="26">
        <f t="array" aca="1" ref="AK55" ca="1">Ver_flag_visit</f>
        <v>#VALUE!</v>
      </c>
      <c r="AL55" s="228" t="str">
        <f ca="1">IFERROR(INDEX($BD$6:$BD$53,MATCH(AI55,$BN$6:$BN$53,0)),"")</f>
        <v>Egipto</v>
      </c>
      <c r="AM55" s="229">
        <f t="shared" ca="1" si="172"/>
        <v>6</v>
      </c>
      <c r="AN55" s="230">
        <f t="shared" ca="1" si="172"/>
        <v>3</v>
      </c>
      <c r="AO55" s="230">
        <f t="shared" ca="1" si="172"/>
        <v>2</v>
      </c>
      <c r="AP55" s="230">
        <f t="shared" ca="1" si="172"/>
        <v>0</v>
      </c>
      <c r="AQ55" s="230">
        <f t="shared" ca="1" si="172"/>
        <v>1</v>
      </c>
      <c r="AR55" s="230">
        <f t="shared" ca="1" si="172"/>
        <v>4</v>
      </c>
      <c r="AS55" s="230">
        <f t="shared" ca="1" si="172"/>
        <v>3</v>
      </c>
      <c r="AT55" s="231">
        <f t="shared" ca="1" si="172"/>
        <v>1</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Local</v>
      </c>
      <c r="E56" s="756" t="str">
        <f t="shared" ca="1" si="156"/>
        <v>-</v>
      </c>
      <c r="F56" s="756" t="str">
        <f t="shared" ca="1" si="157"/>
        <v>P.3 (2)</v>
      </c>
      <c r="G56" s="756"/>
      <c r="H56" s="756" t="str">
        <f t="shared" ca="1" si="158"/>
        <v>-</v>
      </c>
      <c r="I56" s="756" t="str">
        <f t="shared" ca="1" si="159"/>
        <v>P.3 (2)</v>
      </c>
      <c r="J56" s="756"/>
      <c r="K56" s="756" t="str">
        <f t="shared" ca="1" si="160"/>
        <v>-</v>
      </c>
      <c r="L56" s="756" t="str">
        <f t="shared" ca="1" si="161"/>
        <v>P.3 (2)</v>
      </c>
      <c r="M56" s="756"/>
      <c r="N56" s="756" t="str">
        <f t="shared" ca="1" si="162"/>
        <v>-</v>
      </c>
      <c r="O56" s="756" t="str">
        <f t="shared" ca="1" si="163"/>
        <v>P.3 (2)</v>
      </c>
      <c r="P56" s="756"/>
      <c r="Q56" s="756" t="str">
        <f t="shared" ca="1" si="164"/>
        <v>-</v>
      </c>
      <c r="R56" s="756" t="str">
        <f t="shared" ca="1" si="165"/>
        <v>P.3 (2)</v>
      </c>
      <c r="S56" s="756"/>
      <c r="T56" s="756" t="str">
        <f t="shared" ca="1" si="166"/>
        <v>-</v>
      </c>
      <c r="U56" s="756" t="str">
        <f t="shared" ca="1" si="167"/>
        <v>P.3 (2)</v>
      </c>
      <c r="V56" s="178"/>
      <c r="W56" s="820"/>
      <c r="X56" s="195">
        <f ca="1">Horarios!C56</f>
        <v>46199.875</v>
      </c>
      <c r="Y56" s="196">
        <f ca="1">Horarios!C56</f>
        <v>46199.875</v>
      </c>
      <c r="Z56" s="197" t="str">
        <f>$Z$8</f>
        <v>J3</v>
      </c>
      <c r="AA56" s="198" t="str">
        <f ca="1">A54</f>
        <v>Egipto</v>
      </c>
      <c r="AB56" s="486" t="e" cm="1" vm="26">
        <f t="array" aca="1" ref="AB56" ca="1">Ver_flag_local</f>
        <v>#VALUE!</v>
      </c>
      <c r="AC56" s="199">
        <v>1</v>
      </c>
      <c r="AD56" s="200">
        <v>0</v>
      </c>
      <c r="AE56" s="491" t="e" cm="1" vm="27">
        <f t="array" aca="1" ref="AE56" ca="1">Ver_flag_visit</f>
        <v>#VALUE!</v>
      </c>
      <c r="AF56" s="201" t="str">
        <f ca="1">A55</f>
        <v>Irán</v>
      </c>
      <c r="AG56" s="421">
        <f t="shared" si="168"/>
        <v>1</v>
      </c>
      <c r="AH56" s="202">
        <v>63</v>
      </c>
      <c r="AI56" s="19" t="str">
        <f t="shared" si="173"/>
        <v>3G</v>
      </c>
      <c r="AJ56" s="227">
        <v>3</v>
      </c>
      <c r="AK56" s="494" t="e" cm="1" vm="28">
        <f t="array" aca="1" ref="AK56" ca="1">Ver_flag_visit</f>
        <v>#VALUE!</v>
      </c>
      <c r="AL56" s="228" t="str">
        <f ca="1">IFERROR(INDEX($BD$6:$BD$53,MATCH(AI56,$BN$6:$BN$53,0)),"")</f>
        <v>Nueva Zelanda</v>
      </c>
      <c r="AM56" s="229">
        <f t="shared" ca="1" si="172"/>
        <v>1</v>
      </c>
      <c r="AN56" s="230">
        <f t="shared" ca="1" si="172"/>
        <v>3</v>
      </c>
      <c r="AO56" s="230">
        <f t="shared" ca="1" si="172"/>
        <v>0</v>
      </c>
      <c r="AP56" s="230">
        <f t="shared" ca="1" si="172"/>
        <v>1</v>
      </c>
      <c r="AQ56" s="230">
        <f t="shared" ca="1" si="172"/>
        <v>2</v>
      </c>
      <c r="AR56" s="230">
        <f t="shared" ca="1" si="172"/>
        <v>2</v>
      </c>
      <c r="AS56" s="230">
        <f t="shared" ca="1" si="172"/>
        <v>5</v>
      </c>
      <c r="AT56" s="231">
        <f t="shared" ca="1" si="172"/>
        <v>-3</v>
      </c>
      <c r="AU56" s="428">
        <f ca="1">INDEX($DL$6:$DL$53,MATCH(AI56,$DP$6:$DP$53,0))</f>
        <v>1</v>
      </c>
      <c r="AV56" s="223" t="str">
        <f ca="1">INDEX($BD$6:$BD$53,MATCH(AI56,$BM$6:$BM$53,0))</f>
        <v>Nueva Zelanda</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P.3 (2)</v>
      </c>
      <c r="F57" s="756" t="str">
        <f t="shared" ca="1" si="157"/>
        <v>-</v>
      </c>
      <c r="G57" s="756"/>
      <c r="H57" s="756" t="str">
        <f t="shared" ca="1" si="158"/>
        <v>P.3 (2)</v>
      </c>
      <c r="I57" s="756" t="str">
        <f t="shared" ca="1" si="159"/>
        <v>-</v>
      </c>
      <c r="J57" s="756"/>
      <c r="K57" s="756" t="str">
        <f t="shared" ca="1" si="160"/>
        <v>P.3 (2)</v>
      </c>
      <c r="L57" s="756" t="str">
        <f t="shared" ca="1" si="161"/>
        <v>-</v>
      </c>
      <c r="M57" s="756"/>
      <c r="N57" s="756" t="str">
        <f t="shared" ca="1" si="162"/>
        <v>P.3 (2)</v>
      </c>
      <c r="O57" s="756" t="str">
        <f t="shared" ca="1" si="163"/>
        <v>-</v>
      </c>
      <c r="P57" s="756"/>
      <c r="Q57" s="756" t="str">
        <f t="shared" ca="1" si="164"/>
        <v>P.3 (2)</v>
      </c>
      <c r="R57" s="756" t="str">
        <f t="shared" ca="1" si="165"/>
        <v>-</v>
      </c>
      <c r="S57" s="756"/>
      <c r="T57" s="756" t="str">
        <f t="shared" ca="1" si="166"/>
        <v>P.3 (2)</v>
      </c>
      <c r="U57" s="756" t="str">
        <f t="shared" ca="1" si="167"/>
        <v>-</v>
      </c>
      <c r="V57" s="178"/>
      <c r="W57" s="821"/>
      <c r="X57" s="234">
        <f ca="1">Horarios!C57</f>
        <v>46199.875</v>
      </c>
      <c r="Y57" s="235">
        <f ca="1">Horarios!C57</f>
        <v>46199.875</v>
      </c>
      <c r="Z57" s="236" t="str">
        <f>$Z$8</f>
        <v>J3</v>
      </c>
      <c r="AA57" s="237" t="str">
        <f ca="1">A56</f>
        <v>Nueva Zelanda</v>
      </c>
      <c r="AB57" s="487" t="e" cm="1" vm="28">
        <f t="array" aca="1" ref="AB57" ca="1">Ver_flag_local</f>
        <v>#VALUE!</v>
      </c>
      <c r="AC57" s="238">
        <v>0</v>
      </c>
      <c r="AD57" s="239">
        <v>2</v>
      </c>
      <c r="AE57" s="492" t="e" cm="1" vm="25">
        <f t="array" aca="1" ref="AE57" ca="1">Ver_flag_visit</f>
        <v>#VALUE!</v>
      </c>
      <c r="AF57" s="240" t="str">
        <f ca="1">A53</f>
        <v>Bélgica</v>
      </c>
      <c r="AG57" s="421">
        <f t="shared" si="168"/>
        <v>1</v>
      </c>
      <c r="AH57" s="202">
        <v>64</v>
      </c>
      <c r="AI57" s="19" t="str">
        <f t="shared" si="173"/>
        <v>4G</v>
      </c>
      <c r="AJ57" s="241">
        <v>4</v>
      </c>
      <c r="AK57" s="495" t="e" cm="1" vm="27">
        <f t="array" aca="1" ref="AK57" ca="1">Ver_flag_visit</f>
        <v>#VALUE!</v>
      </c>
      <c r="AL57" s="242" t="str">
        <f ca="1">IFERROR(INDEX($BD$6:$BD$53,MATCH(AI57,$BN$6:$BN$53,0)),"")</f>
        <v>Irán</v>
      </c>
      <c r="AM57" s="243">
        <f t="shared" ca="1" si="172"/>
        <v>1</v>
      </c>
      <c r="AN57" s="244">
        <f t="shared" ca="1" si="172"/>
        <v>3</v>
      </c>
      <c r="AO57" s="244">
        <f t="shared" ca="1" si="172"/>
        <v>0</v>
      </c>
      <c r="AP57" s="244">
        <f t="shared" ca="1" si="172"/>
        <v>1</v>
      </c>
      <c r="AQ57" s="244">
        <f t="shared" ca="1" si="172"/>
        <v>2</v>
      </c>
      <c r="AR57" s="244">
        <f t="shared" ca="1" si="172"/>
        <v>1</v>
      </c>
      <c r="AS57" s="244">
        <f t="shared" ca="1" si="172"/>
        <v>4</v>
      </c>
      <c r="AT57" s="245">
        <f t="shared" ca="1" si="172"/>
        <v>-3</v>
      </c>
      <c r="AU57" s="428">
        <f ca="1">INDEX($DL$6:$DL$53,MATCH(AI57,$DP$6:$DP$53,0))</f>
        <v>1</v>
      </c>
      <c r="AV57" s="223" t="str">
        <f ca="1">INDEX($BD$6:$BD$53,MATCH(AI57,$BM$6:$BM$53,0))</f>
        <v>Irán</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0</v>
      </c>
      <c r="BM58" s="760">
        <f ca="1">CB58</f>
        <v>1</v>
      </c>
      <c r="BN58" s="760">
        <f ca="1">CF58</f>
        <v>1</v>
      </c>
      <c r="BO58" s="750" t="str">
        <f>"4"&amp;BC58</f>
        <v>4A</v>
      </c>
      <c r="BP58" s="750"/>
      <c r="BQ58" s="750"/>
      <c r="BR58" s="760">
        <f t="shared" ref="BR58:BR69" ca="1" si="179">+BE58</f>
        <v>4</v>
      </c>
      <c r="BS58" s="760">
        <f ca="1">COUNTIFS(BR$58:BR$69,"&gt;"&amp;BR58)+1</f>
        <v>1</v>
      </c>
      <c r="BT58" s="760" t="str">
        <f ca="1">IF(COUNTIF(BS$58:BS$69,BS58)=1,"-","Pos. "&amp;BS58&amp;" ("&amp;COUNTIF(BS$58:BS$69,BS58)&amp;")")</f>
        <v>-</v>
      </c>
      <c r="BU58" s="760" t="str">
        <f t="shared" ref="BU58:BU69" ca="1" si="180">IF(BT58="-","-",BL58)</f>
        <v>-</v>
      </c>
      <c r="BV58" s="760">
        <f t="shared" ref="BV58:BV69" ca="1" si="181">BS58+COUNTIFS(BT$58:BT$69,BT58,BU$58:BU$69,"&gt;"&amp;BU58)</f>
        <v>1</v>
      </c>
      <c r="BW58" s="760" t="str">
        <f t="shared" ref="BW58:BW69" ca="1" si="182">IF(COUNTIF(BV$58:BV$69,BV58)=1,"-","Pos. "&amp;BV58&amp;" ("&amp;COUNTIF(BV$58:BV$69,BV58)&amp;")")</f>
        <v>-</v>
      </c>
      <c r="BX58" s="760" t="str">
        <f t="shared" ref="BX58:BX69" ca="1" si="183">IF(BW58="-","-",BJ58)</f>
        <v>-</v>
      </c>
      <c r="BY58" s="760">
        <f t="shared" ref="BY58:BY69" ca="1" si="184">BV58+COUNTIFS(BW$58:BW$69,BW58,BX$58:BX$69,"&gt;"&amp;BX58)</f>
        <v>1</v>
      </c>
      <c r="BZ58" s="760" t="str">
        <f t="shared" ref="BZ58:BZ69" ca="1" si="185">IF(COUNTIF(BY$58:BY$69,BY58)=1,"-","Pos. "&amp;BY58&amp;" ("&amp;COUNTIF(BY$58:BY$69,BY58)&amp;")")</f>
        <v>-</v>
      </c>
      <c r="CA58" s="760" t="str">
        <f ca="1">IF(BZ58="-","-",COUNTIF($BD$58:$BD$69,"&gt;"&amp;BD58))</f>
        <v>-</v>
      </c>
      <c r="CB58" s="760">
        <f ca="1">BY58+COUNTIFS(BZ$58:BZ$69,BZ58,CA$58:CA$69,"&gt;"&amp;CA58)</f>
        <v>1</v>
      </c>
      <c r="CC58" s="760"/>
      <c r="CD58" s="760">
        <f ca="1">IF(OR(INDEX($AW$102:$AW$113,MATCH($BD58,$AV$102:$AV$113,0))="",BZ58="-"),CB58,INDEX($AW$102:$AW$113,MATCH($BD58,$AV$102:$AV$113,0))+CB58/1000)</f>
        <v>1</v>
      </c>
      <c r="CE58" s="760" t="str">
        <f ca="1">IF(BZ58="-","-",COUNTIF(CD$58:CD$69,"&lt;"&amp;CD58))</f>
        <v>-</v>
      </c>
      <c r="CF58" s="760">
        <f ca="1">BY58+COUNTIFS(BZ$58:BZ$69,BZ58,CE$58:CE$69,"&lt;"&amp;CE58)</f>
        <v>1</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Corea del Sur</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1</v>
      </c>
      <c r="BK59" s="760">
        <f t="shared" ca="1" si="178"/>
        <v>2</v>
      </c>
      <c r="BL59" s="760">
        <f t="shared" ref="BL59:BL69" ca="1" si="193">BJ59-BK59</f>
        <v>-1</v>
      </c>
      <c r="BM59" s="760">
        <f t="shared" ref="BM59:BM69" ca="1" si="194">CB59</f>
        <v>5</v>
      </c>
      <c r="BN59" s="760">
        <f t="shared" ref="BN59:BN69" ca="1" si="195">CF59</f>
        <v>5</v>
      </c>
      <c r="BO59" s="750" t="str">
        <f t="shared" ref="BO59:BO69" si="196">"4"&amp;BC59</f>
        <v>4B</v>
      </c>
      <c r="BP59" s="750"/>
      <c r="BQ59" s="750"/>
      <c r="BR59" s="760">
        <f t="shared" ca="1" si="179"/>
        <v>3</v>
      </c>
      <c r="BS59" s="760">
        <f t="shared" ref="BS59:BS69" ca="1" si="197">COUNTIFS(BR$58:BR$69,"&gt;"&amp;BR59)+1</f>
        <v>2</v>
      </c>
      <c r="BT59" s="760" t="str">
        <f t="shared" ref="BT59:BT69" ca="1" si="198">IF(COUNTIF(BS$58:BS$69,BS59)=1,"-","Pos. "&amp;BS59&amp;" ("&amp;COUNTIF(BS$58:BS$69,BS59)&amp;")")</f>
        <v>Pos. 2 (10)</v>
      </c>
      <c r="BU59" s="760">
        <f t="shared" ca="1" si="180"/>
        <v>-1</v>
      </c>
      <c r="BV59" s="760">
        <f t="shared" ca="1" si="181"/>
        <v>3</v>
      </c>
      <c r="BW59" s="760" t="str">
        <f t="shared" ca="1" si="182"/>
        <v>Pos. 3 (3)</v>
      </c>
      <c r="BX59" s="760">
        <f t="shared" ca="1" si="183"/>
        <v>1</v>
      </c>
      <c r="BY59" s="760">
        <f t="shared" ca="1" si="184"/>
        <v>5</v>
      </c>
      <c r="BZ59" s="760" t="str">
        <f t="shared" ca="1" si="185"/>
        <v>-</v>
      </c>
      <c r="CA59" s="760" t="str">
        <f t="shared" ref="CA59:CA69" ca="1" si="199">IF(BZ59="-","-",COUNTIF($BD$58:$BD$69,"&gt;"&amp;BD59))</f>
        <v>-</v>
      </c>
      <c r="CB59" s="760">
        <f t="shared" ref="CB59:CB68" ca="1" si="200">BY59+COUNTIFS(BZ$58:BZ$69,BZ59,CA$58:CA$69,"&gt;"&amp;CA59)</f>
        <v>5</v>
      </c>
      <c r="CC59" s="760"/>
      <c r="CD59" s="760">
        <f t="shared" ref="CD59:CD69" ca="1" si="201">IF(OR(INDEX($AW$102:$AW$113,MATCH($BD59,$AV$102:$AV$113,0))="",BZ59="-"),CB59,INDEX($AW$102:$AW$113,MATCH($BD59,$AV$102:$AV$113,0))+CB59/1000)</f>
        <v>5</v>
      </c>
      <c r="CE59" s="760" t="str">
        <f t="shared" ref="CE59:CE69" ca="1" si="202">IF(BZ59="-","-",COUNTIF(CD$58:CD$69,"&lt;"&amp;CD59))</f>
        <v>-</v>
      </c>
      <c r="CF59" s="760">
        <f t="shared" ref="CF59:CF69" ca="1" si="203">BY59+COUNTIFS(BZ$58:BZ$69,BZ59,CE$58:CE$69,"&lt;"&amp;CE59)</f>
        <v>5</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Escocia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02" t="s">
        <v>437</v>
      </c>
      <c r="X60" s="195">
        <f ca="1">Horarios!C60</f>
        <v>46188.416666666664</v>
      </c>
      <c r="Y60" s="196">
        <f ca="1">Horarios!C60</f>
        <v>46188.416666666664</v>
      </c>
      <c r="Z60" s="197" t="str">
        <f>$Z$4</f>
        <v>J1</v>
      </c>
      <c r="AA60" s="198" t="str">
        <f ca="1">A61</f>
        <v>España</v>
      </c>
      <c r="AB60" s="486" t="e" cm="1" vm="29">
        <f t="array" aca="1" ref="AB60" ca="1">Ver_flag_local</f>
        <v>#VALUE!</v>
      </c>
      <c r="AC60" s="199">
        <v>3</v>
      </c>
      <c r="AD60" s="200">
        <v>0</v>
      </c>
      <c r="AE60" s="491" t="e" cm="1" vm="30">
        <f t="array" aca="1" ref="AE60" ca="1">Ver_flag_visit</f>
        <v>#VALUE!</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3</v>
      </c>
      <c r="BK60" s="760">
        <f t="shared" ca="1" si="178"/>
        <v>3</v>
      </c>
      <c r="BL60" s="760">
        <f t="shared" ca="1" si="193"/>
        <v>0</v>
      </c>
      <c r="BM60" s="760">
        <f t="shared" ca="1" si="194"/>
        <v>2</v>
      </c>
      <c r="BN60" s="760">
        <f t="shared" ca="1" si="195"/>
        <v>2</v>
      </c>
      <c r="BO60" s="750" t="str">
        <f t="shared" si="196"/>
        <v>4C</v>
      </c>
      <c r="BP60" s="750"/>
      <c r="BQ60" s="750"/>
      <c r="BR60" s="760">
        <f t="shared" ca="1" si="179"/>
        <v>3</v>
      </c>
      <c r="BS60" s="760">
        <f t="shared" ca="1" si="197"/>
        <v>2</v>
      </c>
      <c r="BT60" s="760" t="str">
        <f t="shared" ca="1" si="198"/>
        <v>Pos. 2 (10)</v>
      </c>
      <c r="BU60" s="760">
        <f t="shared" ca="1" si="180"/>
        <v>0</v>
      </c>
      <c r="BV60" s="760">
        <f t="shared" ca="1" si="181"/>
        <v>2</v>
      </c>
      <c r="BW60" s="760" t="str">
        <f t="shared" ca="1" si="182"/>
        <v>-</v>
      </c>
      <c r="BX60" s="760" t="str">
        <f t="shared" ca="1" si="183"/>
        <v>-</v>
      </c>
      <c r="BY60" s="760">
        <f t="shared" ca="1" si="184"/>
        <v>2</v>
      </c>
      <c r="BZ60" s="760" t="str">
        <f t="shared" ca="1" si="185"/>
        <v>-</v>
      </c>
      <c r="CA60" s="760" t="str">
        <f t="shared" ca="1" si="199"/>
        <v>-</v>
      </c>
      <c r="CB60" s="760">
        <f t="shared" ca="1" si="200"/>
        <v>2</v>
      </c>
      <c r="CC60" s="760"/>
      <c r="CD60" s="760">
        <f t="shared" ca="1" si="201"/>
        <v>2</v>
      </c>
      <c r="CE60" s="760" t="str">
        <f t="shared" ca="1" si="202"/>
        <v>-</v>
      </c>
      <c r="CF60" s="760">
        <f t="shared" ca="1" si="203"/>
        <v>2</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2</v>
      </c>
      <c r="DM60" s="750" t="str">
        <f t="shared" ca="1" si="187"/>
        <v>3.2</v>
      </c>
      <c r="DN60" s="756" t="e" cm="1" vm="31">
        <f t="array" aca="1" ref="DN60" ca="1">OFFSET(Horarios!$P$3,DJ60-1,0,DL60,1)</f>
        <v>#VALUE!</v>
      </c>
      <c r="DO60" s="756"/>
      <c r="DP60" s="756">
        <v>3</v>
      </c>
      <c r="DQ60" s="756" t="str">
        <f t="shared" ca="1" si="205"/>
        <v>Paraguay</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02"/>
      <c r="X61" s="195">
        <f ca="1">Horarios!C61</f>
        <v>46188.666666666664</v>
      </c>
      <c r="Y61" s="196">
        <f ca="1">Horarios!C61</f>
        <v>46188.666666666664</v>
      </c>
      <c r="Z61" s="197" t="str">
        <f>$Z$4</f>
        <v>J1</v>
      </c>
      <c r="AA61" s="198" t="str">
        <f ca="1">A63</f>
        <v>Arabia Saudita</v>
      </c>
      <c r="AB61" s="486" t="e" cm="1" vm="32">
        <f t="array" aca="1" ref="AB61" ca="1">Ver_flag_local</f>
        <v>#VALUE!</v>
      </c>
      <c r="AC61" s="199">
        <v>0</v>
      </c>
      <c r="AD61" s="200">
        <v>2</v>
      </c>
      <c r="AE61" s="491" t="e" cm="1" vm="33">
        <f t="array" aca="1" ref="AE61" ca="1">Ver_flag_visit</f>
        <v>#VALUE!</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3</v>
      </c>
      <c r="BF61" s="760">
        <f t="shared" ca="1" si="190"/>
        <v>3</v>
      </c>
      <c r="BG61" s="760">
        <f t="shared" ca="1" si="191"/>
        <v>1</v>
      </c>
      <c r="BH61" s="760">
        <f t="shared" ca="1" si="192"/>
        <v>0</v>
      </c>
      <c r="BI61" s="760">
        <f t="shared" ca="1" si="176"/>
        <v>2</v>
      </c>
      <c r="BJ61" s="760">
        <f t="shared" ca="1" si="177"/>
        <v>2</v>
      </c>
      <c r="BK61" s="760">
        <f t="shared" ca="1" si="178"/>
        <v>3</v>
      </c>
      <c r="BL61" s="760">
        <f t="shared" ca="1" si="193"/>
        <v>-1</v>
      </c>
      <c r="BM61" s="760">
        <f t="shared" ca="1" si="194"/>
        <v>3</v>
      </c>
      <c r="BN61" s="760">
        <f t="shared" ca="1" si="195"/>
        <v>4</v>
      </c>
      <c r="BO61" s="750" t="str">
        <f t="shared" si="196"/>
        <v>4D</v>
      </c>
      <c r="BP61" s="750"/>
      <c r="BQ61" s="750"/>
      <c r="BR61" s="760">
        <f t="shared" ca="1" si="179"/>
        <v>3</v>
      </c>
      <c r="BS61" s="760">
        <f t="shared" ca="1" si="197"/>
        <v>2</v>
      </c>
      <c r="BT61" s="760" t="str">
        <f t="shared" ca="1" si="198"/>
        <v>Pos. 2 (10)</v>
      </c>
      <c r="BU61" s="760">
        <f t="shared" ca="1" si="180"/>
        <v>-1</v>
      </c>
      <c r="BV61" s="760">
        <f t="shared" ca="1" si="181"/>
        <v>3</v>
      </c>
      <c r="BW61" s="760" t="str">
        <f t="shared" ca="1" si="182"/>
        <v>Pos. 3 (3)</v>
      </c>
      <c r="BX61" s="760">
        <f t="shared" ca="1" si="183"/>
        <v>2</v>
      </c>
      <c r="BY61" s="760">
        <f t="shared" ca="1" si="184"/>
        <v>3</v>
      </c>
      <c r="BZ61" s="760" t="str">
        <f t="shared" ca="1" si="185"/>
        <v>Pos. 3 (2)</v>
      </c>
      <c r="CA61" s="760">
        <f t="shared" ca="1" si="199"/>
        <v>3</v>
      </c>
      <c r="CB61" s="760">
        <f t="shared" ca="1" si="200"/>
        <v>3</v>
      </c>
      <c r="CC61" s="760"/>
      <c r="CD61" s="760">
        <f t="shared" ca="1" si="201"/>
        <v>4.0030000000000001</v>
      </c>
      <c r="CE61" s="760">
        <f t="shared" ca="1" si="202"/>
        <v>3</v>
      </c>
      <c r="CF61" s="760">
        <f t="shared" ca="1" si="203"/>
        <v>4</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3</v>
      </c>
      <c r="DK61" s="756"/>
      <c r="DL61" s="756">
        <f t="shared" ca="1" si="204"/>
        <v>2</v>
      </c>
      <c r="DM61" s="750" t="str">
        <f t="shared" ca="1" si="187"/>
        <v>3.2</v>
      </c>
      <c r="DN61" s="756" t="e" cm="1" vm="31">
        <f t="array" aca="1" ref="DN61" ca="1">OFFSET(Horarios!$P$3,DJ61-1,0,DL61,1)</f>
        <v>#VALUE!</v>
      </c>
      <c r="DO61" s="756"/>
      <c r="DP61" s="756">
        <v>4</v>
      </c>
      <c r="DQ61" s="756" t="str">
        <f t="shared" ca="1" si="205"/>
        <v>Senegal</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02"/>
      <c r="X62" s="195">
        <f ca="1">Horarios!C62</f>
        <v>46194.416666666664</v>
      </c>
      <c r="Y62" s="196">
        <f ca="1">Horarios!C62</f>
        <v>46194.416666666664</v>
      </c>
      <c r="Z62" s="197" t="str">
        <f>$Z$6</f>
        <v>J2</v>
      </c>
      <c r="AA62" s="198" t="str">
        <f ca="1">A61</f>
        <v>España</v>
      </c>
      <c r="AB62" s="486" t="e" cm="1" vm="29">
        <f t="array" aca="1" ref="AB62" ca="1">Ver_flag_local</f>
        <v>#VALUE!</v>
      </c>
      <c r="AC62" s="199">
        <v>3</v>
      </c>
      <c r="AD62" s="200">
        <v>0</v>
      </c>
      <c r="AE62" s="491" t="e" cm="1" vm="32">
        <f t="array" aca="1" ref="AE62" ca="1">Ver_flag_visit</f>
        <v>#VALUE!</v>
      </c>
      <c r="AF62" s="201" t="str">
        <f ca="1">A63</f>
        <v>Arabia Saudita</v>
      </c>
      <c r="AG62" s="421">
        <f t="shared" si="219"/>
        <v>1</v>
      </c>
      <c r="AH62" s="202">
        <v>38</v>
      </c>
      <c r="AI62" s="19" t="str">
        <f>AJ62&amp;$B$60</f>
        <v>1H</v>
      </c>
      <c r="AJ62" s="217">
        <v>1</v>
      </c>
      <c r="AK62" s="496" t="e" cm="1" vm="29">
        <f t="array" aca="1" ref="AK62" ca="1">Ver_flag_visit</f>
        <v>#VALUE!</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8</v>
      </c>
      <c r="AS62" s="220">
        <f t="shared" ca="1" si="223"/>
        <v>1</v>
      </c>
      <c r="AT62" s="221">
        <f t="shared" ca="1" si="223"/>
        <v>7</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3</v>
      </c>
      <c r="BF62" s="760">
        <f t="shared" ca="1" si="190"/>
        <v>3</v>
      </c>
      <c r="BG62" s="760">
        <f t="shared" ca="1" si="191"/>
        <v>1</v>
      </c>
      <c r="BH62" s="760">
        <f t="shared" ca="1" si="192"/>
        <v>0</v>
      </c>
      <c r="BI62" s="760">
        <f t="shared" ca="1" si="176"/>
        <v>2</v>
      </c>
      <c r="BJ62" s="760">
        <f t="shared" ca="1" si="177"/>
        <v>2</v>
      </c>
      <c r="BK62" s="760">
        <f t="shared" ca="1" si="178"/>
        <v>4</v>
      </c>
      <c r="BL62" s="760">
        <f t="shared" ca="1" si="193"/>
        <v>-2</v>
      </c>
      <c r="BM62" s="760">
        <f t="shared" ca="1" si="194"/>
        <v>7</v>
      </c>
      <c r="BN62" s="760">
        <f t="shared" ca="1" si="195"/>
        <v>7</v>
      </c>
      <c r="BO62" s="750" t="str">
        <f t="shared" si="196"/>
        <v>4E</v>
      </c>
      <c r="BP62" s="750"/>
      <c r="BQ62" s="750"/>
      <c r="BR62" s="760">
        <f t="shared" ca="1" si="179"/>
        <v>3</v>
      </c>
      <c r="BS62" s="760">
        <f t="shared" ca="1" si="197"/>
        <v>2</v>
      </c>
      <c r="BT62" s="760" t="str">
        <f t="shared" ca="1" si="198"/>
        <v>Pos. 2 (10)</v>
      </c>
      <c r="BU62" s="760">
        <f t="shared" ca="1" si="180"/>
        <v>-2</v>
      </c>
      <c r="BV62" s="760">
        <f t="shared" ca="1" si="181"/>
        <v>6</v>
      </c>
      <c r="BW62" s="760" t="str">
        <f t="shared" ca="1" si="182"/>
        <v>Pos. 6 (3)</v>
      </c>
      <c r="BX62" s="760">
        <f t="shared" ca="1" si="183"/>
        <v>2</v>
      </c>
      <c r="BY62" s="760">
        <f t="shared" ca="1" si="184"/>
        <v>7</v>
      </c>
      <c r="BZ62" s="760" t="str">
        <f t="shared" ca="1" si="185"/>
        <v>-</v>
      </c>
      <c r="CA62" s="760" t="str">
        <f t="shared" ca="1" si="199"/>
        <v>-</v>
      </c>
      <c r="CB62" s="760">
        <f t="shared" ca="1" si="200"/>
        <v>7</v>
      </c>
      <c r="CC62" s="760"/>
      <c r="CD62" s="760">
        <f t="shared" ca="1" si="201"/>
        <v>7</v>
      </c>
      <c r="CE62" s="760" t="str">
        <f t="shared" ca="1" si="202"/>
        <v>-</v>
      </c>
      <c r="CF62" s="760">
        <f t="shared" ca="1" si="203"/>
        <v>7</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Bosnia y Herzegovina</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02"/>
      <c r="X63" s="195">
        <f ca="1">Horarios!C63</f>
        <v>46194.666666666664</v>
      </c>
      <c r="Y63" s="196">
        <f ca="1">Horarios!C63</f>
        <v>46194.666666666664</v>
      </c>
      <c r="Z63" s="197" t="str">
        <f>$Z$6</f>
        <v>J2</v>
      </c>
      <c r="AA63" s="198" t="str">
        <f ca="1">A64</f>
        <v>Uruguay</v>
      </c>
      <c r="AB63" s="486" t="e" cm="1" vm="33">
        <f t="array" aca="1" ref="AB63" ca="1">Ver_flag_local</f>
        <v>#VALUE!</v>
      </c>
      <c r="AC63" s="199">
        <v>2</v>
      </c>
      <c r="AD63" s="200">
        <v>1</v>
      </c>
      <c r="AE63" s="491" t="e" cm="1" vm="30">
        <f t="array" aca="1" ref="AE63" ca="1">Ver_flag_visit</f>
        <v>#VALUE!</v>
      </c>
      <c r="AF63" s="201" t="str">
        <f ca="1">A62</f>
        <v>Cabo Verde</v>
      </c>
      <c r="AG63" s="421">
        <f t="shared" si="219"/>
        <v>1</v>
      </c>
      <c r="AH63" s="202">
        <v>37</v>
      </c>
      <c r="AI63" s="19" t="str">
        <f t="shared" ref="AI63:AI65" si="224">AJ63&amp;$B$60</f>
        <v>2H</v>
      </c>
      <c r="AJ63" s="227">
        <v>2</v>
      </c>
      <c r="AK63" s="494" t="e" cm="1" vm="33">
        <f t="array" aca="1" ref="AK63" ca="1">Ver_flag_visit</f>
        <v>#VALUE!</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5</v>
      </c>
      <c r="AS63" s="230">
        <f t="shared" ca="1" si="223"/>
        <v>3</v>
      </c>
      <c r="AT63" s="231">
        <f t="shared" ca="1" si="223"/>
        <v>2</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Suecia</v>
      </c>
      <c r="BE63" s="760">
        <f t="shared" ca="1" si="189"/>
        <v>3</v>
      </c>
      <c r="BF63" s="760">
        <f t="shared" ca="1" si="190"/>
        <v>3</v>
      </c>
      <c r="BG63" s="760">
        <f t="shared" ca="1" si="191"/>
        <v>1</v>
      </c>
      <c r="BH63" s="760">
        <f t="shared" ca="1" si="192"/>
        <v>0</v>
      </c>
      <c r="BI63" s="760">
        <f t="shared" ca="1" si="176"/>
        <v>2</v>
      </c>
      <c r="BJ63" s="760">
        <f t="shared" ca="1" si="177"/>
        <v>1</v>
      </c>
      <c r="BK63" s="760">
        <f t="shared" ca="1" si="178"/>
        <v>3</v>
      </c>
      <c r="BL63" s="760">
        <f t="shared" ca="1" si="193"/>
        <v>-2</v>
      </c>
      <c r="BM63" s="760">
        <f t="shared" ca="1" si="194"/>
        <v>8</v>
      </c>
      <c r="BN63" s="760">
        <f t="shared" ca="1" si="195"/>
        <v>8</v>
      </c>
      <c r="BO63" s="750" t="str">
        <f t="shared" si="196"/>
        <v>4F</v>
      </c>
      <c r="BP63" s="750"/>
      <c r="BQ63" s="750"/>
      <c r="BR63" s="760">
        <f t="shared" ca="1" si="179"/>
        <v>3</v>
      </c>
      <c r="BS63" s="760">
        <f t="shared" ca="1" si="197"/>
        <v>2</v>
      </c>
      <c r="BT63" s="760" t="str">
        <f t="shared" ca="1" si="198"/>
        <v>Pos. 2 (10)</v>
      </c>
      <c r="BU63" s="760">
        <f t="shared" ca="1" si="180"/>
        <v>-2</v>
      </c>
      <c r="BV63" s="760">
        <f t="shared" ca="1" si="181"/>
        <v>6</v>
      </c>
      <c r="BW63" s="760" t="str">
        <f t="shared" ca="1" si="182"/>
        <v>Pos. 6 (3)</v>
      </c>
      <c r="BX63" s="760">
        <f t="shared" ca="1" si="183"/>
        <v>1</v>
      </c>
      <c r="BY63" s="760">
        <f t="shared" ca="1" si="184"/>
        <v>8</v>
      </c>
      <c r="BZ63" s="760" t="str">
        <f t="shared" ca="1" si="185"/>
        <v>-</v>
      </c>
      <c r="CA63" s="760" t="str">
        <f t="shared" ca="1" si="199"/>
        <v>-</v>
      </c>
      <c r="CB63" s="760">
        <f t="shared" ca="1" si="200"/>
        <v>8</v>
      </c>
      <c r="CC63" s="760"/>
      <c r="CD63" s="760">
        <f t="shared" ca="1" si="201"/>
        <v>8</v>
      </c>
      <c r="CE63" s="760" t="str">
        <f t="shared" ca="1" si="202"/>
        <v>-</v>
      </c>
      <c r="CF63" s="760">
        <f t="shared" ca="1" si="203"/>
        <v>8</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RD Congo</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02"/>
      <c r="X64" s="195">
        <f ca="1">Horarios!C64</f>
        <v>46199.75</v>
      </c>
      <c r="Y64" s="196">
        <f ca="1">Horarios!C64</f>
        <v>46199.75</v>
      </c>
      <c r="Z64" s="197" t="str">
        <f>$Z$8</f>
        <v>J3</v>
      </c>
      <c r="AA64" s="198" t="str">
        <f ca="1">A62</f>
        <v>Cabo Verde</v>
      </c>
      <c r="AB64" s="486" t="e" cm="1" vm="30">
        <f t="array" aca="1" ref="AB64" ca="1">Ver_flag_local</f>
        <v>#VALUE!</v>
      </c>
      <c r="AC64" s="199">
        <v>0</v>
      </c>
      <c r="AD64" s="200">
        <v>1</v>
      </c>
      <c r="AE64" s="491" t="e" cm="1" vm="32">
        <f t="array" aca="1" ref="AE64" ca="1">Ver_flag_visit</f>
        <v>#VALUE!</v>
      </c>
      <c r="AF64" s="201" t="str">
        <f ca="1">A63</f>
        <v>Arabia Saudita</v>
      </c>
      <c r="AG64" s="421">
        <f t="shared" si="219"/>
        <v>1</v>
      </c>
      <c r="AH64" s="202">
        <v>65</v>
      </c>
      <c r="AI64" s="19" t="str">
        <f t="shared" si="224"/>
        <v>3H</v>
      </c>
      <c r="AJ64" s="227">
        <v>3</v>
      </c>
      <c r="AK64" s="494" t="e" cm="1" vm="32">
        <f t="array" aca="1" ref="AK64" ca="1">Ver_flag_visit</f>
        <v>#VALUE!</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1</v>
      </c>
      <c r="AS64" s="230">
        <f t="shared" ca="1" si="223"/>
        <v>5</v>
      </c>
      <c r="AT64" s="231">
        <f t="shared" ca="1" si="223"/>
        <v>-4</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Nueva Zelanda</v>
      </c>
      <c r="BE64" s="760">
        <f t="shared" ca="1" si="189"/>
        <v>1</v>
      </c>
      <c r="BF64" s="760">
        <f t="shared" ca="1" si="190"/>
        <v>3</v>
      </c>
      <c r="BG64" s="760">
        <f t="shared" ca="1" si="191"/>
        <v>0</v>
      </c>
      <c r="BH64" s="760">
        <f t="shared" ca="1" si="192"/>
        <v>1</v>
      </c>
      <c r="BI64" s="760">
        <f t="shared" ca="1" si="176"/>
        <v>2</v>
      </c>
      <c r="BJ64" s="760">
        <f t="shared" ca="1" si="177"/>
        <v>2</v>
      </c>
      <c r="BK64" s="760">
        <f t="shared" ca="1" si="178"/>
        <v>5</v>
      </c>
      <c r="BL64" s="760">
        <f t="shared" ca="1" si="193"/>
        <v>-3</v>
      </c>
      <c r="BM64" s="760">
        <f t="shared" ca="1" si="194"/>
        <v>12</v>
      </c>
      <c r="BN64" s="760">
        <f t="shared" ca="1" si="195"/>
        <v>12</v>
      </c>
      <c r="BO64" s="750" t="str">
        <f t="shared" si="196"/>
        <v>4G</v>
      </c>
      <c r="BP64" s="750"/>
      <c r="BQ64" s="750"/>
      <c r="BR64" s="760">
        <f t="shared" ca="1" si="179"/>
        <v>1</v>
      </c>
      <c r="BS64" s="760">
        <f t="shared" ca="1" si="197"/>
        <v>12</v>
      </c>
      <c r="BT64" s="760" t="str">
        <f t="shared" ca="1" si="198"/>
        <v>-</v>
      </c>
      <c r="BU64" s="760" t="str">
        <f t="shared" ca="1" si="180"/>
        <v>-</v>
      </c>
      <c r="BV64" s="760">
        <f t="shared" ca="1" si="181"/>
        <v>12</v>
      </c>
      <c r="BW64" s="760" t="str">
        <f t="shared" ca="1" si="182"/>
        <v>-</v>
      </c>
      <c r="BX64" s="760" t="str">
        <f t="shared" ca="1" si="183"/>
        <v>-</v>
      </c>
      <c r="BY64" s="760">
        <f t="shared" ca="1" si="184"/>
        <v>12</v>
      </c>
      <c r="BZ64" s="760" t="str">
        <f t="shared" ca="1" si="185"/>
        <v>-</v>
      </c>
      <c r="CA64" s="760" t="str">
        <f t="shared" ca="1" si="199"/>
        <v>-</v>
      </c>
      <c r="CB64" s="760">
        <f t="shared" ca="1" si="200"/>
        <v>12</v>
      </c>
      <c r="CC64" s="760"/>
      <c r="CD64" s="760">
        <f t="shared" ca="1" si="201"/>
        <v>12</v>
      </c>
      <c r="CE64" s="760" t="str">
        <f t="shared" ca="1" si="202"/>
        <v>-</v>
      </c>
      <c r="CF64" s="760">
        <f t="shared" ca="1" si="203"/>
        <v>12</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Costa de Marfil</v>
      </c>
      <c r="DR64" s="756"/>
      <c r="DS64" s="756"/>
      <c r="DT64" s="756" t="str">
        <f t="shared" ca="1" si="15"/>
        <v>Cabo Verde-Arabia Saudita</v>
      </c>
      <c r="DU64" s="756"/>
      <c r="DV64" s="756"/>
      <c r="DW64" s="8"/>
    </row>
    <row r="65" spans="1:127" ht="1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03"/>
      <c r="X65" s="234">
        <f ca="1">Horarios!C65</f>
        <v>46199.75</v>
      </c>
      <c r="Y65" s="235">
        <f ca="1">Horarios!C65</f>
        <v>46199.75</v>
      </c>
      <c r="Z65" s="236" t="str">
        <f>$Z$8</f>
        <v>J3</v>
      </c>
      <c r="AA65" s="237" t="str">
        <f ca="1">A64</f>
        <v>Uruguay</v>
      </c>
      <c r="AB65" s="487" t="e" cm="1" vm="33">
        <f t="array" aca="1" ref="AB65" ca="1">Ver_flag_local</f>
        <v>#VALUE!</v>
      </c>
      <c r="AC65" s="238">
        <v>1</v>
      </c>
      <c r="AD65" s="239">
        <v>2</v>
      </c>
      <c r="AE65" s="492" t="e" cm="1" vm="29">
        <f t="array" aca="1" ref="AE65" ca="1">Ver_flag_visit</f>
        <v>#VALUE!</v>
      </c>
      <c r="AF65" s="240" t="str">
        <f ca="1">A61</f>
        <v>España</v>
      </c>
      <c r="AG65" s="421">
        <f t="shared" si="219"/>
        <v>1</v>
      </c>
      <c r="AH65" s="202">
        <v>66</v>
      </c>
      <c r="AI65" s="19" t="str">
        <f t="shared" si="224"/>
        <v>4H</v>
      </c>
      <c r="AJ65" s="241">
        <v>4</v>
      </c>
      <c r="AK65" s="495" t="e" cm="1" vm="30">
        <f t="array" aca="1" ref="AK65" ca="1">Ver_flag_visit</f>
        <v>#VALUE!</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1</v>
      </c>
      <c r="AS65" s="244">
        <f t="shared" ca="1" si="223"/>
        <v>6</v>
      </c>
      <c r="AT65" s="245">
        <f t="shared" ca="1" si="223"/>
        <v>-5</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1</v>
      </c>
      <c r="BK65" s="760">
        <f t="shared" ca="1" si="178"/>
        <v>5</v>
      </c>
      <c r="BL65" s="760">
        <f t="shared" ca="1" si="193"/>
        <v>-4</v>
      </c>
      <c r="BM65" s="760">
        <f t="shared" ca="1" si="194"/>
        <v>11</v>
      </c>
      <c r="BN65" s="760">
        <f t="shared" ca="1" si="195"/>
        <v>11</v>
      </c>
      <c r="BO65" s="750" t="str">
        <f t="shared" si="196"/>
        <v>4H</v>
      </c>
      <c r="BP65" s="750"/>
      <c r="BQ65" s="750"/>
      <c r="BR65" s="760">
        <f t="shared" ca="1" si="179"/>
        <v>3</v>
      </c>
      <c r="BS65" s="760">
        <f t="shared" ca="1" si="197"/>
        <v>2</v>
      </c>
      <c r="BT65" s="760" t="str">
        <f t="shared" ca="1" si="198"/>
        <v>Pos. 2 (10)</v>
      </c>
      <c r="BU65" s="760">
        <f t="shared" ca="1" si="180"/>
        <v>-4</v>
      </c>
      <c r="BV65" s="760">
        <f t="shared" ca="1" si="181"/>
        <v>11</v>
      </c>
      <c r="BW65" s="760" t="str">
        <f t="shared" ca="1" si="182"/>
        <v>-</v>
      </c>
      <c r="BX65" s="760" t="str">
        <f t="shared" ca="1" si="183"/>
        <v>-</v>
      </c>
      <c r="BY65" s="760">
        <f t="shared" ca="1" si="184"/>
        <v>11</v>
      </c>
      <c r="BZ65" s="760" t="str">
        <f t="shared" ca="1" si="185"/>
        <v>-</v>
      </c>
      <c r="CA65" s="760" t="str">
        <f t="shared" ca="1" si="199"/>
        <v>-</v>
      </c>
      <c r="CB65" s="760">
        <f t="shared" ca="1" si="200"/>
        <v>11</v>
      </c>
      <c r="CC65" s="760"/>
      <c r="CD65" s="760">
        <f t="shared" ca="1" si="201"/>
        <v>11</v>
      </c>
      <c r="CE65" s="760" t="str">
        <f t="shared" ca="1" si="202"/>
        <v>-</v>
      </c>
      <c r="CF65" s="760">
        <f t="shared" ca="1" si="203"/>
        <v>11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Suecia</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2</v>
      </c>
      <c r="BK66" s="760">
        <f t="shared" ca="1" si="178"/>
        <v>3</v>
      </c>
      <c r="BL66" s="760">
        <f t="shared" ca="1" si="193"/>
        <v>-1</v>
      </c>
      <c r="BM66" s="760">
        <f t="shared" ca="1" si="194"/>
        <v>4</v>
      </c>
      <c r="BN66" s="760">
        <f t="shared" ca="1" si="195"/>
        <v>3</v>
      </c>
      <c r="BO66" s="750" t="str">
        <f t="shared" si="196"/>
        <v>4I</v>
      </c>
      <c r="BP66" s="750"/>
      <c r="BQ66" s="750"/>
      <c r="BR66" s="760">
        <f t="shared" ca="1" si="179"/>
        <v>3</v>
      </c>
      <c r="BS66" s="760">
        <f t="shared" ca="1" si="197"/>
        <v>2</v>
      </c>
      <c r="BT66" s="760" t="str">
        <f t="shared" ca="1" si="198"/>
        <v>Pos. 2 (10)</v>
      </c>
      <c r="BU66" s="760">
        <f t="shared" ca="1" si="180"/>
        <v>-1</v>
      </c>
      <c r="BV66" s="760">
        <f t="shared" ca="1" si="181"/>
        <v>3</v>
      </c>
      <c r="BW66" s="760" t="str">
        <f t="shared" ca="1" si="182"/>
        <v>Pos. 3 (3)</v>
      </c>
      <c r="BX66" s="760">
        <f t="shared" ca="1" si="183"/>
        <v>2</v>
      </c>
      <c r="BY66" s="760">
        <f t="shared" ca="1" si="184"/>
        <v>3</v>
      </c>
      <c r="BZ66" s="760" t="str">
        <f t="shared" ca="1" si="185"/>
        <v>Pos. 3 (2)</v>
      </c>
      <c r="CA66" s="760">
        <f t="shared" ca="1" si="199"/>
        <v>1</v>
      </c>
      <c r="CB66" s="760">
        <f t="shared" ca="1" si="200"/>
        <v>4</v>
      </c>
      <c r="CC66" s="760"/>
      <c r="CD66" s="760">
        <f t="shared" ca="1" si="201"/>
        <v>3.004</v>
      </c>
      <c r="CE66" s="760">
        <f t="shared" ca="1" si="202"/>
        <v>2</v>
      </c>
      <c r="CF66" s="760">
        <f t="shared" ca="1" si="203"/>
        <v>3</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Ghana</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3</v>
      </c>
      <c r="BF67" s="760">
        <f t="shared" ca="1" si="190"/>
        <v>3</v>
      </c>
      <c r="BG67" s="760">
        <f t="shared" ca="1" si="191"/>
        <v>1</v>
      </c>
      <c r="BH67" s="760">
        <f t="shared" ca="1" si="192"/>
        <v>0</v>
      </c>
      <c r="BI67" s="760">
        <f t="shared" ca="1" si="176"/>
        <v>2</v>
      </c>
      <c r="BJ67" s="760">
        <f t="shared" ca="1" si="177"/>
        <v>1</v>
      </c>
      <c r="BK67" s="760">
        <f t="shared" ca="1" si="178"/>
        <v>4</v>
      </c>
      <c r="BL67" s="760">
        <f t="shared" ca="1" si="193"/>
        <v>-3</v>
      </c>
      <c r="BM67" s="760">
        <f t="shared" ca="1" si="194"/>
        <v>10</v>
      </c>
      <c r="BN67" s="760">
        <f t="shared" ca="1" si="195"/>
        <v>10</v>
      </c>
      <c r="BO67" s="750" t="str">
        <f t="shared" si="196"/>
        <v>4J</v>
      </c>
      <c r="BP67" s="750"/>
      <c r="BQ67" s="750"/>
      <c r="BR67" s="760">
        <f t="shared" ca="1" si="179"/>
        <v>3</v>
      </c>
      <c r="BS67" s="760">
        <f t="shared" ca="1" si="197"/>
        <v>2</v>
      </c>
      <c r="BT67" s="760" t="str">
        <f t="shared" ca="1" si="198"/>
        <v>Pos. 2 (10)</v>
      </c>
      <c r="BU67" s="760">
        <f t="shared" ca="1" si="180"/>
        <v>-3</v>
      </c>
      <c r="BV67" s="760">
        <f t="shared" ca="1" si="181"/>
        <v>9</v>
      </c>
      <c r="BW67" s="760" t="str">
        <f t="shared" ca="1" si="182"/>
        <v>Pos. 9 (2)</v>
      </c>
      <c r="BX67" s="760">
        <f t="shared" ca="1" si="183"/>
        <v>1</v>
      </c>
      <c r="BY67" s="760">
        <f t="shared" ca="1" si="184"/>
        <v>10</v>
      </c>
      <c r="BZ67" s="760" t="str">
        <f t="shared" ca="1" si="185"/>
        <v>-</v>
      </c>
      <c r="CA67" s="760" t="str">
        <f t="shared" ca="1" si="199"/>
        <v>-</v>
      </c>
      <c r="CB67" s="760">
        <f t="shared" ca="1" si="200"/>
        <v>10</v>
      </c>
      <c r="CC67" s="760"/>
      <c r="CD67" s="760">
        <f t="shared" ca="1" si="201"/>
        <v>10</v>
      </c>
      <c r="CE67" s="760" t="str">
        <f t="shared" ca="1" si="202"/>
        <v>-</v>
      </c>
      <c r="CF67" s="760">
        <f t="shared" ca="1" si="203"/>
        <v>10</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Argelia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08" t="s">
        <v>438</v>
      </c>
      <c r="X68" s="195">
        <f ca="1">Horarios!C68</f>
        <v>46189.541666666664</v>
      </c>
      <c r="Y68" s="196">
        <f ca="1">Horarios!C68</f>
        <v>46189.541666666664</v>
      </c>
      <c r="Z68" s="197" t="str">
        <f>$Z$4</f>
        <v>J1</v>
      </c>
      <c r="AA68" s="198" t="str">
        <f ca="1">A69</f>
        <v>Francia</v>
      </c>
      <c r="AB68" s="486" t="e" cm="1" vm="34">
        <f t="array" aca="1" ref="AB68" ca="1">Ver_flag_local</f>
        <v>#VALUE!</v>
      </c>
      <c r="AC68" s="199">
        <v>2</v>
      </c>
      <c r="AD68" s="200">
        <v>0</v>
      </c>
      <c r="AE68" s="491" t="e" cm="1" vm="35">
        <f t="array" aca="1" ref="AE68" ca="1">Ver_flag_visit</f>
        <v>#VALUE!</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3</v>
      </c>
      <c r="BF68" s="760">
        <f t="shared" ca="1" si="190"/>
        <v>3</v>
      </c>
      <c r="BG68" s="760">
        <f t="shared" ca="1" si="191"/>
        <v>1</v>
      </c>
      <c r="BH68" s="760">
        <f t="shared" ca="1" si="192"/>
        <v>0</v>
      </c>
      <c r="BI68" s="760">
        <f t="shared" ca="1" si="176"/>
        <v>2</v>
      </c>
      <c r="BJ68" s="760">
        <f t="shared" ca="1" si="177"/>
        <v>3</v>
      </c>
      <c r="BK68" s="760">
        <f t="shared" ca="1" si="178"/>
        <v>5</v>
      </c>
      <c r="BL68" s="760">
        <f t="shared" ca="1" si="193"/>
        <v>-2</v>
      </c>
      <c r="BM68" s="760">
        <f t="shared" ca="1" si="194"/>
        <v>6</v>
      </c>
      <c r="BN68" s="760">
        <f t="shared" ca="1" si="195"/>
        <v>6</v>
      </c>
      <c r="BO68" s="750" t="str">
        <f t="shared" si="196"/>
        <v>4K</v>
      </c>
      <c r="BP68" s="750"/>
      <c r="BQ68" s="750"/>
      <c r="BR68" s="760">
        <f t="shared" ca="1" si="179"/>
        <v>3</v>
      </c>
      <c r="BS68" s="760">
        <f t="shared" ca="1" si="197"/>
        <v>2</v>
      </c>
      <c r="BT68" s="760" t="str">
        <f t="shared" ca="1" si="198"/>
        <v>Pos. 2 (10)</v>
      </c>
      <c r="BU68" s="760">
        <f t="shared" ca="1" si="180"/>
        <v>-2</v>
      </c>
      <c r="BV68" s="760">
        <f t="shared" ca="1" si="181"/>
        <v>6</v>
      </c>
      <c r="BW68" s="760" t="str">
        <f t="shared" ca="1" si="182"/>
        <v>Pos. 6 (3)</v>
      </c>
      <c r="BX68" s="760">
        <f t="shared" ca="1" si="183"/>
        <v>3</v>
      </c>
      <c r="BY68" s="760">
        <f t="shared" ca="1" si="184"/>
        <v>6</v>
      </c>
      <c r="BZ68" s="760" t="str">
        <f t="shared" ca="1" si="185"/>
        <v>-</v>
      </c>
      <c r="CA68" s="760" t="str">
        <f t="shared" ca="1" si="199"/>
        <v>-</v>
      </c>
      <c r="CB68" s="760">
        <f t="shared" ca="1" si="200"/>
        <v>6</v>
      </c>
      <c r="CC68" s="760"/>
      <c r="CD68" s="760">
        <f t="shared" ca="1" si="201"/>
        <v>6</v>
      </c>
      <c r="CE68" s="760" t="str">
        <f t="shared" ca="1" si="202"/>
        <v>-</v>
      </c>
      <c r="CF68" s="760">
        <f t="shared" ca="1" si="203"/>
        <v>6</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Arabia Saudita</v>
      </c>
      <c r="DR68" s="756"/>
      <c r="DS68" s="756"/>
      <c r="DT68" s="756" t="str">
        <f t="shared" ca="1" si="15"/>
        <v>Francia-Senegal</v>
      </c>
      <c r="DU68" s="756"/>
      <c r="DV68" s="756"/>
      <c r="DW68" s="8"/>
    </row>
    <row r="69" spans="1:127" ht="16"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08"/>
      <c r="X69" s="195">
        <f ca="1">Horarios!C69</f>
        <v>46189.666666666664</v>
      </c>
      <c r="Y69" s="196">
        <f ca="1">Horarios!C69</f>
        <v>46189.666666666664</v>
      </c>
      <c r="Z69" s="197" t="str">
        <f>$Z$4</f>
        <v>J1</v>
      </c>
      <c r="AA69" s="198" t="str">
        <f ca="1">A71</f>
        <v>Irak</v>
      </c>
      <c r="AB69" s="486" t="e" cm="1" vm="36">
        <f t="array" aca="1" ref="AB69" ca="1">Ver_flag_local</f>
        <v>#VALUE!</v>
      </c>
      <c r="AC69" s="199">
        <v>0</v>
      </c>
      <c r="AD69" s="200">
        <v>3</v>
      </c>
      <c r="AE69" s="491" t="e" cm="1" vm="37">
        <f t="array" aca="1" ref="AE69" ca="1">Ver_flag_visit</f>
        <v>#VALUE!</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2</v>
      </c>
      <c r="BK69" s="760">
        <f t="shared" ca="1" si="178"/>
        <v>5</v>
      </c>
      <c r="BL69" s="760">
        <f t="shared" ca="1" si="193"/>
        <v>-3</v>
      </c>
      <c r="BM69" s="760">
        <f t="shared" ca="1" si="194"/>
        <v>9</v>
      </c>
      <c r="BN69" s="760">
        <f t="shared" ca="1" si="195"/>
        <v>9</v>
      </c>
      <c r="BO69" s="750" t="str">
        <f t="shared" si="196"/>
        <v>4L</v>
      </c>
      <c r="BP69" s="750"/>
      <c r="BQ69" s="750"/>
      <c r="BR69" s="760">
        <f t="shared" ca="1" si="179"/>
        <v>3</v>
      </c>
      <c r="BS69" s="760">
        <f t="shared" ca="1" si="197"/>
        <v>2</v>
      </c>
      <c r="BT69" s="760" t="str">
        <f t="shared" ca="1" si="198"/>
        <v>Pos. 2 (10)</v>
      </c>
      <c r="BU69" s="760">
        <f t="shared" ca="1" si="180"/>
        <v>-3</v>
      </c>
      <c r="BV69" s="760">
        <f t="shared" ca="1" si="181"/>
        <v>9</v>
      </c>
      <c r="BW69" s="760" t="str">
        <f t="shared" ca="1" si="182"/>
        <v>Pos. 9 (2)</v>
      </c>
      <c r="BX69" s="760">
        <f t="shared" ca="1" si="183"/>
        <v>2</v>
      </c>
      <c r="BY69" s="760">
        <f t="shared" ca="1" si="184"/>
        <v>9</v>
      </c>
      <c r="BZ69" s="760" t="str">
        <f t="shared" ca="1" si="185"/>
        <v>-</v>
      </c>
      <c r="CA69" s="760" t="str">
        <f t="shared" ca="1" si="199"/>
        <v>-</v>
      </c>
      <c r="CB69" s="760">
        <f ca="1">BY69+COUNTIFS(BZ$58:BZ$69,BZ69,CA$58:CA$69,"&gt;"&amp;CA69)</f>
        <v>9</v>
      </c>
      <c r="CC69" s="760"/>
      <c r="CD69" s="760">
        <f t="shared" ca="1" si="201"/>
        <v>9</v>
      </c>
      <c r="CE69" s="760" t="str">
        <f t="shared" ca="1" si="202"/>
        <v>-</v>
      </c>
      <c r="CF69" s="760">
        <f t="shared" ca="1" si="203"/>
        <v>9</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Nueva Zelanda</v>
      </c>
      <c r="DR69" s="756"/>
      <c r="DS69" s="756"/>
      <c r="DT69" s="756" t="str">
        <f t="shared" ref="DT69:DT132" ca="1" si="242">AA69&amp;"-"&amp;AF69</f>
        <v>Irak-Noruega</v>
      </c>
      <c r="DU69" s="756"/>
      <c r="DV69" s="756"/>
      <c r="DW69" s="8"/>
    </row>
    <row r="70" spans="1:127" ht="16"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08"/>
      <c r="X70" s="195">
        <f ca="1">Horarios!C70</f>
        <v>46195.625</v>
      </c>
      <c r="Y70" s="196">
        <f ca="1">Horarios!C70</f>
        <v>46195.625</v>
      </c>
      <c r="Z70" s="197" t="str">
        <f>$Z$6</f>
        <v>J2</v>
      </c>
      <c r="AA70" s="198" t="str">
        <f ca="1">A69</f>
        <v>Francia</v>
      </c>
      <c r="AB70" s="486" t="e" cm="1" vm="34">
        <f t="array" aca="1" ref="AB70" ca="1">Ver_flag_local</f>
        <v>#VALUE!</v>
      </c>
      <c r="AC70" s="199">
        <v>4</v>
      </c>
      <c r="AD70" s="200">
        <v>0</v>
      </c>
      <c r="AE70" s="491" t="e" cm="1" vm="36">
        <f t="array" aca="1" ref="AE70" ca="1">Ver_flag_visit</f>
        <v>#VALUE!</v>
      </c>
      <c r="AF70" s="201" t="str">
        <f ca="1">A71</f>
        <v>Irak</v>
      </c>
      <c r="AG70" s="421">
        <f t="shared" si="238"/>
        <v>1</v>
      </c>
      <c r="AH70" s="202">
        <v>42</v>
      </c>
      <c r="AI70" s="19" t="str">
        <f>AJ70&amp;$B$68</f>
        <v>1I</v>
      </c>
      <c r="AJ70" s="217">
        <v>1</v>
      </c>
      <c r="AK70" s="496" t="e" cm="1" vm="34">
        <f t="array" aca="1" ref="AK70" ca="1">Ver_flag_visit</f>
        <v>#VALUE!</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8</v>
      </c>
      <c r="AS70" s="220">
        <f t="shared" ca="1" si="243"/>
        <v>1</v>
      </c>
      <c r="AT70" s="221">
        <f t="shared" ca="1" si="243"/>
        <v>7</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08"/>
      <c r="X71" s="195">
        <f ca="1">Horarios!C71</f>
        <v>46195.75</v>
      </c>
      <c r="Y71" s="196">
        <f ca="1">Horarios!C71</f>
        <v>46195.75</v>
      </c>
      <c r="Z71" s="197" t="str">
        <f>$Z$6</f>
        <v>J2</v>
      </c>
      <c r="AA71" s="198" t="str">
        <f ca="1">A72</f>
        <v>Noruega</v>
      </c>
      <c r="AB71" s="486" t="e" cm="1" vm="37">
        <f t="array" aca="1" ref="AB71" ca="1">Ver_flag_local</f>
        <v>#VALUE!</v>
      </c>
      <c r="AC71" s="199">
        <v>1</v>
      </c>
      <c r="AD71" s="200">
        <v>0</v>
      </c>
      <c r="AE71" s="491" t="e" cm="1" vm="35">
        <f t="array" aca="1" ref="AE71" ca="1">Ver_flag_visit</f>
        <v>#VALUE!</v>
      </c>
      <c r="AF71" s="201" t="str">
        <f ca="1">A70</f>
        <v>Senegal</v>
      </c>
      <c r="AG71" s="421">
        <f t="shared" si="238"/>
        <v>1</v>
      </c>
      <c r="AH71" s="202">
        <v>41</v>
      </c>
      <c r="AI71" s="19" t="str">
        <f t="shared" ref="AI71:AI73" si="244">AJ71&amp;$B$68</f>
        <v>2I</v>
      </c>
      <c r="AJ71" s="227">
        <v>2</v>
      </c>
      <c r="AK71" s="494" t="e" cm="1" vm="37">
        <f t="array" aca="1" ref="AK71" ca="1">Ver_flag_visit</f>
        <v>#VALUE!</v>
      </c>
      <c r="AL71" s="228" t="str">
        <f ca="1">IFERROR(INDEX($BD$6:$BD$53,MATCH(AI71,$BN$6:$BN$53,0)),"")</f>
        <v>Noruega</v>
      </c>
      <c r="AM71" s="229">
        <f t="shared" ca="1" si="243"/>
        <v>6</v>
      </c>
      <c r="AN71" s="230">
        <f t="shared" ca="1" si="243"/>
        <v>3</v>
      </c>
      <c r="AO71" s="230">
        <f t="shared" ca="1" si="243"/>
        <v>2</v>
      </c>
      <c r="AP71" s="230">
        <f t="shared" ca="1" si="243"/>
        <v>0</v>
      </c>
      <c r="AQ71" s="230">
        <f t="shared" ca="1" si="243"/>
        <v>1</v>
      </c>
      <c r="AR71" s="230">
        <f t="shared" ca="1" si="243"/>
        <v>5</v>
      </c>
      <c r="AS71" s="230">
        <f t="shared" ca="1" si="243"/>
        <v>2</v>
      </c>
      <c r="AT71" s="231">
        <f t="shared" ca="1" si="243"/>
        <v>3</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08"/>
      <c r="X72" s="195">
        <f ca="1">Horarios!C72</f>
        <v>46199.541666666664</v>
      </c>
      <c r="Y72" s="196">
        <f ca="1">Horarios!C72</f>
        <v>46199.541666666664</v>
      </c>
      <c r="Z72" s="197" t="str">
        <f>$Z$8</f>
        <v>J3</v>
      </c>
      <c r="AA72" s="198" t="str">
        <f ca="1">A72</f>
        <v>Noruega</v>
      </c>
      <c r="AB72" s="486" t="e" cm="1" vm="37">
        <f t="array" aca="1" ref="AB72" ca="1">Ver_flag_local</f>
        <v>#VALUE!</v>
      </c>
      <c r="AC72" s="199">
        <v>1</v>
      </c>
      <c r="AD72" s="200">
        <v>2</v>
      </c>
      <c r="AE72" s="491" t="e" cm="1" vm="34">
        <f t="array" aca="1" ref="AE72" ca="1">Ver_flag_visit</f>
        <v>#VALUE!</v>
      </c>
      <c r="AF72" s="201" t="str">
        <f ca="1">A69</f>
        <v>Francia</v>
      </c>
      <c r="AG72" s="421">
        <f t="shared" si="238"/>
        <v>1</v>
      </c>
      <c r="AH72" s="202">
        <v>61</v>
      </c>
      <c r="AI72" s="19" t="str">
        <f t="shared" si="244"/>
        <v>3I</v>
      </c>
      <c r="AJ72" s="227">
        <v>3</v>
      </c>
      <c r="AK72" s="494" t="e" cm="1" vm="35">
        <f t="array" aca="1" ref="AK72" ca="1">Ver_flag_visit</f>
        <v>#VALUE!</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2</v>
      </c>
      <c r="AS72" s="230">
        <f t="shared" ca="1" si="243"/>
        <v>3</v>
      </c>
      <c r="AT72" s="231">
        <f t="shared" ca="1" si="243"/>
        <v>-1</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49999999999999"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09"/>
      <c r="X73" s="234">
        <f ca="1">Horarios!C73</f>
        <v>46199.541666666664</v>
      </c>
      <c r="Y73" s="235">
        <f ca="1">Horarios!C73</f>
        <v>46199.541666666664</v>
      </c>
      <c r="Z73" s="236" t="str">
        <f>$Z$8</f>
        <v>J3</v>
      </c>
      <c r="AA73" s="237" t="str">
        <f ca="1">A70</f>
        <v>Senegal</v>
      </c>
      <c r="AB73" s="487" t="e" cm="1" vm="35">
        <f t="array" aca="1" ref="AB73" ca="1">Ver_flag_local</f>
        <v>#VALUE!</v>
      </c>
      <c r="AC73" s="238">
        <v>2</v>
      </c>
      <c r="AD73" s="239">
        <v>0</v>
      </c>
      <c r="AE73" s="492" t="e" cm="1" vm="36">
        <f t="array" aca="1" ref="AE73" ca="1">Ver_flag_visit</f>
        <v>#VALUE!</v>
      </c>
      <c r="AF73" s="240" t="str">
        <f ca="1">A71</f>
        <v>Irak</v>
      </c>
      <c r="AG73" s="421">
        <f t="shared" si="238"/>
        <v>1</v>
      </c>
      <c r="AH73" s="202">
        <v>62</v>
      </c>
      <c r="AI73" s="19" t="str">
        <f t="shared" si="244"/>
        <v>4I</v>
      </c>
      <c r="AJ73" s="241">
        <v>4</v>
      </c>
      <c r="AK73" s="495" t="e" cm="1" vm="36">
        <f t="array" aca="1" ref="AK73" ca="1">Ver_flag_visit</f>
        <v>#VALUE!</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0</v>
      </c>
      <c r="AS73" s="244">
        <f t="shared" ca="1" si="243"/>
        <v>9</v>
      </c>
      <c r="AT73" s="245">
        <f t="shared" ca="1" si="243"/>
        <v>-9</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04" t="s">
        <v>5</v>
      </c>
      <c r="X76" s="195">
        <f ca="1">Horarios!C76</f>
        <v>46189.791666666664</v>
      </c>
      <c r="Y76" s="196">
        <f ca="1">Horarios!C76</f>
        <v>46189.791666666664</v>
      </c>
      <c r="Z76" s="197" t="str">
        <f>$Z$4</f>
        <v>J1</v>
      </c>
      <c r="AA76" s="198" t="str">
        <f ca="1">A77</f>
        <v>Argentina</v>
      </c>
      <c r="AB76" s="486" t="e" cm="1" vm="38">
        <f t="array" aca="1" ref="AB76" ca="1">Ver_flag_local</f>
        <v>#VALUE!</v>
      </c>
      <c r="AC76" s="199">
        <v>3</v>
      </c>
      <c r="AD76" s="200">
        <v>0</v>
      </c>
      <c r="AE76" s="491" t="e" cm="1" vm="39">
        <f t="array" aca="1" ref="AE76" ca="1">Ver_flag_visit</f>
        <v>#VALUE!</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04"/>
      <c r="X77" s="195">
        <f ca="1">Horarios!C77</f>
        <v>46189.916666666664</v>
      </c>
      <c r="Y77" s="196">
        <f ca="1">Horarios!C77</f>
        <v>46189.916666666664</v>
      </c>
      <c r="Z77" s="197" t="str">
        <f>$Z$4</f>
        <v>J1</v>
      </c>
      <c r="AA77" s="198" t="str">
        <f ca="1">A79</f>
        <v>Austria</v>
      </c>
      <c r="AB77" s="486" t="e" cm="1" vm="40">
        <f t="array" aca="1" ref="AB77" ca="1">Ver_flag_local</f>
        <v>#VALUE!</v>
      </c>
      <c r="AC77" s="199">
        <v>2</v>
      </c>
      <c r="AD77" s="200">
        <v>1</v>
      </c>
      <c r="AE77" s="491" t="e" cm="1" vm="41">
        <f t="array" aca="1" ref="AE77" ca="1">Ver_flag_visit</f>
        <v>#VALUE!</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04"/>
      <c r="X78" s="195">
        <f ca="1">Horarios!C78</f>
        <v>46195.458333333328</v>
      </c>
      <c r="Y78" s="196">
        <f ca="1">Horarios!C78</f>
        <v>46195.458333333328</v>
      </c>
      <c r="Z78" s="197" t="str">
        <f>$Z$6</f>
        <v>J2</v>
      </c>
      <c r="AA78" s="198" t="str">
        <f ca="1">A77</f>
        <v>Argentina</v>
      </c>
      <c r="AB78" s="486" t="e" cm="1" vm="38">
        <f t="array" aca="1" ref="AB78" ca="1">Ver_flag_local</f>
        <v>#VALUE!</v>
      </c>
      <c r="AC78" s="199">
        <v>3</v>
      </c>
      <c r="AD78" s="200">
        <v>1</v>
      </c>
      <c r="AE78" s="491" t="e" cm="1" vm="40">
        <f t="array" aca="1" ref="AE78" ca="1">Ver_flag_visit</f>
        <v>#VALUE!</v>
      </c>
      <c r="AF78" s="201" t="str">
        <f ca="1">A79</f>
        <v>Austria</v>
      </c>
      <c r="AG78" s="421">
        <f t="shared" si="258"/>
        <v>1</v>
      </c>
      <c r="AH78" s="202">
        <v>43</v>
      </c>
      <c r="AI78" s="19" t="str">
        <f>AJ78&amp;$B$76</f>
        <v>1J</v>
      </c>
      <c r="AJ78" s="217">
        <v>1</v>
      </c>
      <c r="AK78" s="496" t="e" cm="1" vm="38">
        <f t="array" aca="1" ref="AK78" ca="1">Ver_flag_visit</f>
        <v>#VALUE!</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1</v>
      </c>
      <c r="AT78" s="221">
        <f t="shared" ca="1" si="262"/>
        <v>7</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04"/>
      <c r="X79" s="195">
        <f ca="1">Horarios!C79</f>
        <v>46195.875</v>
      </c>
      <c r="Y79" s="196">
        <f ca="1">Horarios!C79</f>
        <v>46195.875</v>
      </c>
      <c r="Z79" s="197" t="str">
        <f>$Z$6</f>
        <v>J2</v>
      </c>
      <c r="AA79" s="198" t="str">
        <f ca="1">A80</f>
        <v>Jordania</v>
      </c>
      <c r="AB79" s="486" t="e" cm="1" vm="41">
        <f t="array" aca="1" ref="AB79" ca="1">Ver_flag_local</f>
        <v>#VALUE!</v>
      </c>
      <c r="AC79" s="199">
        <v>0</v>
      </c>
      <c r="AD79" s="200">
        <v>1</v>
      </c>
      <c r="AE79" s="491" t="e" cm="1" vm="39">
        <f t="array" aca="1" ref="AE79" ca="1">Ver_flag_visit</f>
        <v>#VALUE!</v>
      </c>
      <c r="AF79" s="201" t="str">
        <f ca="1">A78</f>
        <v>Argelia</v>
      </c>
      <c r="AG79" s="421">
        <f t="shared" si="258"/>
        <v>1</v>
      </c>
      <c r="AH79" s="202">
        <v>44</v>
      </c>
      <c r="AI79" s="19" t="str">
        <f t="shared" ref="AI79:AI81" si="263">AJ79&amp;$B$76</f>
        <v>2J</v>
      </c>
      <c r="AJ79" s="227">
        <v>2</v>
      </c>
      <c r="AK79" s="494" t="e" cm="1" vm="40">
        <f t="array" aca="1" ref="AK79" ca="1">Ver_flag_visit</f>
        <v>#VALUE!</v>
      </c>
      <c r="AL79" s="228" t="str">
        <f ca="1">IFERROR(INDEX($BD$6:$BD$53,MATCH(AI79,$BN$6:$BN$53,0)),"")</f>
        <v>Austria</v>
      </c>
      <c r="AM79" s="229">
        <f t="shared" ca="1" si="262"/>
        <v>6</v>
      </c>
      <c r="AN79" s="230">
        <f t="shared" ca="1" si="262"/>
        <v>3</v>
      </c>
      <c r="AO79" s="230">
        <f t="shared" ca="1" si="262"/>
        <v>2</v>
      </c>
      <c r="AP79" s="230">
        <f t="shared" ca="1" si="262"/>
        <v>0</v>
      </c>
      <c r="AQ79" s="230">
        <f t="shared" ca="1" si="262"/>
        <v>1</v>
      </c>
      <c r="AR79" s="230">
        <f t="shared" ca="1" si="262"/>
        <v>4</v>
      </c>
      <c r="AS79" s="230">
        <f t="shared" ca="1" si="262"/>
        <v>4</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c r="A80" s="757" t="str">
        <f ca="1">+Equipos!B41</f>
        <v>Jordania</v>
      </c>
      <c r="B80" s="754"/>
      <c r="C80" s="756"/>
      <c r="D80" s="756" t="str">
        <f t="shared" si="245"/>
        <v>Visitante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04"/>
      <c r="X80" s="195">
        <f ca="1">Horarios!C80</f>
        <v>46200.833333333328</v>
      </c>
      <c r="Y80" s="196">
        <f ca="1">Horarios!C80</f>
        <v>46200.833333333328</v>
      </c>
      <c r="Z80" s="197" t="str">
        <f>$Z$8</f>
        <v>J3</v>
      </c>
      <c r="AA80" s="198" t="str">
        <f ca="1">A78</f>
        <v>Argelia</v>
      </c>
      <c r="AB80" s="486" t="e" cm="1" vm="39">
        <f t="array" aca="1" ref="AB80" ca="1">Ver_flag_local</f>
        <v>#VALUE!</v>
      </c>
      <c r="AC80" s="199">
        <v>0</v>
      </c>
      <c r="AD80" s="200">
        <v>1</v>
      </c>
      <c r="AE80" s="491" t="e" cm="1" vm="40">
        <f t="array" aca="1" ref="AE80" ca="1">Ver_flag_visit</f>
        <v>#VALUE!</v>
      </c>
      <c r="AF80" s="201" t="str">
        <f ca="1">A79</f>
        <v>Austria</v>
      </c>
      <c r="AG80" s="421">
        <f t="shared" si="258"/>
        <v>1</v>
      </c>
      <c r="AH80" s="202">
        <v>69</v>
      </c>
      <c r="AI80" s="19" t="str">
        <f t="shared" si="263"/>
        <v>3J</v>
      </c>
      <c r="AJ80" s="227">
        <v>3</v>
      </c>
      <c r="AK80" s="494" t="e" cm="1" vm="39">
        <f t="array" aca="1" ref="AK80" ca="1">Ver_flag_visit</f>
        <v>#VALUE!</v>
      </c>
      <c r="AL80" s="228" t="str">
        <f ca="1">IFERROR(INDEX($BD$6:$BD$53,MATCH(AI80,$BN$6:$BN$53,0)),"")</f>
        <v>Argelia</v>
      </c>
      <c r="AM80" s="229">
        <f t="shared" ca="1" si="262"/>
        <v>3</v>
      </c>
      <c r="AN80" s="230">
        <f t="shared" ca="1" si="262"/>
        <v>3</v>
      </c>
      <c r="AO80" s="230">
        <f t="shared" ca="1" si="262"/>
        <v>1</v>
      </c>
      <c r="AP80" s="230">
        <f t="shared" ca="1" si="262"/>
        <v>0</v>
      </c>
      <c r="AQ80" s="230">
        <f t="shared" ca="1" si="262"/>
        <v>2</v>
      </c>
      <c r="AR80" s="230">
        <f t="shared" ca="1" si="262"/>
        <v>1</v>
      </c>
      <c r="AS80" s="230">
        <f t="shared" ca="1" si="262"/>
        <v>4</v>
      </c>
      <c r="AT80" s="231">
        <f t="shared" ca="1" si="262"/>
        <v>-3</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49999999999999"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05"/>
      <c r="X81" s="234">
        <f ca="1">Horarios!C81</f>
        <v>46200.833333333328</v>
      </c>
      <c r="Y81" s="235">
        <f ca="1">Horarios!C81</f>
        <v>46200.833333333328</v>
      </c>
      <c r="Z81" s="236" t="str">
        <f>$Z$8</f>
        <v>J3</v>
      </c>
      <c r="AA81" s="237" t="str">
        <f ca="1">A80</f>
        <v>Jordania</v>
      </c>
      <c r="AB81" s="487" t="e" cm="1" vm="41">
        <f t="array" aca="1" ref="AB81" ca="1">Ver_flag_local</f>
        <v>#VALUE!</v>
      </c>
      <c r="AC81" s="238">
        <v>0</v>
      </c>
      <c r="AD81" s="239">
        <v>2</v>
      </c>
      <c r="AE81" s="492" t="e" cm="1" vm="38">
        <f t="array" aca="1" ref="AE81" ca="1">Ver_flag_visit</f>
        <v>#VALUE!</v>
      </c>
      <c r="AF81" s="240" t="str">
        <f ca="1">A77</f>
        <v>Argentina</v>
      </c>
      <c r="AG81" s="421">
        <f t="shared" si="258"/>
        <v>1</v>
      </c>
      <c r="AH81" s="202">
        <v>70</v>
      </c>
      <c r="AI81" s="19" t="str">
        <f t="shared" si="263"/>
        <v>4J</v>
      </c>
      <c r="AJ81" s="241">
        <v>4</v>
      </c>
      <c r="AK81" s="495" t="e" cm="1" vm="41">
        <f t="array" aca="1" ref="AK81" ca="1">Ver_flag_visit</f>
        <v>#VALUE!</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1</v>
      </c>
      <c r="AS81" s="244">
        <f t="shared" ca="1" si="262"/>
        <v>5</v>
      </c>
      <c r="AT81" s="245">
        <f t="shared" ca="1" si="262"/>
        <v>-4</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v>
      </c>
      <c r="G84" s="756"/>
      <c r="H84" s="756" t="str">
        <f t="shared" ref="H84:H89" ca="1" si="267">IF(D84="Pendiente","-",INDEX($BZ$6:$BZ$53,MATCH($AA84,$BD$6:$BD$53,0)))</f>
        <v>-</v>
      </c>
      <c r="I84" s="756" t="str">
        <f t="shared" ref="I84:I89" ca="1" si="268">IF(D84="Pendiente","-",INDEX($BZ$6:$BZ$53,MATCH($AF84,$BD$6:$BD$53,0)))</f>
        <v>-</v>
      </c>
      <c r="J84" s="756"/>
      <c r="K84" s="756" t="str">
        <f t="shared" ref="K84:K89" ca="1" si="269">IF(D84="Pendiente","-",INDEX($CE$6:$CE$53,MATCH($AA84,$BD$6:$BD$53,0)))</f>
        <v>-</v>
      </c>
      <c r="L84" s="756" t="str">
        <f t="shared" ref="L84:L89" ca="1" si="270">IF(D84="Pendiente","-",INDEX($CE$6:$CE$53,MATCH($AF84,$BD$6:$BD$53,0)))</f>
        <v>-</v>
      </c>
      <c r="M84" s="756"/>
      <c r="N84" s="756" t="str">
        <f t="shared" ref="N84:N89" ca="1" si="271">IF(D84="Pendiente","-",INDEX($CH$6:$CH$53,MATCH($AA84,$BD$6:$BD$53,0)))</f>
        <v>-</v>
      </c>
      <c r="O84" s="756" t="str">
        <f t="shared" ref="O84:O89" ca="1" si="272">IF(D84="Pendiente","-",INDEX($CH$6:$CH$53,MATCH($AF84,$BD$6:$BD$53,0)))</f>
        <v>-</v>
      </c>
      <c r="P84" s="756"/>
      <c r="Q84" s="756" t="str">
        <f t="shared" ref="Q84:Q89" ca="1" si="273">IF(D84="Pendiente","-",INDEX($CN$6:$CN$53,MATCH($AA84,$BD$6:$BD$53,0)))</f>
        <v>-</v>
      </c>
      <c r="R84" s="756" t="str">
        <f t="shared" ref="R84:R89" ca="1" si="274">IF(D84="Pendiente","-",INDEX($CN$6:$CN$53,MATCH($AF84,$BD$6:$BD$53,0)))</f>
        <v>-</v>
      </c>
      <c r="S84" s="756"/>
      <c r="T84" s="756" t="str">
        <f t="shared" ref="T84:T89" ca="1" si="275">IF(D84="Pendiente","-",INDEX($CS$6:$CS$53,MATCH($AA84,$BD$6:$BD$53,0)))</f>
        <v>-</v>
      </c>
      <c r="U84" s="756" t="str">
        <f t="shared" ref="U84:U89" ca="1" si="276">IF(D84="Pendiente","-",INDEX($CS$6:$CS$53,MATCH($AF84,$BD$6:$BD$53,0)))</f>
        <v>-</v>
      </c>
      <c r="V84" s="178"/>
      <c r="W84" s="810" t="s">
        <v>439</v>
      </c>
      <c r="X84" s="195">
        <f ca="1">Horarios!C84</f>
        <v>46190.458333333328</v>
      </c>
      <c r="Y84" s="196">
        <f ca="1">Horarios!C84</f>
        <v>46190.458333333328</v>
      </c>
      <c r="Z84" s="197" t="str">
        <f>$Z$4</f>
        <v>J1</v>
      </c>
      <c r="AA84" s="198" t="str">
        <f ca="1">A85</f>
        <v>Portugal</v>
      </c>
      <c r="AB84" s="486" t="e" cm="1" vm="42">
        <f t="array" aca="1" ref="AB84" ca="1">Ver_flag_local</f>
        <v>#VALUE!</v>
      </c>
      <c r="AC84" s="199">
        <v>4</v>
      </c>
      <c r="AD84" s="200">
        <v>1</v>
      </c>
      <c r="AE84" s="491" t="e" cm="1" vm="43">
        <f t="array" aca="1" ref="AE84" ca="1">Ver_flag_visit</f>
        <v>#VALUE!</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c r="A85" s="757" t="str">
        <f ca="1">+Equipos!B42</f>
        <v>Portugal</v>
      </c>
      <c r="B85" s="754"/>
      <c r="C85" s="754"/>
      <c r="D85" s="756" t="str">
        <f t="shared" si="264"/>
        <v>Visitante</v>
      </c>
      <c r="E85" s="756" t="str">
        <f t="shared" ca="1" si="265"/>
        <v>-</v>
      </c>
      <c r="F85" s="756" t="str">
        <f t="shared" ca="1" si="266"/>
        <v>-</v>
      </c>
      <c r="G85" s="756"/>
      <c r="H85" s="756" t="str">
        <f t="shared" ca="1" si="267"/>
        <v>-</v>
      </c>
      <c r="I85" s="756" t="str">
        <f t="shared" ca="1" si="268"/>
        <v>-</v>
      </c>
      <c r="J85" s="756"/>
      <c r="K85" s="756" t="str">
        <f t="shared" ca="1" si="269"/>
        <v>-</v>
      </c>
      <c r="L85" s="756" t="str">
        <f t="shared" ca="1" si="270"/>
        <v>-</v>
      </c>
      <c r="M85" s="756"/>
      <c r="N85" s="756" t="str">
        <f t="shared" ca="1" si="271"/>
        <v>-</v>
      </c>
      <c r="O85" s="756" t="str">
        <f t="shared" ca="1" si="272"/>
        <v>-</v>
      </c>
      <c r="P85" s="756"/>
      <c r="Q85" s="756" t="str">
        <f t="shared" ca="1" si="273"/>
        <v>-</v>
      </c>
      <c r="R85" s="756" t="str">
        <f t="shared" ca="1" si="274"/>
        <v>-</v>
      </c>
      <c r="S85" s="756"/>
      <c r="T85" s="756" t="str">
        <f t="shared" ca="1" si="275"/>
        <v>-</v>
      </c>
      <c r="U85" s="756" t="str">
        <f t="shared" ca="1" si="276"/>
        <v>-</v>
      </c>
      <c r="V85" s="178"/>
      <c r="W85" s="810"/>
      <c r="X85" s="195">
        <f ca="1">Horarios!C85</f>
        <v>46190.833333333328</v>
      </c>
      <c r="Y85" s="196">
        <f ca="1">Horarios!C85</f>
        <v>46190.833333333328</v>
      </c>
      <c r="Z85" s="197" t="str">
        <f>$Z$4</f>
        <v>J1</v>
      </c>
      <c r="AA85" s="198" t="str">
        <f ca="1">A87</f>
        <v>Uzbekistán</v>
      </c>
      <c r="AB85" s="486" t="e" cm="1" vm="44">
        <f t="array" aca="1" ref="AB85" ca="1">Ver_flag_local</f>
        <v>#VALUE!</v>
      </c>
      <c r="AC85" s="199">
        <v>0</v>
      </c>
      <c r="AD85" s="200">
        <v>2</v>
      </c>
      <c r="AE85" s="491" t="e" cm="1" vm="45">
        <f t="array" aca="1" ref="AE85" ca="1">Ver_flag_visit</f>
        <v>#VALUE!</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10"/>
      <c r="X86" s="195">
        <f ca="1">Horarios!C86</f>
        <v>46196.458333333328</v>
      </c>
      <c r="Y86" s="196">
        <f ca="1">Horarios!C86</f>
        <v>46196.458333333328</v>
      </c>
      <c r="Z86" s="197" t="str">
        <f>$Z$6</f>
        <v>J2</v>
      </c>
      <c r="AA86" s="198" t="str">
        <f ca="1">A85</f>
        <v>Portugal</v>
      </c>
      <c r="AB86" s="486" t="e" cm="1" vm="42">
        <f t="array" aca="1" ref="AB86" ca="1">Ver_flag_local</f>
        <v>#VALUE!</v>
      </c>
      <c r="AC86" s="199">
        <v>3</v>
      </c>
      <c r="AD86" s="200">
        <v>0</v>
      </c>
      <c r="AE86" s="491" t="e" cm="1" vm="44">
        <f t="array" aca="1" ref="AE86" ca="1">Ver_flag_visit</f>
        <v>#VALUE!</v>
      </c>
      <c r="AF86" s="201" t="str">
        <f ca="1">A87</f>
        <v>Uzbekistán</v>
      </c>
      <c r="AG86" s="421">
        <f t="shared" si="277"/>
        <v>1</v>
      </c>
      <c r="AH86" s="202">
        <v>47</v>
      </c>
      <c r="AI86" s="19" t="str">
        <f>AJ86&amp;$B$84</f>
        <v>1K</v>
      </c>
      <c r="AJ86" s="217">
        <v>1</v>
      </c>
      <c r="AK86" s="496" t="e" cm="1" vm="42">
        <f t="array" aca="1" ref="AK86" ca="1">Ver_flag_visit</f>
        <v>#VALUE!</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9</v>
      </c>
      <c r="AS86" s="220">
        <f t="shared" ca="1" si="281"/>
        <v>2</v>
      </c>
      <c r="AT86" s="221">
        <f t="shared" ca="1" si="281"/>
        <v>7</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c r="A87" s="757" t="str">
        <f ca="1">+Equipos!B44</f>
        <v>Uzbekistán</v>
      </c>
      <c r="B87" s="754"/>
      <c r="C87" s="756"/>
      <c r="D87" s="756" t="str">
        <f t="shared" si="264"/>
        <v>Local</v>
      </c>
      <c r="E87" s="756" t="str">
        <f t="shared" ca="1" si="265"/>
        <v>-</v>
      </c>
      <c r="F87" s="756" t="str">
        <f t="shared" ca="1" si="266"/>
        <v>-</v>
      </c>
      <c r="G87" s="756"/>
      <c r="H87" s="756" t="str">
        <f t="shared" ca="1" si="267"/>
        <v>-</v>
      </c>
      <c r="I87" s="756" t="str">
        <f t="shared" ca="1" si="268"/>
        <v>-</v>
      </c>
      <c r="J87" s="756"/>
      <c r="K87" s="756" t="str">
        <f t="shared" ca="1" si="269"/>
        <v>-</v>
      </c>
      <c r="L87" s="756" t="str">
        <f t="shared" ca="1" si="270"/>
        <v>-</v>
      </c>
      <c r="M87" s="756"/>
      <c r="N87" s="756" t="str">
        <f t="shared" ca="1" si="271"/>
        <v>-</v>
      </c>
      <c r="O87" s="756" t="str">
        <f t="shared" ca="1" si="272"/>
        <v>-</v>
      </c>
      <c r="P87" s="756"/>
      <c r="Q87" s="756" t="str">
        <f t="shared" ca="1" si="273"/>
        <v>-</v>
      </c>
      <c r="R87" s="756" t="str">
        <f t="shared" ca="1" si="274"/>
        <v>-</v>
      </c>
      <c r="S87" s="756"/>
      <c r="T87" s="756" t="str">
        <f t="shared" ca="1" si="275"/>
        <v>-</v>
      </c>
      <c r="U87" s="756" t="str">
        <f t="shared" ca="1" si="276"/>
        <v>-</v>
      </c>
      <c r="V87" s="178"/>
      <c r="W87" s="810"/>
      <c r="X87" s="195">
        <f ca="1">Horarios!C87</f>
        <v>46196.833333333328</v>
      </c>
      <c r="Y87" s="196">
        <f ca="1">Horarios!C87</f>
        <v>46196.833333333328</v>
      </c>
      <c r="Z87" s="197" t="str">
        <f>$Z$6</f>
        <v>J2</v>
      </c>
      <c r="AA87" s="198" t="str">
        <f ca="1">A88</f>
        <v>Colombia</v>
      </c>
      <c r="AB87" s="486" t="e" cm="1" vm="45">
        <f t="array" aca="1" ref="AB87" ca="1">Ver_flag_local</f>
        <v>#VALUE!</v>
      </c>
      <c r="AC87" s="199">
        <v>1</v>
      </c>
      <c r="AD87" s="200">
        <v>0</v>
      </c>
      <c r="AE87" s="491" t="e" cm="1" vm="43">
        <f t="array" aca="1" ref="AE87" ca="1">Ver_flag_visit</f>
        <v>#VALUE!</v>
      </c>
      <c r="AF87" s="201" t="str">
        <f ca="1">A86</f>
        <v>RD Congo</v>
      </c>
      <c r="AG87" s="421">
        <f t="shared" si="277"/>
        <v>1</v>
      </c>
      <c r="AH87" s="202">
        <v>48</v>
      </c>
      <c r="AI87" s="19" t="str">
        <f t="shared" ref="AI87:AI89" si="282">AJ87&amp;$B$84</f>
        <v>2K</v>
      </c>
      <c r="AJ87" s="227">
        <v>2</v>
      </c>
      <c r="AK87" s="494" t="e" cm="1" vm="45">
        <f t="array" aca="1" ref="AK87" ca="1">Ver_flag_visit</f>
        <v>#VALUE!</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4</v>
      </c>
      <c r="AS87" s="230">
        <f t="shared" ca="1" si="281"/>
        <v>2</v>
      </c>
      <c r="AT87" s="231">
        <f t="shared" ca="1" si="281"/>
        <v>2</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10"/>
      <c r="X88" s="195">
        <f ca="1">Horarios!C88</f>
        <v>46200.729166666664</v>
      </c>
      <c r="Y88" s="196">
        <f ca="1">Horarios!C88</f>
        <v>46200.729166666664</v>
      </c>
      <c r="Z88" s="197" t="str">
        <f>$Z$8</f>
        <v>J3</v>
      </c>
      <c r="AA88" s="198" t="str">
        <f ca="1">A88</f>
        <v>Colombia</v>
      </c>
      <c r="AB88" s="486" t="e" cm="1" vm="45">
        <f t="array" aca="1" ref="AB88" ca="1">Ver_flag_local</f>
        <v>#VALUE!</v>
      </c>
      <c r="AC88" s="199">
        <v>1</v>
      </c>
      <c r="AD88" s="200">
        <v>2</v>
      </c>
      <c r="AE88" s="491" t="e" cm="1" vm="42">
        <f t="array" aca="1" ref="AE88" ca="1">Ver_flag_visit</f>
        <v>#VALUE!</v>
      </c>
      <c r="AF88" s="201" t="str">
        <f ca="1">A85</f>
        <v>Portugal</v>
      </c>
      <c r="AG88" s="421">
        <f t="shared" si="277"/>
        <v>1</v>
      </c>
      <c r="AH88" s="202">
        <v>71</v>
      </c>
      <c r="AI88" s="19" t="str">
        <f t="shared" si="282"/>
        <v>3K</v>
      </c>
      <c r="AJ88" s="227">
        <v>3</v>
      </c>
      <c r="AK88" s="494" t="e" cm="1" vm="43">
        <f t="array" aca="1" ref="AK88" ca="1">Ver_flag_visit</f>
        <v>#VALUE!</v>
      </c>
      <c r="AL88" s="228" t="str">
        <f ca="1">IFERROR(INDEX($BD$6:$BD$53,MATCH(AI88,$BN$6:$BN$53,0)),"")</f>
        <v>RD Congo</v>
      </c>
      <c r="AM88" s="229">
        <f t="shared" ca="1" si="281"/>
        <v>3</v>
      </c>
      <c r="AN88" s="230">
        <f t="shared" ca="1" si="281"/>
        <v>3</v>
      </c>
      <c r="AO88" s="230">
        <f t="shared" ca="1" si="281"/>
        <v>1</v>
      </c>
      <c r="AP88" s="230">
        <f t="shared" ca="1" si="281"/>
        <v>0</v>
      </c>
      <c r="AQ88" s="230">
        <f t="shared" ca="1" si="281"/>
        <v>2</v>
      </c>
      <c r="AR88" s="230">
        <f t="shared" ca="1" si="281"/>
        <v>3</v>
      </c>
      <c r="AS88" s="230">
        <f t="shared" ca="1" si="281"/>
        <v>5</v>
      </c>
      <c r="AT88" s="231">
        <f t="shared" ca="1" si="281"/>
        <v>-2</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49999999999999" customHeight="1" thickBot="1">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11"/>
      <c r="X89" s="234">
        <f ca="1">Horarios!C89</f>
        <v>46200.729166666664</v>
      </c>
      <c r="Y89" s="235">
        <f ca="1">Horarios!C89</f>
        <v>46200.729166666664</v>
      </c>
      <c r="Z89" s="236" t="str">
        <f>$Z$8</f>
        <v>J3</v>
      </c>
      <c r="AA89" s="237" t="str">
        <f ca="1">A86</f>
        <v>RD Congo</v>
      </c>
      <c r="AB89" s="487" t="e" cm="1" vm="43">
        <f t="array" aca="1" ref="AB89" ca="1">Ver_flag_local</f>
        <v>#VALUE!</v>
      </c>
      <c r="AC89" s="238">
        <v>2</v>
      </c>
      <c r="AD89" s="239">
        <v>0</v>
      </c>
      <c r="AE89" s="492" t="e" cm="1" vm="44">
        <f t="array" aca="1" ref="AE89" ca="1">Ver_flag_visit</f>
        <v>#VALUE!</v>
      </c>
      <c r="AF89" s="240" t="str">
        <f ca="1">A87</f>
        <v>Uzbekistán</v>
      </c>
      <c r="AG89" s="421">
        <f t="shared" si="277"/>
        <v>1</v>
      </c>
      <c r="AH89" s="202">
        <v>72</v>
      </c>
      <c r="AI89" s="19" t="str">
        <f t="shared" si="282"/>
        <v>4K</v>
      </c>
      <c r="AJ89" s="241">
        <v>4</v>
      </c>
      <c r="AK89" s="495" t="e" cm="1" vm="44">
        <f t="array" aca="1" ref="AK89" ca="1">Ver_flag_visit</f>
        <v>#VALUE!</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0</v>
      </c>
      <c r="AS89" s="244">
        <f t="shared" ca="1" si="281"/>
        <v>7</v>
      </c>
      <c r="AT89" s="245">
        <f t="shared" ca="1" si="281"/>
        <v>-7</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06" t="s">
        <v>238</v>
      </c>
      <c r="X92" s="195">
        <f ca="1">Horarios!C92</f>
        <v>46190.583333333328</v>
      </c>
      <c r="Y92" s="196">
        <f ca="1">Horarios!C92</f>
        <v>46190.583333333328</v>
      </c>
      <c r="Z92" s="197" t="str">
        <f>$Z$4</f>
        <v>J1</v>
      </c>
      <c r="AA92" s="198" t="str">
        <f ca="1">A93</f>
        <v>Inglaterra</v>
      </c>
      <c r="AB92" s="486" t="e" cm="1" vm="46">
        <f t="array" aca="1" ref="AB92" ca="1">Ver_flag_local</f>
        <v>#VALUE!</v>
      </c>
      <c r="AC92" s="199">
        <v>2</v>
      </c>
      <c r="AD92" s="200">
        <v>1</v>
      </c>
      <c r="AE92" s="491" t="e" cm="1" vm="47">
        <f t="array" aca="1" ref="AE92" ca="1">Ver_flag_visit</f>
        <v>#VALUE!</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06"/>
      <c r="X93" s="195">
        <f ca="1">Horarios!C93</f>
        <v>46190.708333333328</v>
      </c>
      <c r="Y93" s="196">
        <f ca="1">Horarios!C93</f>
        <v>46190.708333333328</v>
      </c>
      <c r="Z93" s="197" t="str">
        <f>$Z$4</f>
        <v>J1</v>
      </c>
      <c r="AA93" s="198" t="str">
        <f ca="1">A95</f>
        <v>Ghana</v>
      </c>
      <c r="AB93" s="486" t="e" cm="1" vm="48">
        <f t="array" aca="1" ref="AB93" ca="1">Ver_flag_local</f>
        <v>#VALUE!</v>
      </c>
      <c r="AC93" s="199">
        <v>1</v>
      </c>
      <c r="AD93" s="200">
        <v>0</v>
      </c>
      <c r="AE93" s="491" t="e" cm="1" vm="49">
        <f t="array" aca="1" ref="AE93" ca="1">Ver_flag_visit</f>
        <v>#VALUE!</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06"/>
      <c r="X94" s="195">
        <f ca="1">Horarios!C94</f>
        <v>46196.583333333328</v>
      </c>
      <c r="Y94" s="196">
        <f ca="1">Horarios!C94</f>
        <v>46196.583333333328</v>
      </c>
      <c r="Z94" s="197" t="str">
        <f>$Z$6</f>
        <v>J2</v>
      </c>
      <c r="AA94" s="198" t="str">
        <f ca="1">A93</f>
        <v>Inglaterra</v>
      </c>
      <c r="AB94" s="486" t="e" cm="1" vm="46">
        <f t="array" aca="1" ref="AB94" ca="1">Ver_flag_local</f>
        <v>#VALUE!</v>
      </c>
      <c r="AC94" s="199">
        <v>3</v>
      </c>
      <c r="AD94" s="200">
        <v>1</v>
      </c>
      <c r="AE94" s="491" t="e" cm="1" vm="48">
        <f t="array" aca="1" ref="AE94" ca="1">Ver_flag_visit</f>
        <v>#VALUE!</v>
      </c>
      <c r="AF94" s="201" t="str">
        <f ca="1">A95</f>
        <v>Ghana</v>
      </c>
      <c r="AG94" s="421">
        <f t="shared" si="296"/>
        <v>1</v>
      </c>
      <c r="AH94" s="202">
        <v>45</v>
      </c>
      <c r="AI94" s="19" t="str">
        <f>AJ94&amp;$B$92</f>
        <v>1L</v>
      </c>
      <c r="AJ94" s="217">
        <v>1</v>
      </c>
      <c r="AK94" s="496" t="e" cm="1" vm="46">
        <f t="array" aca="1" ref="AK94" ca="1">Ver_flag_visit</f>
        <v>#VALUE!</v>
      </c>
      <c r="AL94" s="218" t="str">
        <f ca="1">IFERROR(INDEX($BD$6:$BD$53,MATCH(AI94,$BN$6:$BN$53,0)),"")</f>
        <v>Inglaterra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8</v>
      </c>
      <c r="AS94" s="220">
        <f t="shared" ca="1" si="300"/>
        <v>2</v>
      </c>
      <c r="AT94" s="221">
        <f t="shared" ca="1" si="300"/>
        <v>6</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06"/>
      <c r="X95" s="195">
        <f ca="1">Horarios!C95</f>
        <v>46196.708333333328</v>
      </c>
      <c r="Y95" s="196">
        <f ca="1">Horarios!C95</f>
        <v>46196.708333333328</v>
      </c>
      <c r="Z95" s="197" t="str">
        <f>$Z$6</f>
        <v>J2</v>
      </c>
      <c r="AA95" s="198" t="str">
        <f ca="1">A96</f>
        <v>Panamá</v>
      </c>
      <c r="AB95" s="486" t="e" cm="1" vm="49">
        <f t="array" aca="1" ref="AB95" ca="1">Ver_flag_local</f>
        <v>#VALUE!</v>
      </c>
      <c r="AC95" s="199">
        <v>0</v>
      </c>
      <c r="AD95" s="200">
        <v>2</v>
      </c>
      <c r="AE95" s="491" t="e" cm="1" vm="47">
        <f t="array" aca="1" ref="AE95" ca="1">Ver_flag_visit</f>
        <v>#VALUE!</v>
      </c>
      <c r="AF95" s="201" t="str">
        <f ca="1">A94</f>
        <v>Croacia</v>
      </c>
      <c r="AG95" s="421">
        <f t="shared" si="296"/>
        <v>1</v>
      </c>
      <c r="AH95" s="202">
        <v>46</v>
      </c>
      <c r="AI95" s="19" t="str">
        <f t="shared" ref="AI95:AI97" si="301">AJ95&amp;$B$92</f>
        <v>2L</v>
      </c>
      <c r="AJ95" s="227">
        <v>2</v>
      </c>
      <c r="AK95" s="494" t="e" cm="1" vm="47">
        <f t="array" aca="1" ref="AK95" ca="1">Ver_flag_visit</f>
        <v>#VALUE!</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5</v>
      </c>
      <c r="AS95" s="230">
        <f t="shared" ca="1" si="300"/>
        <v>2</v>
      </c>
      <c r="AT95" s="231">
        <f t="shared" ca="1" si="300"/>
        <v>3</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06"/>
      <c r="X96" s="195">
        <f ca="1">Horarios!C96</f>
        <v>46200.625</v>
      </c>
      <c r="Y96" s="196">
        <f ca="1">Horarios!C96</f>
        <v>46200.625</v>
      </c>
      <c r="Z96" s="197" t="str">
        <f>$Z$8</f>
        <v>J3</v>
      </c>
      <c r="AA96" s="198" t="str">
        <f ca="1">A96</f>
        <v>Panamá</v>
      </c>
      <c r="AB96" s="486" t="e" cm="1" vm="49">
        <f t="array" aca="1" ref="AB96" ca="1">Ver_flag_local</f>
        <v>#VALUE!</v>
      </c>
      <c r="AC96" s="199">
        <v>0</v>
      </c>
      <c r="AD96" s="200">
        <v>3</v>
      </c>
      <c r="AE96" s="491" t="e" cm="1" vm="46">
        <f t="array" aca="1" ref="AE96" ca="1">Ver_flag_visit</f>
        <v>#VALUE!</v>
      </c>
      <c r="AF96" s="201" t="str">
        <f ca="1">A93</f>
        <v>Inglaterra</v>
      </c>
      <c r="AG96" s="421">
        <f t="shared" si="296"/>
        <v>1</v>
      </c>
      <c r="AH96" s="202">
        <v>67</v>
      </c>
      <c r="AI96" s="19" t="str">
        <f t="shared" si="301"/>
        <v>3L</v>
      </c>
      <c r="AJ96" s="227">
        <v>3</v>
      </c>
      <c r="AK96" s="494" t="e" cm="1" vm="48">
        <f t="array" aca="1" ref="AK96" ca="1">Ver_flag_visit</f>
        <v>#VALUE!</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2</v>
      </c>
      <c r="AS96" s="230">
        <f t="shared" ca="1" si="300"/>
        <v>5</v>
      </c>
      <c r="AT96" s="231">
        <f t="shared" ca="1" si="300"/>
        <v>-3</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49999999999999"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07"/>
      <c r="X97" s="234">
        <f ca="1">Horarios!C97</f>
        <v>46200.625</v>
      </c>
      <c r="Y97" s="235">
        <f ca="1">Horarios!C97</f>
        <v>46200.625</v>
      </c>
      <c r="Z97" s="236" t="str">
        <f>$Z$8</f>
        <v>J3</v>
      </c>
      <c r="AA97" s="237" t="str">
        <f ca="1">A94</f>
        <v>Croacia</v>
      </c>
      <c r="AB97" s="487" t="e" cm="1" vm="47">
        <f t="array" aca="1" ref="AB97" ca="1">Ver_flag_local</f>
        <v>#VALUE!</v>
      </c>
      <c r="AC97" s="238">
        <v>2</v>
      </c>
      <c r="AD97" s="239">
        <v>0</v>
      </c>
      <c r="AE97" s="492" t="e" cm="1" vm="48">
        <f t="array" aca="1" ref="AE97" ca="1">Ver_flag_visit</f>
        <v>#VALUE!</v>
      </c>
      <c r="AF97" s="240" t="str">
        <f ca="1">A95</f>
        <v>Ghana</v>
      </c>
      <c r="AG97" s="421">
        <f t="shared" si="296"/>
        <v>1</v>
      </c>
      <c r="AH97" s="202">
        <v>68</v>
      </c>
      <c r="AI97" s="19" t="str">
        <f t="shared" si="301"/>
        <v>4L</v>
      </c>
      <c r="AJ97" s="241">
        <v>4</v>
      </c>
      <c r="AK97" s="495" t="e" cm="1" vm="49">
        <f t="array" aca="1" ref="AK97" ca="1">Ver_flag_visit</f>
        <v>#VALUE!</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0</v>
      </c>
      <c r="AS97" s="244">
        <f t="shared" ca="1" si="300"/>
        <v>6</v>
      </c>
      <c r="AT97" s="245">
        <f t="shared" ca="1" si="300"/>
        <v>-6</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Canadá</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República Checa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12" t="s">
        <v>483</v>
      </c>
      <c r="X101" s="195">
        <f ca="1">Horarios!C101</f>
        <v>46201.541666666664</v>
      </c>
      <c r="Y101" s="196">
        <f ca="1">Horarios!C101</f>
        <v>46201.541666666664</v>
      </c>
      <c r="Z101" s="282">
        <f>AH101</f>
        <v>73</v>
      </c>
      <c r="AA101" s="283" t="str">
        <f t="shared" ref="AA101:AA116" ca="1" si="305">+INDEX($M$101:$M$147,MATCH(AH101,$J$101:$J$147,0))</f>
        <v>República Checa</v>
      </c>
      <c r="AB101" s="284"/>
      <c r="AC101" s="200">
        <v>1</v>
      </c>
      <c r="AD101" s="200">
        <v>2</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ABCDEFIK</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República Checa-Canadá</v>
      </c>
      <c r="DU101" s="756"/>
      <c r="DV101" s="756"/>
      <c r="DW101" s="8"/>
    </row>
    <row r="102" spans="1:127" ht="16"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12"/>
      <c r="X102" s="195">
        <f ca="1">Horarios!C102</f>
        <v>46202.458333333328</v>
      </c>
      <c r="Y102" s="196">
        <f ca="1">Horarios!C102</f>
        <v>46202.458333333328</v>
      </c>
      <c r="Z102" s="282">
        <f t="shared" ref="Z102:Z116" si="309">AH102</f>
        <v>76</v>
      </c>
      <c r="AA102" s="283" t="str">
        <f t="shared" ca="1" si="305"/>
        <v>Brasil</v>
      </c>
      <c r="AB102" s="284"/>
      <c r="AC102" s="287">
        <v>2</v>
      </c>
      <c r="AD102" s="287">
        <v>1</v>
      </c>
      <c r="AE102" s="284"/>
      <c r="AF102" s="286" t="str">
        <f t="shared" ca="1" si="306"/>
        <v>Japón</v>
      </c>
      <c r="AG102" s="425">
        <f t="shared" ca="1" si="307"/>
        <v>1</v>
      </c>
      <c r="AH102" s="202">
        <v>76</v>
      </c>
      <c r="AI102" s="223">
        <v>1</v>
      </c>
      <c r="AJ102" s="288">
        <v>1</v>
      </c>
      <c r="AK102" s="493" t="e" cm="1" vm="3">
        <f t="array" aca="1" ref="AK102" ca="1">Ver_flag_visit</f>
        <v>#VALUE!</v>
      </c>
      <c r="AL102" s="289" t="str">
        <f t="shared" ref="AL102:AL113" ca="1" si="310">+IF($H$113&gt;=48,INDEX($BD$58:$BD$69,MATCH(AI102,$BN$58:$BN$69,0)),BB58)</f>
        <v>Corea del Sur</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3</v>
      </c>
      <c r="AS102" s="292">
        <f t="shared" ca="1" si="311"/>
        <v>3</v>
      </c>
      <c r="AT102" s="293">
        <f t="shared" ca="1" si="311"/>
        <v>0</v>
      </c>
      <c r="AU102" s="428">
        <f t="shared" ref="AU102:AU113" ca="1" si="312">IF($H$113=144,INDEX($DL$58:$DL$69,MATCH(AI102,$DP$58:$DP$69,0)),"")</f>
        <v>1</v>
      </c>
      <c r="AV102" s="223" t="str">
        <f t="shared" ref="AV102:AV113" ca="1" si="313">INDEX($BD$58:$BD$69,MATCH(AI102,$BM$58:$BM$69,0))</f>
        <v>Corea del Sur</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6"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12"/>
      <c r="X103" s="195">
        <f ca="1">Horarios!C103</f>
        <v>46202.604166666664</v>
      </c>
      <c r="Y103" s="196">
        <f ca="1">Horarios!C103</f>
        <v>46202.604166666664</v>
      </c>
      <c r="Z103" s="282">
        <f t="shared" si="309"/>
        <v>74</v>
      </c>
      <c r="AA103" s="283" t="str">
        <f t="shared" ca="1" si="305"/>
        <v>Alemania</v>
      </c>
      <c r="AB103" s="284"/>
      <c r="AC103" s="287">
        <v>3</v>
      </c>
      <c r="AD103" s="287">
        <v>0</v>
      </c>
      <c r="AE103" s="284"/>
      <c r="AF103" s="286" t="str">
        <f t="shared" ca="1" si="306"/>
        <v>Paraguay</v>
      </c>
      <c r="AG103" s="425">
        <f t="shared" ca="1" si="307"/>
        <v>1</v>
      </c>
      <c r="AH103" s="202">
        <v>74</v>
      </c>
      <c r="AI103" s="223">
        <v>2</v>
      </c>
      <c r="AJ103" s="227">
        <v>2</v>
      </c>
      <c r="AK103" s="494" t="e" cm="1" vm="12">
        <f t="array" aca="1" ref="AK103" ca="1">Ver_flag_visit</f>
        <v>#VALUE!</v>
      </c>
      <c r="AL103" s="295" t="str">
        <f t="shared" ca="1" si="310"/>
        <v>Escocia</v>
      </c>
      <c r="AM103" s="296">
        <f t="shared" ref="AM103:AT103" ca="1" si="314">+IF($H$113&gt;=48,INDEX($BE$58:$BN$69,MATCH($AL103,$BD$58:$BD$69,0),MATCH(AM$5,$BE$57:$BN$57,0)),$BB59)</f>
        <v>3</v>
      </c>
      <c r="AN103" s="297">
        <f t="shared" ca="1" si="314"/>
        <v>3</v>
      </c>
      <c r="AO103" s="297">
        <f t="shared" ca="1" si="314"/>
        <v>1</v>
      </c>
      <c r="AP103" s="297">
        <f t="shared" ca="1" si="314"/>
        <v>0</v>
      </c>
      <c r="AQ103" s="297">
        <f t="shared" ca="1" si="314"/>
        <v>2</v>
      </c>
      <c r="AR103" s="297">
        <f t="shared" ca="1" si="314"/>
        <v>3</v>
      </c>
      <c r="AS103" s="297">
        <f t="shared" ca="1" si="314"/>
        <v>3</v>
      </c>
      <c r="AT103" s="298">
        <f t="shared" ca="1" si="314"/>
        <v>0</v>
      </c>
      <c r="AU103" s="428">
        <f t="shared" ca="1" si="312"/>
        <v>1</v>
      </c>
      <c r="AV103" s="223" t="str">
        <f t="shared" ca="1" si="313"/>
        <v>Escocia</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A</v>
      </c>
      <c r="BG103" s="750">
        <f t="shared" ref="BG103:BG110" ca="1" si="317">COUNTIF($BF$103:$BF$110,"&lt;="&amp;BF103)</f>
        <v>1</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12"/>
      <c r="X104" s="195">
        <f ca="1">Horarios!C104</f>
        <v>46202.791666666664</v>
      </c>
      <c r="Y104" s="196">
        <f ca="1">Horarios!C104</f>
        <v>46202.791666666664</v>
      </c>
      <c r="Z104" s="282">
        <f t="shared" si="309"/>
        <v>75</v>
      </c>
      <c r="AA104" s="283" t="str">
        <f t="shared" ca="1" si="305"/>
        <v>Países Bajos</v>
      </c>
      <c r="AB104" s="284">
        <v>3</v>
      </c>
      <c r="AC104" s="287">
        <v>2</v>
      </c>
      <c r="AD104" s="287">
        <v>2</v>
      </c>
      <c r="AE104" s="284">
        <v>2</v>
      </c>
      <c r="AF104" s="286" t="str">
        <f t="shared" ca="1" si="306"/>
        <v>Marruecos</v>
      </c>
      <c r="AG104" s="425">
        <f t="shared" ca="1" si="307"/>
        <v>1</v>
      </c>
      <c r="AH104" s="202">
        <v>75</v>
      </c>
      <c r="AI104" s="223">
        <v>3</v>
      </c>
      <c r="AJ104" s="227">
        <v>3</v>
      </c>
      <c r="AK104" s="494" t="e" cm="1" vm="35">
        <f t="array" aca="1" ref="AK104" ca="1">Ver_flag_visit</f>
        <v>#VALUE!</v>
      </c>
      <c r="AL104" s="295" t="str">
        <f t="shared" ca="1" si="310"/>
        <v>Senegal</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2</v>
      </c>
      <c r="AS104" s="297">
        <f t="shared" ca="1" si="319"/>
        <v>3</v>
      </c>
      <c r="AT104" s="298">
        <f t="shared" ca="1" si="319"/>
        <v>-1</v>
      </c>
      <c r="AU104" s="428">
        <f t="shared" ca="1" si="312"/>
        <v>2</v>
      </c>
      <c r="AV104" s="223" t="str">
        <f t="shared" ca="1" si="313"/>
        <v>Paraguay</v>
      </c>
      <c r="AW104" s="435">
        <v>4</v>
      </c>
      <c r="AX104" s="294"/>
      <c r="AY104" s="299"/>
      <c r="AZ104" s="300" t="str">
        <f t="shared" ca="1" si="315"/>
        <v>1B - 3E</v>
      </c>
      <c r="BA104" s="181"/>
      <c r="BB104" s="750"/>
      <c r="BC104" s="756"/>
      <c r="BD104" s="750"/>
      <c r="BE104" s="750"/>
      <c r="BF104" s="750" t="str">
        <f t="shared" ca="1" si="316"/>
        <v>C</v>
      </c>
      <c r="BG104" s="750">
        <f t="shared" ca="1" si="317"/>
        <v>3</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6"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12"/>
      <c r="X105" s="195">
        <f ca="1">Horarios!C105</f>
        <v>46203.458333333328</v>
      </c>
      <c r="Y105" s="196">
        <f ca="1">Horarios!C105</f>
        <v>46203.458333333328</v>
      </c>
      <c r="Z105" s="282">
        <f t="shared" si="309"/>
        <v>78</v>
      </c>
      <c r="AA105" s="283" t="str">
        <f t="shared" ca="1" si="305"/>
        <v>Ecuador</v>
      </c>
      <c r="AB105" s="284"/>
      <c r="AC105" s="287">
        <v>0</v>
      </c>
      <c r="AD105" s="287">
        <v>1</v>
      </c>
      <c r="AE105" s="284"/>
      <c r="AF105" s="286" t="str">
        <f t="shared" ca="1" si="306"/>
        <v>Noruega</v>
      </c>
      <c r="AG105" s="425">
        <f t="shared" ca="1" si="307"/>
        <v>1</v>
      </c>
      <c r="AH105" s="202">
        <v>78</v>
      </c>
      <c r="AI105" s="223">
        <v>4</v>
      </c>
      <c r="AJ105" s="227">
        <v>4</v>
      </c>
      <c r="AK105" s="494" t="e" cm="1" vm="14">
        <f t="array" aca="1" ref="AK105" ca="1">Ver_flag_visit</f>
        <v>#VALUE!</v>
      </c>
      <c r="AL105" s="295" t="str">
        <f t="shared" ca="1" si="310"/>
        <v>Paraguay</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2</v>
      </c>
      <c r="AS105" s="297">
        <f t="shared" ca="1" si="320"/>
        <v>3</v>
      </c>
      <c r="AT105" s="298">
        <f t="shared" ca="1" si="320"/>
        <v>-1</v>
      </c>
      <c r="AU105" s="428">
        <f t="shared" ca="1" si="312"/>
        <v>2</v>
      </c>
      <c r="AV105" s="223" t="str">
        <f t="shared" ca="1" si="313"/>
        <v>Senegal</v>
      </c>
      <c r="AW105" s="435">
        <v>3</v>
      </c>
      <c r="AX105" s="294"/>
      <c r="AY105" s="299"/>
      <c r="AZ105" s="300" t="str">
        <f t="shared" ca="1" si="315"/>
        <v>1D - 3B</v>
      </c>
      <c r="BA105" s="181"/>
      <c r="BB105" s="750"/>
      <c r="BC105" s="756"/>
      <c r="BD105" s="750"/>
      <c r="BE105" s="750"/>
      <c r="BF105" s="750" t="str">
        <f t="shared" ca="1" si="316"/>
        <v>I</v>
      </c>
      <c r="BG105" s="750">
        <f t="shared" ca="1" si="317"/>
        <v>7</v>
      </c>
      <c r="BH105" s="750"/>
      <c r="BI105" s="756">
        <v>3</v>
      </c>
      <c r="BJ105" s="750" t="str">
        <f t="shared" ca="1" si="318"/>
        <v>C</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Ecuador-Noruega</v>
      </c>
      <c r="DU105" s="750"/>
      <c r="DV105" s="750"/>
      <c r="DW105" s="11"/>
    </row>
    <row r="106" spans="1:127" ht="16"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Ecuador</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12"/>
      <c r="X106" s="195">
        <f ca="1">Horarios!C106</f>
        <v>46203.625</v>
      </c>
      <c r="Y106" s="196">
        <f ca="1">Horarios!C106</f>
        <v>46203.625</v>
      </c>
      <c r="Z106" s="282">
        <f t="shared" si="309"/>
        <v>77</v>
      </c>
      <c r="AA106" s="283" t="str">
        <f t="shared" ca="1" si="305"/>
        <v>Francia</v>
      </c>
      <c r="AB106" s="284"/>
      <c r="AC106" s="287">
        <v>3</v>
      </c>
      <c r="AD106" s="287">
        <v>0</v>
      </c>
      <c r="AE106" s="284"/>
      <c r="AF106" s="286" t="str">
        <f t="shared" ca="1" si="306"/>
        <v>Suecia</v>
      </c>
      <c r="AG106" s="425">
        <f t="shared" ca="1" si="307"/>
        <v>1</v>
      </c>
      <c r="AH106" s="202">
        <v>77</v>
      </c>
      <c r="AI106" s="223">
        <v>5</v>
      </c>
      <c r="AJ106" s="227">
        <v>5</v>
      </c>
      <c r="AK106" s="494" t="e" cm="1" vm="6">
        <f t="array" aca="1" ref="AK106" ca="1">Ver_flag_visit</f>
        <v>#VALUE!</v>
      </c>
      <c r="AL106" s="295" t="str">
        <f t="shared" ca="1" si="310"/>
        <v>Bosnia y Herzegovina</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1</v>
      </c>
      <c r="AS106" s="297">
        <f t="shared" ca="1" si="321"/>
        <v>2</v>
      </c>
      <c r="AT106" s="298">
        <f t="shared" ca="1" si="321"/>
        <v>-1</v>
      </c>
      <c r="AU106" s="428">
        <f t="shared" ca="1" si="312"/>
        <v>1</v>
      </c>
      <c r="AV106" s="223" t="str">
        <f t="shared" ca="1" si="313"/>
        <v>Bosnia y Herzegovina</v>
      </c>
      <c r="AW106" s="435">
        <v>4</v>
      </c>
      <c r="AX106" s="294"/>
      <c r="AY106" s="299"/>
      <c r="AZ106" s="300" t="str">
        <f t="shared" ca="1" si="315"/>
        <v>1E - 3D</v>
      </c>
      <c r="BA106" s="181"/>
      <c r="BB106" s="750"/>
      <c r="BC106" s="756"/>
      <c r="BD106" s="750"/>
      <c r="BE106" s="750"/>
      <c r="BF106" s="750" t="str">
        <f t="shared" ca="1" si="316"/>
        <v>D</v>
      </c>
      <c r="BG106" s="750">
        <f t="shared" ca="1" si="317"/>
        <v>4</v>
      </c>
      <c r="BH106" s="750"/>
      <c r="BI106" s="756">
        <v>4</v>
      </c>
      <c r="BJ106" s="750" t="str">
        <f t="shared" ca="1" si="318"/>
        <v>D</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6"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Escocia</v>
      </c>
      <c r="O107" s="750"/>
      <c r="P107" s="750"/>
      <c r="Q107" s="750"/>
      <c r="R107" s="750"/>
      <c r="S107" s="750"/>
      <c r="T107" s="750"/>
      <c r="U107" s="750"/>
      <c r="V107" s="178"/>
      <c r="W107" s="812"/>
      <c r="X107" s="195">
        <f ca="1">Horarios!C107</f>
        <v>46203.791666666664</v>
      </c>
      <c r="Y107" s="196">
        <f ca="1">Horarios!C107</f>
        <v>46203.791666666664</v>
      </c>
      <c r="Z107" s="282">
        <f t="shared" si="309"/>
        <v>79</v>
      </c>
      <c r="AA107" s="283" t="str">
        <f t="shared" ca="1" si="305"/>
        <v>México</v>
      </c>
      <c r="AB107" s="284"/>
      <c r="AC107" s="287">
        <v>1</v>
      </c>
      <c r="AD107" s="287">
        <v>0</v>
      </c>
      <c r="AE107" s="284"/>
      <c r="AF107" s="286" t="str">
        <f t="shared" ca="1" si="306"/>
        <v>Escocia</v>
      </c>
      <c r="AG107" s="425">
        <f t="shared" ca="1" si="307"/>
        <v>1</v>
      </c>
      <c r="AH107" s="202">
        <v>79</v>
      </c>
      <c r="AI107" s="223">
        <v>6</v>
      </c>
      <c r="AJ107" s="227">
        <v>6</v>
      </c>
      <c r="AK107" s="494" t="e" cm="1" vm="43">
        <f t="array" aca="1" ref="AK107" ca="1">Ver_flag_visit</f>
        <v>#VALUE!</v>
      </c>
      <c r="AL107" s="295" t="str">
        <f t="shared" ca="1" si="310"/>
        <v>RD Congo</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3</v>
      </c>
      <c r="AS107" s="297">
        <f t="shared" ca="1" si="322"/>
        <v>5</v>
      </c>
      <c r="AT107" s="298">
        <f t="shared" ca="1" si="322"/>
        <v>-2</v>
      </c>
      <c r="AU107" s="428">
        <f t="shared" ca="1" si="312"/>
        <v>1</v>
      </c>
      <c r="AV107" s="223" t="str">
        <f ca="1">INDEX($BD$58:$BD$69,MATCH(AI107,$BM$58:$BM$69,0))</f>
        <v>RD Congo</v>
      </c>
      <c r="AW107" s="435"/>
      <c r="AX107" s="294"/>
      <c r="AY107" s="299"/>
      <c r="AZ107" s="300" t="str">
        <f t="shared" ca="1" si="315"/>
        <v>1G - 3A</v>
      </c>
      <c r="BA107" s="181"/>
      <c r="BB107" s="750"/>
      <c r="BC107" s="756"/>
      <c r="BD107" s="750"/>
      <c r="BE107" s="756"/>
      <c r="BF107" s="750" t="str">
        <f t="shared" ca="1" si="316"/>
        <v>B</v>
      </c>
      <c r="BG107" s="750">
        <f t="shared" ca="1" si="317"/>
        <v>2</v>
      </c>
      <c r="BH107" s="750"/>
      <c r="BI107" s="750">
        <v>5</v>
      </c>
      <c r="BJ107" s="750" t="str">
        <f t="shared" ca="1" si="318"/>
        <v>E</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México-Escocia</v>
      </c>
      <c r="DU107" s="750"/>
      <c r="DV107" s="750"/>
      <c r="DW107" s="11"/>
    </row>
    <row r="108" spans="1:127" ht="16"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50"/>
      <c r="P108" s="750"/>
      <c r="Q108" s="750"/>
      <c r="R108" s="750"/>
      <c r="S108" s="750"/>
      <c r="T108" s="750"/>
      <c r="U108" s="750"/>
      <c r="V108" s="178"/>
      <c r="W108" s="812"/>
      <c r="X108" s="195">
        <f ca="1">Horarios!C108</f>
        <v>46204.416666666664</v>
      </c>
      <c r="Y108" s="196">
        <f ca="1">Horarios!C108</f>
        <v>46204.416666666664</v>
      </c>
      <c r="Z108" s="282">
        <f t="shared" si="309"/>
        <v>80</v>
      </c>
      <c r="AA108" s="283" t="str">
        <f t="shared" ca="1" si="305"/>
        <v>Inglaterra</v>
      </c>
      <c r="AB108" s="284"/>
      <c r="AC108" s="287">
        <v>3</v>
      </c>
      <c r="AD108" s="287">
        <v>0</v>
      </c>
      <c r="AE108" s="284"/>
      <c r="AF108" s="286" t="str">
        <f t="shared" ca="1" si="306"/>
        <v>RD Congo</v>
      </c>
      <c r="AG108" s="425">
        <f t="shared" ca="1" si="307"/>
        <v>1</v>
      </c>
      <c r="AH108" s="202">
        <v>80</v>
      </c>
      <c r="AI108" s="223">
        <v>7</v>
      </c>
      <c r="AJ108" s="227">
        <v>7</v>
      </c>
      <c r="AK108" s="494" t="e" cm="1" vm="19">
        <f t="array" aca="1" ref="AK108" ca="1">Ver_flag_visit</f>
        <v>#VALUE!</v>
      </c>
      <c r="AL108" s="295" t="str">
        <f t="shared" ca="1" si="310"/>
        <v>Costa de Marfil</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4</v>
      </c>
      <c r="AT108" s="298">
        <f t="shared" ca="1" si="323"/>
        <v>-2</v>
      </c>
      <c r="AU108" s="428">
        <f t="shared" ca="1" si="312"/>
        <v>1</v>
      </c>
      <c r="AV108" s="223" t="str">
        <f t="shared" ca="1" si="313"/>
        <v>Costa de Marfil</v>
      </c>
      <c r="AW108" s="435"/>
      <c r="AX108" s="294"/>
      <c r="AY108" s="299"/>
      <c r="AZ108" s="300" t="str">
        <f t="shared" ca="1" si="315"/>
        <v>1I - 3F</v>
      </c>
      <c r="BA108" s="181"/>
      <c r="BB108" s="750"/>
      <c r="BC108" s="750"/>
      <c r="BD108" s="750"/>
      <c r="BE108" s="756"/>
      <c r="BF108" s="750" t="str">
        <f t="shared" ca="1" si="316"/>
        <v>K</v>
      </c>
      <c r="BG108" s="750">
        <f t="shared" ca="1" si="317"/>
        <v>8</v>
      </c>
      <c r="BH108" s="750"/>
      <c r="BI108" s="750">
        <v>6</v>
      </c>
      <c r="BJ108" s="750" t="str">
        <f t="shared" ca="1" si="318"/>
        <v>F</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Inglaterra-RD Congo</v>
      </c>
      <c r="DU108" s="750"/>
      <c r="DV108" s="750"/>
      <c r="DW108" s="11"/>
    </row>
    <row r="109" spans="1:127" ht="16"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12"/>
      <c r="X109" s="195">
        <f ca="1">Horarios!C109</f>
        <v>46204.583333333328</v>
      </c>
      <c r="Y109" s="196">
        <f ca="1">Horarios!C109</f>
        <v>46204.583333333328</v>
      </c>
      <c r="Z109" s="282">
        <f t="shared" si="309"/>
        <v>82</v>
      </c>
      <c r="AA109" s="283" t="str">
        <f t="shared" ca="1" si="305"/>
        <v>Bélgica</v>
      </c>
      <c r="AB109" s="284"/>
      <c r="AC109" s="287">
        <v>2</v>
      </c>
      <c r="AD109" s="287">
        <v>0</v>
      </c>
      <c r="AE109" s="284"/>
      <c r="AF109" s="286" t="str">
        <f t="shared" ca="1" si="306"/>
        <v>Corea del Sur</v>
      </c>
      <c r="AG109" s="425">
        <f t="shared" ca="1" si="307"/>
        <v>1</v>
      </c>
      <c r="AH109" s="202">
        <v>82</v>
      </c>
      <c r="AI109" s="223">
        <v>8</v>
      </c>
      <c r="AJ109" s="227">
        <v>8</v>
      </c>
      <c r="AK109" s="494" t="e" cm="1" vm="23">
        <f t="array" aca="1" ref="AK109" ca="1">Ver_flag_visit</f>
        <v>#VALUE!</v>
      </c>
      <c r="AL109" s="295" t="str">
        <f t="shared" ca="1" si="310"/>
        <v>Suecia</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1</v>
      </c>
      <c r="AS109" s="297">
        <f t="shared" ca="1" si="324"/>
        <v>3</v>
      </c>
      <c r="AT109" s="298">
        <f t="shared" ca="1" si="324"/>
        <v>-2</v>
      </c>
      <c r="AU109" s="428">
        <f t="shared" ca="1" si="312"/>
        <v>1</v>
      </c>
      <c r="AV109" s="223" t="str">
        <f t="shared" ca="1" si="313"/>
        <v>Suecia</v>
      </c>
      <c r="AW109" s="435">
        <v>8</v>
      </c>
      <c r="AX109" s="294"/>
      <c r="AY109" s="299"/>
      <c r="AZ109" s="300" t="str">
        <f t="shared" ca="1" si="315"/>
        <v>1K - 3I</v>
      </c>
      <c r="BA109" s="181"/>
      <c r="BB109" s="750"/>
      <c r="BC109" s="750"/>
      <c r="BD109" s="750"/>
      <c r="BE109" s="756"/>
      <c r="BF109" s="750" t="str">
        <f t="shared" ca="1" si="316"/>
        <v>E</v>
      </c>
      <c r="BG109" s="750">
        <f t="shared" ca="1" si="317"/>
        <v>5</v>
      </c>
      <c r="BH109" s="750"/>
      <c r="BI109" s="750">
        <v>7</v>
      </c>
      <c r="BJ109" s="750" t="str">
        <f t="shared" ca="1" si="318"/>
        <v>I</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Bélgica-Corea del Sur</v>
      </c>
      <c r="DU109" s="750"/>
      <c r="DV109" s="750"/>
      <c r="DW109" s="11"/>
    </row>
    <row r="110" spans="1:127" ht="16" customHeight="1">
      <c r="A110" s="750" t="s">
        <v>667</v>
      </c>
      <c r="B110" s="750" t="s">
        <v>727</v>
      </c>
      <c r="C110" s="751"/>
      <c r="D110" s="759" t="str">
        <f t="shared" ca="1" si="302"/>
        <v>Turquía</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Corea del Sur</v>
      </c>
      <c r="O110" s="750"/>
      <c r="P110" s="750"/>
      <c r="Q110" s="750"/>
      <c r="R110" s="750"/>
      <c r="S110" s="750"/>
      <c r="T110" s="750"/>
      <c r="U110" s="750"/>
      <c r="V110" s="178"/>
      <c r="W110" s="812"/>
      <c r="X110" s="195">
        <f ca="1">Horarios!C110</f>
        <v>46204.75</v>
      </c>
      <c r="Y110" s="196">
        <f ca="1">Horarios!C110</f>
        <v>46204.75</v>
      </c>
      <c r="Z110" s="282">
        <f t="shared" si="309"/>
        <v>81</v>
      </c>
      <c r="AA110" s="283" t="str">
        <f t="shared" ca="1" si="305"/>
        <v>Turquía</v>
      </c>
      <c r="AB110" s="284"/>
      <c r="AC110" s="287">
        <v>1</v>
      </c>
      <c r="AD110" s="287">
        <v>0</v>
      </c>
      <c r="AE110" s="284"/>
      <c r="AF110" s="286" t="str">
        <f t="shared" ca="1" si="306"/>
        <v>Bosnia y Herzegovina</v>
      </c>
      <c r="AG110" s="425">
        <f t="shared" ca="1" si="307"/>
        <v>1</v>
      </c>
      <c r="AH110" s="202">
        <v>81</v>
      </c>
      <c r="AI110" s="223">
        <v>9</v>
      </c>
      <c r="AJ110" s="227">
        <v>9</v>
      </c>
      <c r="AK110" s="494" t="e" cm="1" vm="48">
        <f t="array" aca="1" ref="AK110" ca="1">Ver_flag_visit</f>
        <v>#VALUE!</v>
      </c>
      <c r="AL110" s="295" t="str">
        <f t="shared" ca="1" si="310"/>
        <v>Ghana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2</v>
      </c>
      <c r="AS110" s="297">
        <f t="shared" ca="1" si="325"/>
        <v>5</v>
      </c>
      <c r="AT110" s="298">
        <f t="shared" ca="1" si="325"/>
        <v>-3</v>
      </c>
      <c r="AU110" s="428">
        <f t="shared" ca="1" si="312"/>
        <v>1</v>
      </c>
      <c r="AV110" s="223" t="str">
        <f t="shared" ca="1" si="313"/>
        <v>Ghana</v>
      </c>
      <c r="AW110" s="435">
        <v>9</v>
      </c>
      <c r="AX110" s="294"/>
      <c r="AY110" s="299"/>
      <c r="AZ110" s="300" t="str">
        <f t="shared" ca="1" si="315"/>
        <v>1L - 3K</v>
      </c>
      <c r="BA110" s="181"/>
      <c r="BB110" s="750"/>
      <c r="BC110" s="750"/>
      <c r="BD110" s="750"/>
      <c r="BE110" s="756"/>
      <c r="BF110" s="750" t="str">
        <f t="shared" ca="1" si="316"/>
        <v>F</v>
      </c>
      <c r="BG110" s="750">
        <f t="shared" ca="1" si="317"/>
        <v>6</v>
      </c>
      <c r="BH110" s="750"/>
      <c r="BI110" s="756">
        <v>8</v>
      </c>
      <c r="BJ110" s="750" t="str">
        <f t="shared" ca="1" si="318"/>
        <v>K</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Turquía-Bosnia y Herzegovina</v>
      </c>
      <c r="DU110" s="750"/>
      <c r="DV110" s="750"/>
      <c r="DW110" s="11"/>
    </row>
    <row r="111" spans="1:127" ht="16"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12"/>
      <c r="X111" s="195">
        <f ca="1">Horarios!C111</f>
        <v>46205.541666666664</v>
      </c>
      <c r="Y111" s="196">
        <f ca="1">Horarios!C111</f>
        <v>46205.541666666664</v>
      </c>
      <c r="Z111" s="282">
        <f t="shared" si="309"/>
        <v>84</v>
      </c>
      <c r="AA111" s="283" t="str">
        <f t="shared" ca="1" si="305"/>
        <v>España</v>
      </c>
      <c r="AB111" s="284"/>
      <c r="AC111" s="287">
        <v>3</v>
      </c>
      <c r="AD111" s="287">
        <v>1</v>
      </c>
      <c r="AE111" s="284"/>
      <c r="AF111" s="286" t="str">
        <f t="shared" ca="1" si="306"/>
        <v>Austria</v>
      </c>
      <c r="AG111" s="425">
        <f t="shared" ca="1" si="307"/>
        <v>1</v>
      </c>
      <c r="AH111" s="202">
        <v>84</v>
      </c>
      <c r="AI111" s="223">
        <v>10</v>
      </c>
      <c r="AJ111" s="227">
        <v>10</v>
      </c>
      <c r="AK111" s="494" t="e" cm="1" vm="39">
        <f t="array" aca="1" ref="AK111" ca="1">Ver_flag_visit</f>
        <v>#VALUE!</v>
      </c>
      <c r="AL111" s="295" t="str">
        <f t="shared" ca="1" si="310"/>
        <v>Argelia</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1</v>
      </c>
      <c r="AS111" s="297">
        <f t="shared" ca="1" si="326"/>
        <v>4</v>
      </c>
      <c r="AT111" s="298">
        <f t="shared" ca="1" si="326"/>
        <v>-3</v>
      </c>
      <c r="AU111" s="428">
        <f t="shared" ca="1" si="312"/>
        <v>1</v>
      </c>
      <c r="AV111" s="223" t="str">
        <f t="shared" ca="1" si="313"/>
        <v>Argelia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12"/>
      <c r="X112" s="195">
        <f ca="1">Horarios!C112</f>
        <v>46205.708333333328</v>
      </c>
      <c r="Y112" s="196">
        <f ca="1">Horarios!C112</f>
        <v>46205.708333333328</v>
      </c>
      <c r="Z112" s="282">
        <f t="shared" si="309"/>
        <v>83</v>
      </c>
      <c r="AA112" s="283" t="str">
        <f t="shared" ca="1" si="305"/>
        <v>Colombia</v>
      </c>
      <c r="AB112" s="284"/>
      <c r="AC112" s="287">
        <v>2</v>
      </c>
      <c r="AD112" s="287">
        <v>3</v>
      </c>
      <c r="AE112" s="284"/>
      <c r="AF112" s="286" t="str">
        <f t="shared" ca="1" si="306"/>
        <v>Croacia</v>
      </c>
      <c r="AG112" s="425">
        <f t="shared" ca="1" si="307"/>
        <v>1</v>
      </c>
      <c r="AH112" s="202">
        <v>83</v>
      </c>
      <c r="AI112" s="223">
        <v>11</v>
      </c>
      <c r="AJ112" s="227">
        <v>11</v>
      </c>
      <c r="AK112" s="494" t="e" cm="1" vm="32">
        <f t="array" aca="1" ref="AK112" ca="1">Ver_flag_visit</f>
        <v>#VALUE!</v>
      </c>
      <c r="AL112" s="295" t="str">
        <f t="shared" ca="1" si="310"/>
        <v>Arabia Saudita</v>
      </c>
      <c r="AM112" s="296">
        <f t="shared" ref="AM112:AT112" ca="1" si="327">+IF($H$113&gt;=48,INDEX($BE$58:$BN$69,MATCH($AL112,$BD$58:$BD$69,0),MATCH(AM$5,$BE$57:$BN$57,0)),$BB68)</f>
        <v>3</v>
      </c>
      <c r="AN112" s="297">
        <f t="shared" ca="1" si="327"/>
        <v>3</v>
      </c>
      <c r="AO112" s="297">
        <f t="shared" ca="1" si="327"/>
        <v>1</v>
      </c>
      <c r="AP112" s="297">
        <f t="shared" ca="1" si="327"/>
        <v>0</v>
      </c>
      <c r="AQ112" s="297">
        <f t="shared" ca="1" si="327"/>
        <v>2</v>
      </c>
      <c r="AR112" s="297">
        <f t="shared" ca="1" si="327"/>
        <v>1</v>
      </c>
      <c r="AS112" s="297">
        <f t="shared" ca="1" si="327"/>
        <v>5</v>
      </c>
      <c r="AT112" s="298">
        <f t="shared" ca="1" si="327"/>
        <v>-4</v>
      </c>
      <c r="AU112" s="428">
        <f t="shared" ca="1" si="312"/>
        <v>1</v>
      </c>
      <c r="AV112" s="223" t="str">
        <f t="shared" ca="1" si="313"/>
        <v>Arabia Saudita</v>
      </c>
      <c r="AW112" s="435"/>
      <c r="AX112" s="294"/>
      <c r="AY112" s="301"/>
      <c r="AZ112" s="301"/>
      <c r="BA112" s="181"/>
      <c r="BB112" s="750"/>
      <c r="BC112" s="750"/>
      <c r="BD112" s="758"/>
      <c r="BE112" s="750"/>
      <c r="BF112" s="750"/>
      <c r="BG112" s="750"/>
      <c r="BH112" s="750"/>
      <c r="BI112" s="750" t="str">
        <f ca="1">IFERROR(CONCATENATE(BJ103,BJ104,BJ105,BJ106,BJ107,BJ108,BJ109,BJ110),"¿A/B/C/D/E/F/G/H/I/J/K/L?")</f>
        <v>ABCDEFIK</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6"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Costa de Marfil</v>
      </c>
      <c r="O113" s="750"/>
      <c r="P113" s="750"/>
      <c r="Q113" s="750"/>
      <c r="R113" s="750"/>
      <c r="S113" s="750"/>
      <c r="T113" s="750"/>
      <c r="U113" s="750"/>
      <c r="V113" s="178"/>
      <c r="W113" s="812"/>
      <c r="X113" s="195">
        <f ca="1">Horarios!C113</f>
        <v>46205.875</v>
      </c>
      <c r="Y113" s="196">
        <f ca="1">Horarios!C113</f>
        <v>46205.875</v>
      </c>
      <c r="Z113" s="282">
        <f t="shared" si="309"/>
        <v>85</v>
      </c>
      <c r="AA113" s="283" t="str">
        <f t="shared" ca="1" si="305"/>
        <v>Suiza</v>
      </c>
      <c r="AB113" s="284"/>
      <c r="AC113" s="287">
        <v>2</v>
      </c>
      <c r="AD113" s="287">
        <v>1</v>
      </c>
      <c r="AE113" s="285"/>
      <c r="AF113" s="286" t="str">
        <f t="shared" ca="1" si="306"/>
        <v>Costa de Marfil</v>
      </c>
      <c r="AG113" s="425">
        <f t="shared" ca="1" si="307"/>
        <v>1</v>
      </c>
      <c r="AH113" s="202">
        <v>85</v>
      </c>
      <c r="AI113" s="223">
        <v>12</v>
      </c>
      <c r="AJ113" s="241">
        <v>12</v>
      </c>
      <c r="AK113" s="495" t="e" cm="1" vm="28">
        <f t="array" aca="1" ref="AK113" ca="1">Ver_flag_visit</f>
        <v>#VALUE!</v>
      </c>
      <c r="AL113" s="242" t="str">
        <f t="shared" ca="1" si="310"/>
        <v>Nueva Zelanda</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2</v>
      </c>
      <c r="AS113" s="244">
        <f t="shared" ca="1" si="328"/>
        <v>5</v>
      </c>
      <c r="AT113" s="245">
        <f t="shared" ca="1" si="328"/>
        <v>-3</v>
      </c>
      <c r="AU113" s="428">
        <f t="shared" ca="1" si="312"/>
        <v>1</v>
      </c>
      <c r="AV113" s="223" t="str">
        <f t="shared" ca="1" si="313"/>
        <v>Nueva Zelanda</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Suiza-Costa de Marfil</v>
      </c>
      <c r="DU113" s="750"/>
      <c r="DV113" s="750"/>
      <c r="DW113" s="11"/>
    </row>
    <row r="114" spans="1:127" ht="16" customHeight="1">
      <c r="A114" s="750" t="s">
        <v>676</v>
      </c>
      <c r="B114" s="750" t="s">
        <v>671</v>
      </c>
      <c r="C114" s="751"/>
      <c r="D114" s="759" t="str">
        <f t="shared" ca="1" si="302"/>
        <v>Estados Unidos</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12"/>
      <c r="X114" s="195">
        <f ca="1">Horarios!C114</f>
        <v>46206.5</v>
      </c>
      <c r="Y114" s="196">
        <f ca="1">Horarios!C114</f>
        <v>46206.5</v>
      </c>
      <c r="Z114" s="282">
        <f t="shared" si="309"/>
        <v>88</v>
      </c>
      <c r="AA114" s="283" t="str">
        <f t="shared" ca="1" si="305"/>
        <v>Estados Unidos</v>
      </c>
      <c r="AB114" s="284"/>
      <c r="AC114" s="287">
        <v>1</v>
      </c>
      <c r="AD114" s="287">
        <v>0</v>
      </c>
      <c r="AE114" s="284"/>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Unidos-Egipto</v>
      </c>
      <c r="DU114" s="756"/>
      <c r="DV114" s="756"/>
      <c r="DW114" s="8"/>
    </row>
    <row r="115" spans="1:127" ht="16"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Senegal</v>
      </c>
      <c r="O115" s="750"/>
      <c r="P115" s="750"/>
      <c r="Q115" s="750"/>
      <c r="R115" s="750"/>
      <c r="S115" s="750"/>
      <c r="T115" s="750"/>
      <c r="U115" s="750"/>
      <c r="V115" s="178"/>
      <c r="W115" s="812"/>
      <c r="X115" s="195">
        <f ca="1">Horarios!C115</f>
        <v>46206.666666666664</v>
      </c>
      <c r="Y115" s="196">
        <f ca="1">Horarios!C115</f>
        <v>46206.666666666664</v>
      </c>
      <c r="Z115" s="282">
        <f t="shared" si="309"/>
        <v>86</v>
      </c>
      <c r="AA115" s="283" t="str">
        <f t="shared" ca="1" si="305"/>
        <v>Argentina</v>
      </c>
      <c r="AB115" s="284"/>
      <c r="AC115" s="287">
        <v>2</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13"/>
      <c r="X116" s="234">
        <f ca="1">Horarios!C116</f>
        <v>46206.8125</v>
      </c>
      <c r="Y116" s="235">
        <f ca="1">Horarios!C116</f>
        <v>46206.8125</v>
      </c>
      <c r="Z116" s="305">
        <f t="shared" si="309"/>
        <v>87</v>
      </c>
      <c r="AA116" s="306" t="str">
        <f t="shared" ca="1" si="305"/>
        <v>Portugal</v>
      </c>
      <c r="AB116" s="307"/>
      <c r="AC116" s="308">
        <v>2</v>
      </c>
      <c r="AD116" s="308">
        <v>1</v>
      </c>
      <c r="AE116" s="307"/>
      <c r="AF116" s="309" t="str">
        <f t="shared" ca="1" si="306"/>
        <v>Senegal</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Portugal-Senegal</v>
      </c>
      <c r="DU116" s="756"/>
      <c r="DV116" s="756"/>
      <c r="DW116" s="8"/>
    </row>
    <row r="117" spans="1:127" ht="16"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3E</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14" t="s">
        <v>88</v>
      </c>
      <c r="X120" s="195">
        <f ca="1">Horarios!C120</f>
        <v>46207.458333333328</v>
      </c>
      <c r="Y120" s="196">
        <f ca="1">Horarios!C120</f>
        <v>46207.458333333328</v>
      </c>
      <c r="Z120" s="282">
        <f t="shared" ref="Z120:Z127" si="331">AH120</f>
        <v>90</v>
      </c>
      <c r="AA120" s="283" t="str">
        <f t="shared" ref="AA120:AA127" ca="1" si="332">+INDEX($M$101:$M$147,MATCH(AH120,$J$101:$J$147,0))</f>
        <v>Canadá</v>
      </c>
      <c r="AB120" s="284"/>
      <c r="AC120" s="311">
        <v>0</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Canadá-Países Bajos</v>
      </c>
      <c r="DU120" s="756"/>
      <c r="DV120" s="756"/>
      <c r="DW120" s="8"/>
    </row>
    <row r="121" spans="1:127" ht="16"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Canadá</v>
      </c>
      <c r="N121" s="756" t="str">
        <f t="shared" ca="1" si="330"/>
        <v>Países Bajos</v>
      </c>
      <c r="O121" s="756"/>
      <c r="P121" s="756"/>
      <c r="Q121" s="756"/>
      <c r="R121" s="756"/>
      <c r="S121" s="756"/>
      <c r="T121" s="756"/>
      <c r="U121" s="756"/>
      <c r="V121" s="178"/>
      <c r="W121" s="814"/>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6"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14"/>
      <c r="X122" s="195">
        <f ca="1">Horarios!C122</f>
        <v>46208.583333333328</v>
      </c>
      <c r="Y122" s="196">
        <f ca="1">Horarios!C122</f>
        <v>46208.583333333328</v>
      </c>
      <c r="Z122" s="282">
        <f t="shared" si="331"/>
        <v>91</v>
      </c>
      <c r="AA122" s="283" t="str">
        <f t="shared" ca="1" si="332"/>
        <v>Brasil</v>
      </c>
      <c r="AB122" s="284"/>
      <c r="AC122" s="313">
        <v>1</v>
      </c>
      <c r="AD122" s="313">
        <v>0</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6"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14"/>
      <c r="X123" s="195">
        <f ca="1">Horarios!C123</f>
        <v>46208.75</v>
      </c>
      <c r="Y123" s="196">
        <f ca="1">Horarios!C123</f>
        <v>46208.75</v>
      </c>
      <c r="Z123" s="282">
        <f t="shared" si="331"/>
        <v>92</v>
      </c>
      <c r="AA123" s="283" t="str">
        <f t="shared" ca="1" si="332"/>
        <v>México</v>
      </c>
      <c r="AB123" s="284"/>
      <c r="AC123" s="313">
        <v>1</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3I</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Croacia</v>
      </c>
      <c r="N124" s="756" t="str">
        <f t="shared" ca="1" si="330"/>
        <v>España</v>
      </c>
      <c r="O124" s="756"/>
      <c r="P124" s="756"/>
      <c r="Q124" s="756"/>
      <c r="R124" s="756"/>
      <c r="S124" s="756"/>
      <c r="T124" s="756"/>
      <c r="U124" s="756"/>
      <c r="V124" s="178"/>
      <c r="W124" s="814"/>
      <c r="X124" s="195">
        <f ca="1">Horarios!C124</f>
        <v>46209.541666666664</v>
      </c>
      <c r="Y124" s="196">
        <f ca="1">Horarios!C124</f>
        <v>46209.541666666664</v>
      </c>
      <c r="Z124" s="282">
        <f t="shared" si="331"/>
        <v>93</v>
      </c>
      <c r="AA124" s="283" t="str">
        <f t="shared" ca="1" si="332"/>
        <v>Croacia</v>
      </c>
      <c r="AB124" s="314"/>
      <c r="AC124" s="313">
        <v>1</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Croacia-España</v>
      </c>
      <c r="DU124" s="756"/>
      <c r="DV124" s="756"/>
      <c r="DW124" s="8"/>
    </row>
    <row r="125" spans="1:127" ht="16"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Turquía</v>
      </c>
      <c r="N125" s="756" t="str">
        <f t="shared" ca="1" si="330"/>
        <v>Bélgica</v>
      </c>
      <c r="O125" s="756"/>
      <c r="P125" s="756"/>
      <c r="Q125" s="756"/>
      <c r="R125" s="756"/>
      <c r="S125" s="756"/>
      <c r="T125" s="756"/>
      <c r="U125" s="756"/>
      <c r="V125" s="178"/>
      <c r="W125" s="814"/>
      <c r="X125" s="195">
        <f ca="1">Horarios!C125</f>
        <v>46209.75</v>
      </c>
      <c r="Y125" s="196">
        <f ca="1">Horarios!C125</f>
        <v>46209.75</v>
      </c>
      <c r="Z125" s="282">
        <f t="shared" si="331"/>
        <v>94</v>
      </c>
      <c r="AA125" s="283" t="str">
        <f t="shared" ca="1" si="332"/>
        <v>Turquía</v>
      </c>
      <c r="AB125" s="284"/>
      <c r="AC125" s="315">
        <v>0</v>
      </c>
      <c r="AD125" s="315">
        <v>1</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Turquía-Bélgica</v>
      </c>
      <c r="DU125" s="756"/>
      <c r="DV125" s="756"/>
      <c r="DW125" s="8"/>
    </row>
    <row r="126" spans="1:127" ht="16"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Estados Unidos</v>
      </c>
      <c r="O126" s="756"/>
      <c r="P126" s="756"/>
      <c r="Q126" s="756"/>
      <c r="R126" s="756"/>
      <c r="S126" s="756"/>
      <c r="T126" s="756"/>
      <c r="U126" s="756"/>
      <c r="V126" s="178"/>
      <c r="W126" s="814"/>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Estados Unidos</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Argentina-Estados Unidos</v>
      </c>
      <c r="DU126" s="756"/>
      <c r="DV126" s="756"/>
      <c r="DW126" s="8"/>
    </row>
    <row r="127" spans="1:127" ht="16"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15"/>
      <c r="X127" s="234">
        <f ca="1">Horarios!C127</f>
        <v>46210.583333333328</v>
      </c>
      <c r="Y127" s="235">
        <f ca="1">Horarios!C127</f>
        <v>46210.583333333328</v>
      </c>
      <c r="Z127" s="305">
        <f t="shared" si="331"/>
        <v>96</v>
      </c>
      <c r="AA127" s="306" t="str">
        <f t="shared" ca="1" si="332"/>
        <v>Suiza</v>
      </c>
      <c r="AB127" s="307"/>
      <c r="AC127" s="316">
        <v>0</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6"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16"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2</v>
      </c>
      <c r="AD131" s="311">
        <v>0</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6"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16"/>
      <c r="X132" s="195">
        <f ca="1">Horarios!C132</f>
        <v>46213.541666666664</v>
      </c>
      <c r="Y132" s="196">
        <f ca="1">Horarios!C132</f>
        <v>46213.541666666664</v>
      </c>
      <c r="Z132" s="317">
        <f t="shared" si="336"/>
        <v>98</v>
      </c>
      <c r="AA132" s="283" t="str">
        <f t="shared" ca="1" si="337"/>
        <v>España</v>
      </c>
      <c r="AB132" s="284"/>
      <c r="AC132" s="315">
        <v>1</v>
      </c>
      <c r="AD132" s="315">
        <v>0</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 customHeight="1">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16"/>
      <c r="X133" s="195">
        <f ca="1">Horarios!C133</f>
        <v>46214.625</v>
      </c>
      <c r="Y133" s="196">
        <f ca="1">Horarios!C133</f>
        <v>46214.625</v>
      </c>
      <c r="Z133" s="317">
        <f t="shared" si="336"/>
        <v>99</v>
      </c>
      <c r="AA133" s="283" t="str">
        <f t="shared" ca="1" si="337"/>
        <v>Brasil</v>
      </c>
      <c r="AB133" s="284"/>
      <c r="AC133" s="315">
        <v>0</v>
      </c>
      <c r="AD133" s="315">
        <v>2</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6"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17"/>
      <c r="X134" s="234">
        <f ca="1">Horarios!C134</f>
        <v>46214.791666666664</v>
      </c>
      <c r="Y134" s="235">
        <f ca="1">Horarios!C134</f>
        <v>46214.791666666664</v>
      </c>
      <c r="Z134" s="320">
        <f t="shared" si="336"/>
        <v>100</v>
      </c>
      <c r="AA134" s="306" t="str">
        <f t="shared" ca="1" si="337"/>
        <v>Argentina</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6"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Francia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18"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1</v>
      </c>
      <c r="AD138" s="329">
        <v>2</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6"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Inglaterra</v>
      </c>
      <c r="E139" s="756">
        <v>99</v>
      </c>
      <c r="F139" s="756">
        <v>100</v>
      </c>
      <c r="G139" s="756"/>
      <c r="H139" s="756" t="str">
        <f ca="1">IF(AND(OR(AC139="",AD139="")),"L102",IF(AC139&gt;AD139,AF139,IF(AC139&lt;AD139,AA139,IF(AND(AC139=AD139,AB139=AE139),"W102",IF(AND(AC139=AD139,OR(AB139="",AE139="")),"L102",IF(AND(AC139=AD139,AB139&gt;AE139),AF139,AA139))))))</f>
        <v>Portugal</v>
      </c>
      <c r="I139" s="756"/>
      <c r="J139" s="750">
        <v>102</v>
      </c>
      <c r="K139" s="750">
        <v>46218.875</v>
      </c>
      <c r="L139" s="750" t="s">
        <v>714</v>
      </c>
      <c r="M139" s="750" t="str">
        <f ca="1">+INDEX($D$101:$D$147,MATCH(E139,$AH$101:$AH$147,0))</f>
        <v>Inglaterra</v>
      </c>
      <c r="N139" s="750" t="str">
        <f ca="1">+INDEX($D$101:$D$147,MATCH(F139,$AH$101:$AH$147,0))</f>
        <v>Portugal</v>
      </c>
      <c r="O139" s="750"/>
      <c r="P139" s="750"/>
      <c r="Q139" s="750"/>
      <c r="R139" s="750"/>
      <c r="S139" s="750"/>
      <c r="T139" s="750"/>
      <c r="U139" s="750"/>
      <c r="V139" s="178"/>
      <c r="W139" s="819"/>
      <c r="X139" s="330">
        <f ca="1">Horarios!C139</f>
        <v>46218.541666666664</v>
      </c>
      <c r="Y139" s="331">
        <f ca="1">Horarios!C139</f>
        <v>46218.541666666664</v>
      </c>
      <c r="Z139" s="332">
        <f t="shared" si="339"/>
        <v>102</v>
      </c>
      <c r="AA139" s="333" t="str">
        <f t="shared" ca="1" si="340"/>
        <v>Inglaterra</v>
      </c>
      <c r="AB139" s="334"/>
      <c r="AC139" s="316">
        <v>1</v>
      </c>
      <c r="AD139" s="316">
        <v>0</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Inglaterra-Portugal</v>
      </c>
      <c r="DU139" s="756"/>
      <c r="DV139" s="756"/>
      <c r="DW139" s="8"/>
    </row>
    <row r="140" spans="1:127" ht="16"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Francia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Inglaterra</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Francia</v>
      </c>
      <c r="AB143" s="340"/>
      <c r="AC143" s="341">
        <v>2</v>
      </c>
      <c r="AD143" s="341">
        <v>1</v>
      </c>
      <c r="AE143" s="340"/>
      <c r="AF143" s="342" t="str">
        <f ca="1">IF(AND(OR(AC139="",AD139="")),"L102",IF(AC139&gt;AD139,AF139,IF(AC139&lt;AD139,AA139,IF(AND(AC139=AD139,AB139=AE139),"L102",IF(AND(AC139=AD139,OR(AB139="",AE139="")),"L102",IF(AND(AC139=AD139,AB139&gt;AE139),AF139,AA139))))))</f>
        <v>Portugal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Francia-Portugal</v>
      </c>
      <c r="DU143" s="756"/>
      <c r="DV143" s="756"/>
      <c r="DW143" s="8"/>
    </row>
    <row r="144" spans="1:127" ht="16"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Inglaterra</v>
      </c>
      <c r="I147" s="756"/>
      <c r="J147" s="750">
        <v>104</v>
      </c>
      <c r="K147" s="750">
        <v>46222.875</v>
      </c>
      <c r="L147" s="750" t="s">
        <v>716</v>
      </c>
      <c r="M147" s="750" t="str">
        <f ca="1">+INDEX($D$101:$D$147,MATCH(E147,$AH$101:$AH$147,0))</f>
        <v>España</v>
      </c>
      <c r="N147" s="750" t="str">
        <f ca="1">+INDEX($D$101:$D$147,MATCH(F147,$AH$101:$AH$147,0))</f>
        <v>Inglaterra</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España</v>
      </c>
      <c r="AB147" s="340"/>
      <c r="AC147" s="341">
        <v>2</v>
      </c>
      <c r="AD147" s="341">
        <v>1</v>
      </c>
      <c r="AE147" s="340"/>
      <c r="AF147" s="342" t="str">
        <f ca="1">IF(AND(OR(AC139="",AD139="")),"W"&amp;AH139,IF(AC139&gt;AD139,AA139,IF(AC139&lt;AD139,AF139,IF(AND(AC139=AD139,AB139=AE139),"W"&amp;AH139,IF(AND(AC139=AD139,OR(AB139="",AE139="")),"W"&amp;AH139,IF(AND(AC139=AD139,AB139&gt;AE139),AA139,AF139))))))</f>
        <v>Inglaterra</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España-Inglaterra</v>
      </c>
      <c r="DU147" s="756"/>
      <c r="DV147" s="756"/>
      <c r="DW147" s="8"/>
    </row>
    <row r="148" spans="1:127" ht="16"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Inglaterra</v>
      </c>
      <c r="AB151" s="359"/>
      <c r="AC151" s="359"/>
      <c r="AD151" s="359"/>
      <c r="AE151" s="359"/>
      <c r="AF151" s="360"/>
      <c r="AG151" s="425">
        <f ca="1">IF(AA151="LF",0,1)</f>
        <v>1</v>
      </c>
      <c r="AH151" s="351"/>
      <c r="AI151" s="351"/>
      <c r="AJ151" s="827" t="str">
        <f ca="1">IF(SUM(COUNTIF(AG4:AG97,0),COUNTIF(AG101:AG160,0)&gt;0),AL148,AL149)</f>
        <v>MUNDIAL FINALIZADO</v>
      </c>
      <c r="AK151" s="828"/>
      <c r="AL151" s="828"/>
      <c r="AM151" s="828"/>
      <c r="AN151" s="828"/>
      <c r="AO151" s="828"/>
      <c r="AP151" s="828"/>
      <c r="AQ151" s="828"/>
      <c r="AR151" s="828"/>
      <c r="AS151" s="828"/>
      <c r="AT151" s="828"/>
      <c r="AU151" s="829"/>
      <c r="AV151" s="361"/>
      <c r="AW151" s="249"/>
      <c r="AX151" s="248"/>
      <c r="AY151" s="250"/>
      <c r="AZ151" s="251"/>
      <c r="BA151" s="181"/>
      <c r="DW151" s="8"/>
    </row>
    <row r="152" spans="1:127" ht="16"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Francia</v>
      </c>
      <c r="AB152" s="366"/>
      <c r="AC152" s="366"/>
      <c r="AD152" s="366"/>
      <c r="AE152" s="366"/>
      <c r="AF152" s="367"/>
      <c r="AG152" s="425">
        <f ca="1">IF(AA152="W34",0,1)</f>
        <v>1</v>
      </c>
      <c r="AH152" s="351"/>
      <c r="AI152" s="351"/>
      <c r="AJ152" s="830"/>
      <c r="AK152" s="831"/>
      <c r="AL152" s="831"/>
      <c r="AM152" s="831"/>
      <c r="AN152" s="831"/>
      <c r="AO152" s="831"/>
      <c r="AP152" s="831"/>
      <c r="AQ152" s="831"/>
      <c r="AR152" s="831"/>
      <c r="AS152" s="831"/>
      <c r="AT152" s="831"/>
      <c r="AU152" s="832"/>
      <c r="AV152" s="361"/>
      <c r="AW152" s="249"/>
      <c r="AX152" s="248"/>
      <c r="AY152" s="250"/>
      <c r="AZ152" s="251"/>
      <c r="BA152" s="181"/>
      <c r="DW152" s="8"/>
    </row>
    <row r="153" spans="1:127" ht="16"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0"/>
      <c r="AK153" s="831"/>
      <c r="AL153" s="831"/>
      <c r="AM153" s="831"/>
      <c r="AN153" s="831"/>
      <c r="AO153" s="831"/>
      <c r="AP153" s="831"/>
      <c r="AQ153" s="831"/>
      <c r="AR153" s="831"/>
      <c r="AS153" s="831"/>
      <c r="AT153" s="831"/>
      <c r="AU153" s="832"/>
      <c r="AV153" s="361"/>
      <c r="AW153" s="249"/>
      <c r="AX153" s="248"/>
      <c r="AY153" s="250"/>
      <c r="AZ153" s="251"/>
      <c r="BA153" s="181"/>
      <c r="DW153" s="8"/>
    </row>
    <row r="154" spans="1:127" ht="16"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1940</v>
      </c>
      <c r="AB154" s="372"/>
      <c r="AC154" s="372"/>
      <c r="AD154" s="372"/>
      <c r="AE154" s="372"/>
      <c r="AF154" s="373"/>
      <c r="AG154" s="425">
        <f>IF(AA154=AH154,0,IF(AA154="",0,1))</f>
        <v>1</v>
      </c>
      <c r="AH154" s="374" t="str">
        <f>+Idiomas!D41</f>
        <v>Escribe el jugador Bota de Oro</v>
      </c>
      <c r="AI154" s="351"/>
      <c r="AJ154" s="830"/>
      <c r="AK154" s="831"/>
      <c r="AL154" s="831"/>
      <c r="AM154" s="831"/>
      <c r="AN154" s="831"/>
      <c r="AO154" s="831"/>
      <c r="AP154" s="831"/>
      <c r="AQ154" s="831"/>
      <c r="AR154" s="831"/>
      <c r="AS154" s="831"/>
      <c r="AT154" s="831"/>
      <c r="AU154" s="832"/>
      <c r="AV154" s="361"/>
      <c r="AW154" s="249"/>
      <c r="AX154" s="248"/>
      <c r="AY154" s="250"/>
      <c r="AZ154" s="251"/>
      <c r="BA154" s="181"/>
      <c r="DW154" s="8"/>
    </row>
    <row r="155" spans="1:127" ht="16"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
        <v>1941</v>
      </c>
      <c r="AB155" s="377"/>
      <c r="AC155" s="377"/>
      <c r="AD155" s="377"/>
      <c r="AE155" s="377"/>
      <c r="AF155" s="378"/>
      <c r="AG155" s="425">
        <f t="shared" ref="AG155:AG156" si="341">IF(AA155=AH155,0,IF(AA155="",0,1))</f>
        <v>1</v>
      </c>
      <c r="AH155" s="351" t="str">
        <f>+Idiomas!D42</f>
        <v>Escribe el jugador Bota de Plata</v>
      </c>
      <c r="AI155" s="351"/>
      <c r="AJ155" s="794" t="str">
        <f ca="1">IF(SUM(COUNTIF(AG4:AG97,0),COUNTIF(AG101:AG160,0)&gt;0),AM148,AM149)</f>
        <v>¿Quién habrá ganado?</v>
      </c>
      <c r="AK155" s="795"/>
      <c r="AL155" s="795"/>
      <c r="AM155" s="795"/>
      <c r="AN155" s="795"/>
      <c r="AO155" s="795"/>
      <c r="AP155" s="795"/>
      <c r="AQ155" s="795"/>
      <c r="AR155" s="795"/>
      <c r="AS155" s="795"/>
      <c r="AT155" s="795"/>
      <c r="AU155" s="796"/>
      <c r="AV155" s="361"/>
      <c r="AW155" s="249"/>
      <c r="AX155" s="248"/>
      <c r="AY155" s="250"/>
      <c r="AZ155" s="251"/>
      <c r="BA155" s="379"/>
      <c r="DW155" s="8"/>
    </row>
    <row r="156" spans="1:127" ht="16"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
        <v>1942</v>
      </c>
      <c r="AB156" s="382"/>
      <c r="AC156" s="382"/>
      <c r="AD156" s="382"/>
      <c r="AE156" s="382"/>
      <c r="AF156" s="383"/>
      <c r="AG156" s="425">
        <f t="shared" si="341"/>
        <v>1</v>
      </c>
      <c r="AH156" s="351" t="str">
        <f>+Idiomas!D43</f>
        <v>Escribe el jugador Bota de Bronce</v>
      </c>
      <c r="AI156" s="351"/>
      <c r="AJ156" s="794"/>
      <c r="AK156" s="795"/>
      <c r="AL156" s="795"/>
      <c r="AM156" s="795"/>
      <c r="AN156" s="795"/>
      <c r="AO156" s="795"/>
      <c r="AP156" s="795"/>
      <c r="AQ156" s="795"/>
      <c r="AR156" s="795"/>
      <c r="AS156" s="795"/>
      <c r="AT156" s="795"/>
      <c r="AU156" s="796"/>
      <c r="AV156" s="361"/>
      <c r="AW156" s="249"/>
      <c r="AX156" s="248"/>
      <c r="AY156" s="250"/>
      <c r="AZ156" s="251"/>
      <c r="BA156" s="379"/>
      <c r="DW156" s="8"/>
    </row>
    <row r="157" spans="1:127" ht="16"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797"/>
      <c r="AK157" s="798"/>
      <c r="AL157" s="798"/>
      <c r="AM157" s="798"/>
      <c r="AN157" s="798"/>
      <c r="AO157" s="798"/>
      <c r="AP157" s="798"/>
      <c r="AQ157" s="798"/>
      <c r="AR157" s="798"/>
      <c r="AS157" s="798"/>
      <c r="AT157" s="798"/>
      <c r="AU157" s="799"/>
      <c r="AV157" s="361"/>
      <c r="AW157" s="249"/>
      <c r="AX157" s="248"/>
      <c r="AY157" s="250"/>
      <c r="AZ157" s="251"/>
      <c r="BA157" s="379"/>
      <c r="DW157" s="8"/>
    </row>
    <row r="158" spans="1:127" ht="16"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1943</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
        <v>1941</v>
      </c>
      <c r="AB159" s="377"/>
      <c r="AC159" s="377"/>
      <c r="AD159" s="377"/>
      <c r="AE159" s="377"/>
      <c r="AF159" s="378"/>
      <c r="AG159" s="425">
        <f t="shared" si="342"/>
        <v>1</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
        <v>1942</v>
      </c>
      <c r="AB160" s="382"/>
      <c r="AC160" s="382"/>
      <c r="AD160" s="382"/>
      <c r="AE160" s="382"/>
      <c r="AF160" s="383"/>
      <c r="AG160" s="425">
        <f t="shared" si="342"/>
        <v>1</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49999999999999"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792" t="str">
        <f>+Idiomas!D12</f>
        <v>Donar</v>
      </c>
      <c r="AP161" s="793"/>
      <c r="AQ161" s="179"/>
      <c r="AR161" s="179"/>
      <c r="AS161" s="179"/>
      <c r="AT161" s="179"/>
      <c r="AU161" s="351"/>
      <c r="AV161" s="361"/>
      <c r="AW161" s="249"/>
      <c r="AX161" s="248"/>
      <c r="AY161" s="250"/>
      <c r="AZ161" s="251"/>
      <c r="BA161" s="379"/>
      <c r="DW161" s="8"/>
    </row>
    <row r="162" spans="1:127" ht="16"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defaultColWidth="0" defaultRowHeight="14.5"/>
  <cols>
    <col min="1" max="1" width="5" style="1" hidden="1" customWidth="1"/>
    <col min="2" max="2" width="3.453125" style="1" customWidth="1"/>
    <col min="3" max="3" width="47.81640625" style="1" bestFit="1" customWidth="1"/>
    <col min="4" max="4" width="11.26953125" style="1" customWidth="1"/>
    <col min="5" max="5" width="4.453125" style="7" customWidth="1"/>
    <col min="6" max="6" width="10.81640625" style="730" hidden="1" customWidth="1"/>
    <col min="7" max="7" width="7.81640625" style="5" hidden="1" customWidth="1"/>
    <col min="8" max="8" width="14.1796875" style="5" hidden="1" customWidth="1"/>
    <col min="9" max="9" width="6.453125" style="67" customWidth="1"/>
    <col min="10" max="10" width="8.26953125" style="110" customWidth="1"/>
    <col min="11" max="11" width="30.7265625" style="92" bestFit="1" customWidth="1"/>
    <col min="12" max="12" width="2.81640625" style="67" customWidth="1"/>
    <col min="13" max="13" width="30" style="92" customWidth="1"/>
    <col min="14" max="14" width="3.7265625" style="452" hidden="1" customWidth="1"/>
    <col min="15" max="15" width="3.1796875" style="452" hidden="1" customWidth="1"/>
    <col min="16" max="16" width="2.81640625" style="452" hidden="1" customWidth="1"/>
    <col min="17" max="17" width="3.1796875" style="452" hidden="1" customWidth="1"/>
    <col min="18" max="18" width="2.81640625" style="5" customWidth="1"/>
    <col min="19" max="19" width="29.7265625" style="92" bestFit="1" customWidth="1"/>
    <col min="20" max="20" width="5.1796875" style="92" customWidth="1"/>
    <col min="21" max="21" width="2.81640625" style="20" customWidth="1"/>
    <col min="22" max="22" width="29.7265625" style="92" bestFit="1" customWidth="1"/>
    <col min="23" max="23" width="5.1796875" style="92" customWidth="1"/>
    <col min="24" max="24" width="2.81640625" style="20" customWidth="1"/>
    <col min="25" max="25" width="29.7265625" style="92" bestFit="1" customWidth="1"/>
    <col min="26" max="26" width="5.1796875" style="92" customWidth="1"/>
    <col min="27" max="27" width="2.81640625" style="20" customWidth="1"/>
    <col min="28" max="28" width="29.7265625" style="92" bestFit="1" customWidth="1"/>
    <col min="29" max="29" width="5.1796875" style="92" customWidth="1"/>
    <col min="30" max="30" width="2.81640625" style="20" customWidth="1"/>
    <col min="31" max="31" width="29.7265625" style="92" bestFit="1" customWidth="1"/>
    <col min="32" max="32" width="5.1796875" style="92" customWidth="1"/>
    <col min="33" max="34" width="2.81640625" style="20" customWidth="1"/>
    <col min="35" max="1518" width="0" style="1" hidden="1" customWidth="1"/>
    <col min="1519" max="16384" width="10.8164062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1|2-1</v>
      </c>
      <c r="N6" s="25" t="str">
        <f>IF(OR(WORLDCUP!AC4="",WORLDCUP!AD4=""),"",IF(WORLDCUP!AC4&gt;WORLDCUP!AD4,"1",IF(WORLDCUP!AC4&lt;WORLDCUP!AD4,"2","X")))</f>
        <v>1</v>
      </c>
      <c r="O6" s="25">
        <f>WORLDCUP!AC4</f>
        <v>2</v>
      </c>
      <c r="P6" s="25">
        <f>WORLDCUP!AD4</f>
        <v>1</v>
      </c>
      <c r="Q6" s="25">
        <f>ABS(O6-P6)</f>
        <v>1</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X|1-1</v>
      </c>
      <c r="N7" s="25" t="str">
        <f>IF(OR(WORLDCUP!AC5="",WORLDCUP!AD5=""),"",IF(WORLDCUP!AC5&gt;WORLDCUP!AD5,"1",IF(WORLDCUP!AC5&lt;WORLDCUP!AD5,"2","X")))</f>
        <v>X</v>
      </c>
      <c r="O7" s="25">
        <f>WORLDCUP!AC5</f>
        <v>1</v>
      </c>
      <c r="P7" s="25">
        <f>WORLDCUP!AD5</f>
        <v>1</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1|1-0</v>
      </c>
      <c r="N8" s="25" t="str">
        <f>IF(OR(WORLDCUP!AC12="",WORLDCUP!AD12=""),"",IF(WORLDCUP!AC12&gt;WORLDCUP!AD12,"1",IF(WORLDCUP!AC12&lt;WORLDCUP!AD12,"2","X")))</f>
        <v>1</v>
      </c>
      <c r="O8" s="25">
        <f>WORLDCUP!AC12</f>
        <v>1</v>
      </c>
      <c r="P8" s="25">
        <f>WORLDCUP!AD12</f>
        <v>0</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1|2-1</v>
      </c>
      <c r="N10" s="25" t="str">
        <f>IF(OR(WORLDCUP!AC20="",WORLDCUP!AD20=""),"",IF(WORLDCUP!AC20&gt;WORLDCUP!AD20,"1",IF(WORLDCUP!AC20&lt;WORLDCUP!AD20,"2","X")))</f>
        <v>1</v>
      </c>
      <c r="O10" s="25">
        <f>WORLDCUP!AC20</f>
        <v>2</v>
      </c>
      <c r="P10" s="25">
        <f>WORLDCUP!AD20</f>
        <v>1</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2|0-1</v>
      </c>
      <c r="N13" s="25" t="str">
        <f>IF(OR(WORLDCUP!AC29="",WORLDCUP!AD29=""),"",IF(WORLDCUP!AC29&gt;WORLDCUP!AD29,"1",IF(WORLDCUP!AC29&lt;WORLDCUP!AD29,"2","X")))</f>
        <v>2</v>
      </c>
      <c r="O13" s="25">
        <f>WORLDCUP!AC29</f>
        <v>0</v>
      </c>
      <c r="P13" s="25">
        <f>WORLDCUP!AD29</f>
        <v>1</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1|4-0</v>
      </c>
      <c r="N14" s="25" t="str">
        <f>IF(OR(WORLDCUP!AC36="",WORLDCUP!AD36=""),"",IF(WORLDCUP!AC36&gt;WORLDCUP!AD36,"1",IF(WORLDCUP!AC36&lt;WORLDCUP!AD36,"2","X")))</f>
        <v>1</v>
      </c>
      <c r="O14" s="25">
        <f>WORLDCUP!AC36</f>
        <v>4</v>
      </c>
      <c r="P14" s="25">
        <f>WORLDCUP!AD36</f>
        <v>0</v>
      </c>
      <c r="Q14" s="25">
        <f t="shared" si="11"/>
        <v>4</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2|0-1</v>
      </c>
      <c r="N15" s="25" t="str">
        <f>IF(OR(WORLDCUP!AC37="",WORLDCUP!AD37=""),"",IF(WORLDCUP!AC37&gt;WORLDCUP!AD37,"1",IF(WORLDCUP!AC37&lt;WORLDCUP!AD37,"2","X")))</f>
        <v>2</v>
      </c>
      <c r="O15" s="25">
        <f>WORLDCUP!AC37</f>
        <v>0</v>
      </c>
      <c r="P15" s="25">
        <f>WORLDCUP!AD37</f>
        <v>1</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1|2-0</v>
      </c>
      <c r="N16" s="25" t="str">
        <f>IF(OR(WORLDCUP!AC44="",WORLDCUP!AD44=""),"",IF(WORLDCUP!AC44&gt;WORLDCUP!AD44,"1",IF(WORLDCUP!AC44&lt;WORLDCUP!AD44,"2","X")))</f>
        <v>1</v>
      </c>
      <c r="O16" s="25">
        <f>WORLDCUP!AC44</f>
        <v>2</v>
      </c>
      <c r="P16" s="25">
        <f>WORLDCUP!AD44</f>
        <v>0</v>
      </c>
      <c r="Q16" s="25">
        <f t="shared" si="11"/>
        <v>2</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1|1-0</v>
      </c>
      <c r="N17" s="25" t="str">
        <f>IF(OR(WORLDCUP!AC45="",WORLDCUP!AD45=""),"",IF(WORLDCUP!AC45&gt;WORLDCUP!AD45,"1",IF(WORLDCUP!AC45&lt;WORLDCUP!AD45,"2","X")))</f>
        <v>1</v>
      </c>
      <c r="O17" s="25">
        <f>WORLDCUP!AC45</f>
        <v>1</v>
      </c>
      <c r="P17" s="25">
        <f>WORLDCUP!AD45</f>
        <v>0</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1|2-1</v>
      </c>
      <c r="N18" s="25" t="str">
        <f>IF(OR(WORLDCUP!AC52="",WORLDCUP!AD52=""),"",IF(WORLDCUP!AC52&gt;WORLDCUP!AD52,"1",IF(WORLDCUP!AC52&lt;WORLDCUP!AD52,"2","X")))</f>
        <v>1</v>
      </c>
      <c r="O18" s="25">
        <f>WORLDCUP!AC52</f>
        <v>2</v>
      </c>
      <c r="P18" s="25">
        <f>WORLDCUP!AD52</f>
        <v>1</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X|1-1</v>
      </c>
      <c r="N19" s="25" t="str">
        <f>IF(OR(WORLDCUP!AC53="",WORLDCUP!AD53=""),"",IF(WORLDCUP!AC53&gt;WORLDCUP!AD53,"1",IF(WORLDCUP!AC53&lt;WORLDCUP!AD53,"2","X")))</f>
        <v>X</v>
      </c>
      <c r="O19" s="25">
        <f>WORLDCUP!AC53</f>
        <v>1</v>
      </c>
      <c r="P19" s="25">
        <f>WORLDCUP!AD53</f>
        <v>1</v>
      </c>
      <c r="Q19" s="25">
        <f t="shared" si="11"/>
        <v>0</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2|0-2</v>
      </c>
      <c r="N21" s="25" t="str">
        <f>IF(OR(WORLDCUP!AC61="",WORLDCUP!AD61=""),"",IF(WORLDCUP!AC61&gt;WORLDCUP!AD61,"1",IF(WORLDCUP!AC61&lt;WORLDCUP!AD61,"2","X")))</f>
        <v>2</v>
      </c>
      <c r="O21" s="25">
        <f>WORLDCUP!AC61</f>
        <v>0</v>
      </c>
      <c r="P21" s="25">
        <f>WORLDCUP!AD61</f>
        <v>2</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1|2-0</v>
      </c>
      <c r="N22" s="25" t="str">
        <f>IF(OR(WORLDCUP!AC68="",WORLDCUP!AD68=""),"",IF(WORLDCUP!AC68&gt;WORLDCUP!AD68,"1",IF(WORLDCUP!AC68&lt;WORLDCUP!AD68,"2","X")))</f>
        <v>1</v>
      </c>
      <c r="O22" s="25">
        <f>WORLDCUP!AC68</f>
        <v>2</v>
      </c>
      <c r="P22" s="25">
        <f>WORLDCUP!AD68</f>
        <v>0</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2|0-3</v>
      </c>
      <c r="N23" s="25" t="str">
        <f>IF(OR(WORLDCUP!AC69="",WORLDCUP!AD69=""),"",IF(WORLDCUP!AC69&gt;WORLDCUP!AD69,"1",IF(WORLDCUP!AC69&lt;WORLDCUP!AD69,"2","X")))</f>
        <v>2</v>
      </c>
      <c r="O23" s="25">
        <f>WORLDCUP!AC69</f>
        <v>0</v>
      </c>
      <c r="P23" s="25">
        <f>WORLDCUP!AD69</f>
        <v>3</v>
      </c>
      <c r="Q23" s="25">
        <f t="shared" si="11"/>
        <v>3</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1|3-0</v>
      </c>
      <c r="N24" s="25" t="str">
        <f>IF(OR(WORLDCUP!AC76="",WORLDCUP!AD76=""),"",IF(WORLDCUP!AC76&gt;WORLDCUP!AD76,"1",IF(WORLDCUP!AC76&lt;WORLDCUP!AD76,"2","X")))</f>
        <v>1</v>
      </c>
      <c r="O24" s="25">
        <f>WORLDCUP!AC76</f>
        <v>3</v>
      </c>
      <c r="P24" s="25">
        <f>WORLDCUP!AD76</f>
        <v>0</v>
      </c>
      <c r="Q24" s="25">
        <f t="shared" si="11"/>
        <v>3</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1|2-1</v>
      </c>
      <c r="N25" s="25" t="str">
        <f>IF(OR(WORLDCUP!AC77="",WORLDCUP!AD77=""),"",IF(WORLDCUP!AC77&gt;WORLDCUP!AD77,"1",IF(WORLDCUP!AC77&lt;WORLDCUP!AD77,"2","X")))</f>
        <v>1</v>
      </c>
      <c r="O25" s="25">
        <f>WORLDCUP!AC77</f>
        <v>2</v>
      </c>
      <c r="P25" s="25">
        <f>WORLDCUP!AD77</f>
        <v>1</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1|4-1</v>
      </c>
      <c r="N26" s="25" t="str">
        <f>IF(OR(WORLDCUP!AC84="",WORLDCUP!AD84=""),"",IF(WORLDCUP!AC84&gt;WORLDCUP!AD84,"1",IF(WORLDCUP!AC84&lt;WORLDCUP!AD84,"2","X")))</f>
        <v>1</v>
      </c>
      <c r="O26" s="25">
        <f>WORLDCUP!AC84</f>
        <v>4</v>
      </c>
      <c r="P26" s="25">
        <f>WORLDCUP!AD84</f>
        <v>1</v>
      </c>
      <c r="Q26" s="25">
        <f t="shared" si="11"/>
        <v>3</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1|2-1</v>
      </c>
      <c r="N28" s="25" t="str">
        <f>IF(OR(WORLDCUP!AC92="",WORLDCUP!AD92=""),"",IF(WORLDCUP!AC92&gt;WORLDCUP!AD92,"1",IF(WORLDCUP!AC92&lt;WORLDCUP!AD92,"2","X")))</f>
        <v>1</v>
      </c>
      <c r="O28" s="25">
        <f>WORLDCUP!AC92</f>
        <v>2</v>
      </c>
      <c r="P28" s="25">
        <f>WORLDCUP!AD92</f>
        <v>1</v>
      </c>
      <c r="Q28" s="25">
        <f t="shared" si="11"/>
        <v>1</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1|1-0</v>
      </c>
      <c r="N29" s="25" t="str">
        <f>IF(OR(WORLDCUP!AC93="",WORLDCUP!AD93=""),"",IF(WORLDCUP!AC93&gt;WORLDCUP!AD93,"1",IF(WORLDCUP!AC93&lt;WORLDCUP!AD93,"2","X")))</f>
        <v>1</v>
      </c>
      <c r="O29" s="25">
        <f>WORLDCUP!AC93</f>
        <v>1</v>
      </c>
      <c r="P29" s="25">
        <f>WORLDCUP!AD93</f>
        <v>0</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1|1-0</v>
      </c>
      <c r="N30" s="25" t="str">
        <f>IF(OR(WORLDCUP!AC6="",WORLDCUP!AD6=""),"",IF(WORLDCUP!AC6&gt;WORLDCUP!AD6,"1",IF(WORLDCUP!AC6&lt;WORLDCUP!AD6,"2","X")))</f>
        <v>1</v>
      </c>
      <c r="O30" s="25">
        <f>WORLDCUP!AC6</f>
        <v>1</v>
      </c>
      <c r="P30" s="25">
        <f>WORLDCUP!AD6</f>
        <v>0</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1|2-1</v>
      </c>
      <c r="N31" s="25" t="str">
        <f>IF(OR(WORLDCUP!AC7="",WORLDCUP!AD7=""),"",IF(WORLDCUP!AC7&gt;WORLDCUP!AD7,"1",IF(WORLDCUP!AC7&lt;WORLDCUP!AD7,"2","X")))</f>
        <v>1</v>
      </c>
      <c r="O31" s="25">
        <f>WORLDCUP!AC7</f>
        <v>2</v>
      </c>
      <c r="P31" s="25">
        <f>WORLDCUP!AD7</f>
        <v>1</v>
      </c>
      <c r="Q31" s="25">
        <f t="shared" si="11"/>
        <v>1</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1|1-0</v>
      </c>
      <c r="N32" s="25" t="str">
        <f>IF(OR(WORLDCUP!AC14="",WORLDCUP!AD14=""),"",IF(WORLDCUP!AC14&gt;WORLDCUP!AD14,"1",IF(WORLDCUP!AC14&lt;WORLDCUP!AD14,"2","X")))</f>
        <v>1</v>
      </c>
      <c r="O32" s="25">
        <f>WORLDCUP!AC14</f>
        <v>1</v>
      </c>
      <c r="P32" s="25">
        <f>WORLDCUP!AD14</f>
        <v>0</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1|2-1</v>
      </c>
      <c r="N33" s="25" t="str">
        <f>IF(OR(WORLDCUP!AC15="",WORLDCUP!AD15=""),"",IF(WORLDCUP!AC15&gt;WORLDCUP!AD15,"1",IF(WORLDCUP!AC15&lt;WORLDCUP!AD15,"2","X")))</f>
        <v>1</v>
      </c>
      <c r="O33" s="25">
        <f>WORLDCUP!AC15</f>
        <v>2</v>
      </c>
      <c r="P33" s="25">
        <f>WORLDCUP!AD15</f>
        <v>1</v>
      </c>
      <c r="Q33" s="25">
        <f t="shared" si="11"/>
        <v>1</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1|4-0</v>
      </c>
      <c r="N35" s="25" t="str">
        <f>IF(OR(WORLDCUP!AC23="",WORLDCUP!AD23=""),"",IF(WORLDCUP!AC23&gt;WORLDCUP!AD23,"1",IF(WORLDCUP!AC23&lt;WORLDCUP!AD23,"2","X")))</f>
        <v>1</v>
      </c>
      <c r="O35" s="25">
        <f>WORLDCUP!AC23</f>
        <v>4</v>
      </c>
      <c r="P35" s="25">
        <f>WORLDCUP!AD23</f>
        <v>0</v>
      </c>
      <c r="Q35" s="25">
        <f t="shared" si="11"/>
        <v>4</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X|1-1</v>
      </c>
      <c r="N36" s="25" t="str">
        <f>IF(OR(WORLDCUP!AC30="",WORLDCUP!AD30=""),"",IF(WORLDCUP!AC30&gt;WORLDCUP!AD30,"1",IF(WORLDCUP!AC30&lt;WORLDCUP!AD30,"2","X")))</f>
        <v>X</v>
      </c>
      <c r="O36" s="25">
        <f>WORLDCUP!AC30</f>
        <v>1</v>
      </c>
      <c r="P36" s="25">
        <f>WORLDCUP!AD30</f>
        <v>1</v>
      </c>
      <c r="Q36" s="25">
        <f t="shared" si="11"/>
        <v>0</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1|1-0</v>
      </c>
      <c r="N37" s="25" t="str">
        <f>IF(OR(WORLDCUP!AC31="",WORLDCUP!AD31=""),"",IF(WORLDCUP!AC31&gt;WORLDCUP!AD31,"1",IF(WORLDCUP!AC31&lt;WORLDCUP!AD31,"2","X")))</f>
        <v>1</v>
      </c>
      <c r="O37" s="25">
        <f>WORLDCUP!AC31</f>
        <v>1</v>
      </c>
      <c r="P37" s="25">
        <f>WORLDCUP!AD31</f>
        <v>0</v>
      </c>
      <c r="Q37" s="25">
        <f t="shared" si="11"/>
        <v>1</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1|3-1</v>
      </c>
      <c r="N38" s="25" t="str">
        <f>IF(OR(WORLDCUP!AC38="",WORLDCUP!AD38=""),"",IF(WORLDCUP!AC38&gt;WORLDCUP!AD38,"1",IF(WORLDCUP!AC38&lt;WORLDCUP!AD38,"2","X")))</f>
        <v>1</v>
      </c>
      <c r="O38" s="25">
        <f>WORLDCUP!AC38</f>
        <v>3</v>
      </c>
      <c r="P38" s="25">
        <f>WORLDCUP!AD38</f>
        <v>1</v>
      </c>
      <c r="Q38" s="25">
        <f t="shared" si="11"/>
        <v>2</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1|2-0</v>
      </c>
      <c r="N39" s="25" t="str">
        <f>IF(OR(WORLDCUP!AC39="",WORLDCUP!AD39=""),"",IF(WORLDCUP!AC39&gt;WORLDCUP!AD39,"1",IF(WORLDCUP!AC39&lt;WORLDCUP!AD39,"2","X")))</f>
        <v>1</v>
      </c>
      <c r="O39" s="25">
        <f>WORLDCUP!AC39</f>
        <v>2</v>
      </c>
      <c r="P39" s="25">
        <f>WORLDCUP!AD39</f>
        <v>0</v>
      </c>
      <c r="Q39" s="25">
        <f t="shared" si="11"/>
        <v>2</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1|2-0</v>
      </c>
      <c r="N40" s="25" t="str">
        <f>IF(OR(WORLDCUP!AC46="",WORLDCUP!AD46=""),"",IF(WORLDCUP!AC46&gt;WORLDCUP!AD46,"1",IF(WORLDCUP!AC46&lt;WORLDCUP!AD46,"2","X")))</f>
        <v>1</v>
      </c>
      <c r="O40" s="25">
        <f>WORLDCUP!AC46</f>
        <v>2</v>
      </c>
      <c r="P40" s="25">
        <f>WORLDCUP!AD46</f>
        <v>0</v>
      </c>
      <c r="Q40" s="25">
        <f t="shared" si="11"/>
        <v>2</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2|0-2</v>
      </c>
      <c r="N41" s="25" t="str">
        <f>IF(OR(WORLDCUP!AC47="",WORLDCUP!AD47=""),"",IF(WORLDCUP!AC47&gt;WORLDCUP!AD47,"1",IF(WORLDCUP!AC47&lt;WORLDCUP!AD47,"2","X")))</f>
        <v>2</v>
      </c>
      <c r="O41" s="25">
        <f>WORLDCUP!AC47</f>
        <v>0</v>
      </c>
      <c r="P41" s="25">
        <f>WORLDCUP!AD47</f>
        <v>2</v>
      </c>
      <c r="Q41" s="25">
        <f t="shared" si="11"/>
        <v>2</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1|2-0</v>
      </c>
      <c r="N42" s="25" t="str">
        <f>IF(OR(WORLDCUP!AC54="",WORLDCUP!AD54=""),"",IF(WORLDCUP!AC54&gt;WORLDCUP!AD54,"1",IF(WORLDCUP!AC54&lt;WORLDCUP!AD54,"2","X")))</f>
        <v>1</v>
      </c>
      <c r="O42" s="25">
        <f>WORLDCUP!AC54</f>
        <v>2</v>
      </c>
      <c r="P42" s="25">
        <f>WORLDCUP!AD54</f>
        <v>0</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2|1-2</v>
      </c>
      <c r="N43" s="25" t="str">
        <f>IF(OR(WORLDCUP!AC55="",WORLDCUP!AD55=""),"",IF(WORLDCUP!AC55&gt;WORLDCUP!AD55,"1",IF(WORLDCUP!AC55&lt;WORLDCUP!AD55,"2","X")))</f>
        <v>2</v>
      </c>
      <c r="O43" s="25">
        <f>WORLDCUP!AC55</f>
        <v>1</v>
      </c>
      <c r="P43" s="25">
        <f>WORLDCUP!AD55</f>
        <v>2</v>
      </c>
      <c r="Q43" s="25">
        <f t="shared" si="11"/>
        <v>1</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1|3-0</v>
      </c>
      <c r="N44" s="25" t="str">
        <f>IF(OR(WORLDCUP!AC62="",WORLDCUP!AD62=""),"",IF(WORLDCUP!AC62&gt;WORLDCUP!AD62,"1",IF(WORLDCUP!AC62&lt;WORLDCUP!AD62,"2","X")))</f>
        <v>1</v>
      </c>
      <c r="O44" s="25">
        <f>WORLDCUP!AC62</f>
        <v>3</v>
      </c>
      <c r="P44" s="25">
        <f>WORLDCUP!AD62</f>
        <v>0</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1|2-1</v>
      </c>
      <c r="N45" s="25" t="str">
        <f>IF(OR(WORLDCUP!AC63="",WORLDCUP!AD63=""),"",IF(WORLDCUP!AC63&gt;WORLDCUP!AD63,"1",IF(WORLDCUP!AC63&lt;WORLDCUP!AD63,"2","X")))</f>
        <v>1</v>
      </c>
      <c r="O45" s="25">
        <f>WORLDCUP!AC63</f>
        <v>2</v>
      </c>
      <c r="P45" s="25">
        <f>WORLDCUP!AD63</f>
        <v>1</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1|4-0</v>
      </c>
      <c r="N46" s="25" t="str">
        <f>IF(OR(WORLDCUP!AC70="",WORLDCUP!AD70=""),"",IF(WORLDCUP!AC70&gt;WORLDCUP!AD70,"1",IF(WORLDCUP!AC70&lt;WORLDCUP!AD70,"2","X")))</f>
        <v>1</v>
      </c>
      <c r="O46" s="25">
        <f>WORLDCUP!AC70</f>
        <v>4</v>
      </c>
      <c r="P46" s="25">
        <f>WORLDCUP!AD70</f>
        <v>0</v>
      </c>
      <c r="Q46" s="25">
        <f t="shared" si="11"/>
        <v>4</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1|1-0</v>
      </c>
      <c r="N47" s="25" t="str">
        <f>IF(OR(WORLDCUP!AC71="",WORLDCUP!AD71=""),"",IF(WORLDCUP!AC71&gt;WORLDCUP!AD71,"1",IF(WORLDCUP!AC71&lt;WORLDCUP!AD71,"2","X")))</f>
        <v>1</v>
      </c>
      <c r="O47" s="25">
        <f>WORLDCUP!AC71</f>
        <v>1</v>
      </c>
      <c r="P47" s="25">
        <f>WORLDCUP!AD71</f>
        <v>0</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1|3-1</v>
      </c>
      <c r="N48" s="25" t="str">
        <f>IF(OR(WORLDCUP!AC78="",WORLDCUP!AD78=""),"",IF(WORLDCUP!AC78&gt;WORLDCUP!AD78,"1",IF(WORLDCUP!AC78&lt;WORLDCUP!AD78,"2","X")))</f>
        <v>1</v>
      </c>
      <c r="O48" s="25">
        <f>WORLDCUP!AC78</f>
        <v>3</v>
      </c>
      <c r="P48" s="25">
        <f>WORLDCUP!AD78</f>
        <v>1</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2|0-1</v>
      </c>
      <c r="N49" s="25" t="str">
        <f>IF(OR(WORLDCUP!AC79="",WORLDCUP!AD79=""),"",IF(WORLDCUP!AC79&gt;WORLDCUP!AD79,"1",IF(WORLDCUP!AC79&lt;WORLDCUP!AD79,"2","X")))</f>
        <v>2</v>
      </c>
      <c r="O49" s="25">
        <f>WORLDCUP!AC79</f>
        <v>0</v>
      </c>
      <c r="P49" s="25">
        <f>WORLDCUP!AD79</f>
        <v>1</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1|3-0</v>
      </c>
      <c r="N50" s="25" t="str">
        <f>IF(OR(WORLDCUP!AC86="",WORLDCUP!AD86=""),"",IF(WORLDCUP!AC86&gt;WORLDCUP!AD86,"1",IF(WORLDCUP!AC86&lt;WORLDCUP!AD86,"2","X")))</f>
        <v>1</v>
      </c>
      <c r="O50" s="25">
        <f>WORLDCUP!AC86</f>
        <v>3</v>
      </c>
      <c r="P50" s="25">
        <f>WORLDCUP!AD86</f>
        <v>0</v>
      </c>
      <c r="Q50" s="25">
        <f t="shared" si="11"/>
        <v>3</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1|1-0</v>
      </c>
      <c r="N51" s="25" t="str">
        <f>IF(OR(WORLDCUP!AC87="",WORLDCUP!AD87=""),"",IF(WORLDCUP!AC87&gt;WORLDCUP!AD87,"1",IF(WORLDCUP!AC87&lt;WORLDCUP!AD87,"2","X")))</f>
        <v>1</v>
      </c>
      <c r="O51" s="25">
        <f>WORLDCUP!AC87</f>
        <v>1</v>
      </c>
      <c r="P51" s="25">
        <f>WORLDCUP!AD87</f>
        <v>0</v>
      </c>
      <c r="Q51" s="25">
        <f t="shared" si="11"/>
        <v>1</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1|3-1</v>
      </c>
      <c r="N52" s="25" t="str">
        <f>IF(OR(WORLDCUP!AC94="",WORLDCUP!AD94=""),"",IF(WORLDCUP!AC94&gt;WORLDCUP!AD94,"1",IF(WORLDCUP!AC94&lt;WORLDCUP!AD94,"2","X")))</f>
        <v>1</v>
      </c>
      <c r="O52" s="25">
        <f>WORLDCUP!AC94</f>
        <v>3</v>
      </c>
      <c r="P52" s="25">
        <f>WORLDCUP!AD94</f>
        <v>1</v>
      </c>
      <c r="Q52" s="25">
        <f t="shared" si="11"/>
        <v>2</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2|0-2</v>
      </c>
      <c r="N53" s="25" t="str">
        <f>IF(OR(WORLDCUP!AC95="",WORLDCUP!AD95=""),"",IF(WORLDCUP!AC95&gt;WORLDCUP!AD95,"1",IF(WORLDCUP!AC95&lt;WORLDCUP!AD95,"2","X")))</f>
        <v>2</v>
      </c>
      <c r="O53" s="25">
        <f>WORLDCUP!AC95</f>
        <v>0</v>
      </c>
      <c r="P53" s="25">
        <f>WORLDCUP!AD95</f>
        <v>2</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X|1-1</v>
      </c>
      <c r="N54" s="25" t="str">
        <f>IF(OR(WORLDCUP!AC8="",WORLDCUP!AD8=""),"",IF(WORLDCUP!AC8&gt;WORLDCUP!AD8,"1",IF(WORLDCUP!AC8&lt;WORLDCUP!AD8,"2","X")))</f>
        <v>X</v>
      </c>
      <c r="O54" s="25">
        <f>WORLDCUP!AC8</f>
        <v>1</v>
      </c>
      <c r="P54" s="25">
        <f>WORLDCUP!AD8</f>
        <v>1</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2|0-1</v>
      </c>
      <c r="N55" s="25" t="str">
        <f>IF(OR(WORLDCUP!AC9="",WORLDCUP!AD9=""),"",IF(WORLDCUP!AC9&gt;WORLDCUP!AD9,"1",IF(WORLDCUP!AC9&lt;WORLDCUP!AD9,"2","X")))</f>
        <v>2</v>
      </c>
      <c r="O55" s="25">
        <f>WORLDCUP!AC9</f>
        <v>0</v>
      </c>
      <c r="P55" s="25">
        <f>WORLDCUP!AD9</f>
        <v>1</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X|1-1</v>
      </c>
      <c r="N56" s="25" t="str">
        <f>IF(OR(WORLDCUP!AC16="",WORLDCUP!AD16=""),"",IF(WORLDCUP!AC16&gt;WORLDCUP!AD16,"1",IF(WORLDCUP!AC16&lt;WORLDCUP!AD16,"2","X")))</f>
        <v>X</v>
      </c>
      <c r="O56" s="25">
        <f>WORLDCUP!AC16</f>
        <v>1</v>
      </c>
      <c r="P56" s="25">
        <f>WORLDCUP!AD16</f>
        <v>1</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1|1-0</v>
      </c>
      <c r="N57" s="25" t="str">
        <f>IF(OR(WORLDCUP!AC17="",WORLDCUP!AD17=""),"",IF(WORLDCUP!AC17&gt;WORLDCUP!AD17,"1",IF(WORLDCUP!AC17&lt;WORLDCUP!AD17,"2","X")))</f>
        <v>1</v>
      </c>
      <c r="O57" s="25">
        <f>WORLDCUP!AC17</f>
        <v>1</v>
      </c>
      <c r="P57" s="25">
        <f>WORLDCUP!AD17</f>
        <v>0</v>
      </c>
      <c r="Q57" s="25">
        <f t="shared" si="11"/>
        <v>1</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2|1-2</v>
      </c>
      <c r="N58" s="25" t="str">
        <f>IF(OR(WORLDCUP!AC24="",WORLDCUP!AD24=""),"",IF(WORLDCUP!AC24&gt;WORLDCUP!AD24,"1",IF(WORLDCUP!AC24&lt;WORLDCUP!AD24,"2","X")))</f>
        <v>2</v>
      </c>
      <c r="O58" s="25">
        <f>WORLDCUP!AC24</f>
        <v>1</v>
      </c>
      <c r="P58" s="25">
        <f>WORLDCUP!AD24</f>
        <v>2</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1|3-1</v>
      </c>
      <c r="N59" s="25" t="str">
        <f>IF(OR(WORLDCUP!AC25="",WORLDCUP!AD25=""),"",IF(WORLDCUP!AC25&gt;WORLDCUP!AD25,"1",IF(WORLDCUP!AC25&lt;WORLDCUP!AD25,"2","X")))</f>
        <v>1</v>
      </c>
      <c r="O59" s="25">
        <f>WORLDCUP!AC25</f>
        <v>3</v>
      </c>
      <c r="P59" s="25">
        <f>WORLDCUP!AD25</f>
        <v>1</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1|2-1</v>
      </c>
      <c r="N60" s="25" t="str">
        <f>IF(OR(WORLDCUP!AC32="",WORLDCUP!AD32=""),"",IF(WORLDCUP!AC32&gt;WORLDCUP!AD32,"1",IF(WORLDCUP!AC32&lt;WORLDCUP!AD32,"2","X")))</f>
        <v>1</v>
      </c>
      <c r="O60" s="25">
        <f>WORLDCUP!AC32</f>
        <v>2</v>
      </c>
      <c r="P60" s="25">
        <f>WORLDCUP!AD32</f>
        <v>1</v>
      </c>
      <c r="Q60" s="25">
        <f t="shared" si="11"/>
        <v>1</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1|1-0</v>
      </c>
      <c r="N61" s="25" t="str">
        <f>IF(OR(WORLDCUP!AC33="",WORLDCUP!AD33=""),"",IF(WORLDCUP!AC33&gt;WORLDCUP!AD33,"1",IF(WORLDCUP!AC33&lt;WORLDCUP!AD33,"2","X")))</f>
        <v>1</v>
      </c>
      <c r="O61" s="25">
        <f>WORLDCUP!AC33</f>
        <v>1</v>
      </c>
      <c r="P61" s="25">
        <f>WORLDCUP!AD33</f>
        <v>0</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2|0-1</v>
      </c>
      <c r="N62" s="25" t="str">
        <f>IF(OR(WORLDCUP!AC40="",WORLDCUP!AD40=""),"",IF(WORLDCUP!AC40&gt;WORLDCUP!AD40,"1",IF(WORLDCUP!AC40&lt;WORLDCUP!AD40,"2","X")))</f>
        <v>2</v>
      </c>
      <c r="O62" s="25">
        <f>WORLDCUP!AC40</f>
        <v>0</v>
      </c>
      <c r="P62" s="25">
        <f>WORLDCUP!AD40</f>
        <v>1</v>
      </c>
      <c r="Q62" s="25">
        <f t="shared" si="11"/>
        <v>1</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2|0-3</v>
      </c>
      <c r="N63" s="25" t="str">
        <f>IF(OR(WORLDCUP!AC41="",WORLDCUP!AD41=""),"",IF(WORLDCUP!AC41&gt;WORLDCUP!AD41,"1",IF(WORLDCUP!AC41&lt;WORLDCUP!AD41,"2","X")))</f>
        <v>2</v>
      </c>
      <c r="O63" s="25">
        <f>WORLDCUP!AC41</f>
        <v>0</v>
      </c>
      <c r="P63" s="25">
        <f>WORLDCUP!AD41</f>
        <v>3</v>
      </c>
      <c r="Q63" s="25">
        <f t="shared" si="11"/>
        <v>3</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1|1-0</v>
      </c>
      <c r="N64" s="25" t="str">
        <f>IF(OR(WORLDCUP!AC48="",WORLDCUP!AD48=""),"",IF(WORLDCUP!AC48&gt;WORLDCUP!AD48,"1",IF(WORLDCUP!AC48&lt;WORLDCUP!AD48,"2","X")))</f>
        <v>1</v>
      </c>
      <c r="O64" s="25">
        <f>WORLDCUP!AC48</f>
        <v>1</v>
      </c>
      <c r="P64" s="25">
        <f>WORLDCUP!AD48</f>
        <v>0</v>
      </c>
      <c r="Q64" s="25">
        <f t="shared" si="11"/>
        <v>1</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2|0-2</v>
      </c>
      <c r="N65" s="25" t="str">
        <f>IF(OR(WORLDCUP!AC49="",WORLDCUP!AD49=""),"",IF(WORLDCUP!AC49&gt;WORLDCUP!AD49,"1",IF(WORLDCUP!AC49&lt;WORLDCUP!AD49,"2","X")))</f>
        <v>2</v>
      </c>
      <c r="O65" s="25">
        <f>WORLDCUP!AC49</f>
        <v>0</v>
      </c>
      <c r="P65" s="25">
        <f>WORLDCUP!AD49</f>
        <v>2</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1|1-0</v>
      </c>
      <c r="N66" s="25" t="str">
        <f>IF(OR(WORLDCUP!AC56="",WORLDCUP!AD56=""),"",IF(WORLDCUP!AC56&gt;WORLDCUP!AD56,"1",IF(WORLDCUP!AC56&lt;WORLDCUP!AD56,"2","X")))</f>
        <v>1</v>
      </c>
      <c r="O66" s="25">
        <f>WORLDCUP!AC56</f>
        <v>1</v>
      </c>
      <c r="P66" s="25">
        <f>WORLDCUP!AD56</f>
        <v>0</v>
      </c>
      <c r="Q66" s="25">
        <f t="shared" si="11"/>
        <v>1</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2|0-2</v>
      </c>
      <c r="N67" s="25" t="str">
        <f>IF(OR(WORLDCUP!AC57="",WORLDCUP!AD57=""),"",IF(WORLDCUP!AC57&gt;WORLDCUP!AD57,"1",IF(WORLDCUP!AC57&lt;WORLDCUP!AD57,"2","X")))</f>
        <v>2</v>
      </c>
      <c r="O67" s="25">
        <f>WORLDCUP!AC57</f>
        <v>0</v>
      </c>
      <c r="P67" s="25">
        <f>WORLDCUP!AD57</f>
        <v>2</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2|0-1</v>
      </c>
      <c r="N68" s="25" t="str">
        <f>IF(OR(WORLDCUP!AC64="",WORLDCUP!AD64=""),"",IF(WORLDCUP!AC64&gt;WORLDCUP!AD64,"1",IF(WORLDCUP!AC64&lt;WORLDCUP!AD64,"2","X")))</f>
        <v>2</v>
      </c>
      <c r="O68" s="25">
        <f>WORLDCUP!AC64</f>
        <v>0</v>
      </c>
      <c r="P68" s="25">
        <f>WORLDCUP!AD64</f>
        <v>1</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2|1-2</v>
      </c>
      <c r="N69" s="25" t="str">
        <f>IF(OR(WORLDCUP!AC65="",WORLDCUP!AD65=""),"",IF(WORLDCUP!AC65&gt;WORLDCUP!AD65,"1",IF(WORLDCUP!AC65&lt;WORLDCUP!AD65,"2","X")))</f>
        <v>2</v>
      </c>
      <c r="O69" s="25">
        <f>WORLDCUP!AC65</f>
        <v>1</v>
      </c>
      <c r="P69" s="25">
        <f>WORLDCUP!AD65</f>
        <v>2</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1|2-0</v>
      </c>
      <c r="N71" s="25" t="str">
        <f>IF(OR(WORLDCUP!AC73="",WORLDCUP!AD73=""),"",IF(WORLDCUP!AC73&gt;WORLDCUP!AD73,"1",IF(WORLDCUP!AC73&lt;WORLDCUP!AD73,"2","X")))</f>
        <v>1</v>
      </c>
      <c r="O71" s="25">
        <f>WORLDCUP!AC73</f>
        <v>2</v>
      </c>
      <c r="P71" s="25">
        <f>WORLDCUP!AD73</f>
        <v>0</v>
      </c>
      <c r="Q71" s="25">
        <f t="shared" ref="Q71:Q77" si="20">ABS(O71-P71)</f>
        <v>2</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2|0-1</v>
      </c>
      <c r="N72" s="25" t="str">
        <f>IF(OR(WORLDCUP!AC80="",WORLDCUP!AD80=""),"",IF(WORLDCUP!AC80&gt;WORLDCUP!AD80,"1",IF(WORLDCUP!AC80&lt;WORLDCUP!AD80,"2","X")))</f>
        <v>2</v>
      </c>
      <c r="O72" s="25">
        <f>WORLDCUP!AC80</f>
        <v>0</v>
      </c>
      <c r="P72" s="25">
        <f>WORLDCUP!AD80</f>
        <v>1</v>
      </c>
      <c r="Q72" s="25">
        <f t="shared" si="20"/>
        <v>1</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2|0-2</v>
      </c>
      <c r="N73" s="25" t="str">
        <f>IF(OR(WORLDCUP!AC81="",WORLDCUP!AD81=""),"",IF(WORLDCUP!AC81&gt;WORLDCUP!AD81,"1",IF(WORLDCUP!AC81&lt;WORLDCUP!AD81,"2","X")))</f>
        <v>2</v>
      </c>
      <c r="O73" s="25">
        <f>WORLDCUP!AC81</f>
        <v>0</v>
      </c>
      <c r="P73" s="25">
        <f>WORLDCUP!AD81</f>
        <v>2</v>
      </c>
      <c r="Q73" s="25">
        <f t="shared" si="20"/>
        <v>2</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2|1-2</v>
      </c>
      <c r="N74" s="25" t="str">
        <f>IF(OR(WORLDCUP!AC88="",WORLDCUP!AD88=""),"",IF(WORLDCUP!AC88&gt;WORLDCUP!AD88,"1",IF(WORLDCUP!AC88&lt;WORLDCUP!AD88,"2","X")))</f>
        <v>2</v>
      </c>
      <c r="O74" s="25">
        <f>WORLDCUP!AC88</f>
        <v>1</v>
      </c>
      <c r="P74" s="25">
        <f>WORLDCUP!AD88</f>
        <v>2</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1|2-0</v>
      </c>
      <c r="N75" s="25" t="str">
        <f>IF(OR(WORLDCUP!AC89="",WORLDCUP!AD89=""),"",IF(WORLDCUP!AC89&gt;WORLDCUP!AD89,"1",IF(WORLDCUP!AC89&lt;WORLDCUP!AD89,"2","X")))</f>
        <v>1</v>
      </c>
      <c r="O75" s="25">
        <f>WORLDCUP!AC89</f>
        <v>2</v>
      </c>
      <c r="P75" s="25">
        <f>WORLDCUP!AD89</f>
        <v>0</v>
      </c>
      <c r="Q75" s="25">
        <f t="shared" si="20"/>
        <v>2</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2|0-3</v>
      </c>
      <c r="N76" s="25" t="str">
        <f>IF(OR(WORLDCUP!AC96="",WORLDCUP!AD96=""),"",IF(WORLDCUP!AC96&gt;WORLDCUP!AD96,"1",IF(WORLDCUP!AC96&lt;WORLDCUP!AD96,"2","X")))</f>
        <v>2</v>
      </c>
      <c r="O76" s="25">
        <f>WORLDCUP!AC96</f>
        <v>0</v>
      </c>
      <c r="P76" s="25">
        <f>WORLDCUP!AD96</f>
        <v>3</v>
      </c>
      <c r="Q76" s="25">
        <f t="shared" si="20"/>
        <v>3</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1|2-0</v>
      </c>
      <c r="N77" s="25" t="str">
        <f>IF(OR(WORLDCUP!AC97="",WORLDCUP!AD97=""),"",IF(WORLDCUP!AC97&gt;WORLDCUP!AD97,"1",IF(WORLDCUP!AC97&lt;WORLDCUP!AD97,"2","X")))</f>
        <v>1</v>
      </c>
      <c r="O77" s="25">
        <f>WORLDCUP!AC97</f>
        <v>2</v>
      </c>
      <c r="P77" s="25">
        <f>WORLDCUP!AD97</f>
        <v>0</v>
      </c>
      <c r="Q77" s="25">
        <f t="shared" si="20"/>
        <v>2</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República Checa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Ecuador</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Costa de Marfil</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Egipto</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Nueva Zelanda</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Irán</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República Checa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Ecuador</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Paraguay</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Escocia</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RD Congo</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Corea del Sur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Costa de Marfil</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Egipto</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Senegal</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Canadá-República Checa</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9" t="s">
        <v>483</v>
      </c>
      <c r="K164" s="59" t="str">
        <f ca="1">CONCATENATE(WORLDCUP!AA101,"-",WORLDCUP!AF101)</f>
        <v>República Checa-Canadá</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0</v>
      </c>
      <c r="G165" s="415">
        <f ca="1">VLOOKUP(H165,Equipos!$Q$1:$R$25,2,0)</f>
        <v>20</v>
      </c>
      <c r="H165" s="454" t="str">
        <f>Idiomas!$D$260</f>
        <v>Dieciseisavos de final</v>
      </c>
      <c r="I165" s="49">
        <v>1</v>
      </c>
      <c r="J165" s="849"/>
      <c r="K165" s="62" t="str">
        <f ca="1">CONCATENATE(WORLDCUP!AA102,"-",WORLDCUP!AF102)</f>
        <v>Brasil-Japón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3</v>
      </c>
      <c r="C166" s="25" t="str">
        <f ca="1">CONCATENATE(WORLDCUP!AF103,"-",WORLDCUP!AA103)</f>
        <v>Paraguay-Alemania</v>
      </c>
      <c r="D166" s="25">
        <f>IF(WORLDCUP!AC103&gt;WORLDCUP!AD103,2,IF(WORLDCUP!AC103&lt;WORLDCUP!AD103,1,IF(AND(WORLDCUP!AC103=WORLDCUP!AD103,WORLDCUP!AC103&lt;&gt;"",WORLDCUP!AD103&lt;&gt;""),0,"PD")))</f>
        <v>2</v>
      </c>
      <c r="E166" s="25" t="str">
        <f>IF(OR(WORLDCUP!AC103="",WORLDCUP!AD103=""),"-",A166&amp;"-"&amp;B166)</f>
        <v>0-3</v>
      </c>
      <c r="F166" s="415">
        <f t="shared" si="192"/>
        <v>0</v>
      </c>
      <c r="G166" s="415">
        <f ca="1">VLOOKUP(H166,Equipos!$Q$1:$R$25,2,0)</f>
        <v>20</v>
      </c>
      <c r="H166" s="454" t="str">
        <f>Idiomas!$D$260</f>
        <v>Dieciseisavos de final</v>
      </c>
      <c r="I166" s="49">
        <v>1</v>
      </c>
      <c r="J166" s="849"/>
      <c r="K166" s="62" t="str">
        <f ca="1">CONCATENATE(WORLDCUP!AA103,"-",WORLDCUP!AF103)</f>
        <v>Alemania-Paraguay</v>
      </c>
      <c r="L166" s="59">
        <f>IF(OR(WORLDCUP!AC103="",WORLDCUP!AD103=""),"PD",IF(WORLDCUP!AC103&gt;WORLDCUP!AD103,1,IF(WORLDCUP!AC103&lt;WORLDCUP!AD103,2,0)))</f>
        <v>1</v>
      </c>
      <c r="M166" s="61" t="str">
        <f t="shared" si="193"/>
        <v>3-0</v>
      </c>
      <c r="N166" s="25">
        <f>WORLDCUP!AC103</f>
        <v>3</v>
      </c>
      <c r="O166" s="25">
        <f>WORLDCUP!AD103</f>
        <v>0</v>
      </c>
      <c r="P166" s="25">
        <f t="shared" si="194"/>
        <v>3</v>
      </c>
      <c r="Q166" s="25">
        <f t="shared" si="195"/>
        <v>-3</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2</v>
      </c>
      <c r="B167" s="25">
        <f>WORLDCUP!AC104</f>
        <v>2</v>
      </c>
      <c r="C167" s="25" t="str">
        <f ca="1">CONCATENATE(WORLDCUP!AF104,"-",WORLDCUP!AA104)</f>
        <v>Marruecos-Países Bajos</v>
      </c>
      <c r="D167" s="25">
        <f>IF(WORLDCUP!AC104&gt;WORLDCUP!AD104,2,IF(WORLDCUP!AC104&lt;WORLDCUP!AD104,1,IF(AND(WORLDCUP!AC104=WORLDCUP!AD104,WORLDCUP!AC104&lt;&gt;"",WORLDCUP!AD104&lt;&gt;""),0,"PD")))</f>
        <v>0</v>
      </c>
      <c r="E167" s="25" t="str">
        <f>IF(OR(WORLDCUP!AC104="",WORLDCUP!AD104=""),"-",A167&amp;"-"&amp;B167)</f>
        <v>2-2</v>
      </c>
      <c r="F167" s="415">
        <f t="shared" si="192"/>
        <v>0</v>
      </c>
      <c r="G167" s="415">
        <f ca="1">VLOOKUP(H167,Equipos!$Q$1:$R$25,2,0)</f>
        <v>20</v>
      </c>
      <c r="H167" s="454" t="str">
        <f>Idiomas!$D$260</f>
        <v>Dieciseisavos de final</v>
      </c>
      <c r="I167" s="49">
        <v>1</v>
      </c>
      <c r="J167" s="849"/>
      <c r="K167" s="62" t="str">
        <f ca="1">CONCATENATE(WORLDCUP!AA104,"-",WORLDCUP!AF104)</f>
        <v>Países Bajos-Marruecos</v>
      </c>
      <c r="L167" s="59">
        <f>IF(OR(WORLDCUP!AC104="",WORLDCUP!AD104=""),"PD",IF(WORLDCUP!AC104&gt;WORLDCUP!AD104,1,IF(WORLDCUP!AC104&lt;WORLDCUP!AD104,2,0)))</f>
        <v>0</v>
      </c>
      <c r="M167" s="61" t="str">
        <f t="shared" si="193"/>
        <v>2-2</v>
      </c>
      <c r="N167" s="25">
        <f>WORLDCUP!AC104</f>
        <v>2</v>
      </c>
      <c r="O167" s="25">
        <f>WORLDCUP!AD104</f>
        <v>2</v>
      </c>
      <c r="P167" s="25">
        <f t="shared" si="194"/>
        <v>0</v>
      </c>
      <c r="Q167" s="25">
        <f t="shared" si="195"/>
        <v>0</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0</v>
      </c>
      <c r="C168" s="25" t="str">
        <f ca="1">CONCATENATE(WORLDCUP!AF105,"-",WORLDCUP!AA105)</f>
        <v>Noruega-Ecuador</v>
      </c>
      <c r="D168" s="25">
        <f>IF(WORLDCUP!AC105&gt;WORLDCUP!AD105,2,IF(WORLDCUP!AC105&lt;WORLDCUP!AD105,1,IF(AND(WORLDCUP!AC105=WORLDCUP!AD105,WORLDCUP!AC105&lt;&gt;"",WORLDCUP!AD105&lt;&gt;""),0,"PD")))</f>
        <v>1</v>
      </c>
      <c r="E168" s="25" t="str">
        <f>IF(OR(WORLDCUP!AC105="",WORLDCUP!AD105=""),"-",A168&amp;"-"&amp;B168)</f>
        <v>1-0</v>
      </c>
      <c r="F168" s="415">
        <f t="shared" si="192"/>
        <v>0</v>
      </c>
      <c r="G168" s="415">
        <f ca="1">VLOOKUP(H168,Equipos!$Q$1:$R$25,2,0)</f>
        <v>20</v>
      </c>
      <c r="H168" s="454" t="str">
        <f>Idiomas!$D$260</f>
        <v>Dieciseisavos de final</v>
      </c>
      <c r="I168" s="49">
        <v>1</v>
      </c>
      <c r="J168" s="849"/>
      <c r="K168" s="62" t="str">
        <f ca="1">CONCATENATE(WORLDCUP!AA105,"-",WORLDCUP!AF105)</f>
        <v>Ecuador-Noruega</v>
      </c>
      <c r="L168" s="59">
        <f>IF(OR(WORLDCUP!AC105="",WORLDCUP!AD105=""),"PD",IF(WORLDCUP!AC105&gt;WORLDCUP!AD105,1,IF(WORLDCUP!AC105&lt;WORLDCUP!AD105,2,0)))</f>
        <v>2</v>
      </c>
      <c r="M168" s="61" t="str">
        <f t="shared" si="193"/>
        <v>0-1</v>
      </c>
      <c r="N168" s="25">
        <f>WORLDCUP!AC105</f>
        <v>0</v>
      </c>
      <c r="O168" s="25">
        <f>WORLDCUP!AD105</f>
        <v>1</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0-3</v>
      </c>
      <c r="F169" s="415">
        <f t="shared" si="192"/>
        <v>0</v>
      </c>
      <c r="G169" s="415">
        <f ca="1">VLOOKUP(H169,Equipos!$Q$1:$R$25,2,0)</f>
        <v>20</v>
      </c>
      <c r="H169" s="454" t="str">
        <f>Idiomas!$D$260</f>
        <v>Dieciseisavos de final</v>
      </c>
      <c r="I169" s="49">
        <v>1</v>
      </c>
      <c r="J169" s="849"/>
      <c r="K169" s="62" t="str">
        <f ca="1">CONCATENATE(WORLDCUP!AA106,"-",WORLDCUP!AF106)</f>
        <v>Francia-Suecia</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0</v>
      </c>
      <c r="B170" s="25">
        <f>WORLDCUP!AC107</f>
        <v>1</v>
      </c>
      <c r="C170" s="25" t="str">
        <f ca="1">CONCATENATE(WORLDCUP!AF107,"-",WORLDCUP!AA107)</f>
        <v>Escocia-México</v>
      </c>
      <c r="D170" s="25">
        <f>IF(WORLDCUP!AC107&gt;WORLDCUP!AD107,2,IF(WORLDCUP!AC107&lt;WORLDCUP!AD107,1,IF(AND(WORLDCUP!AC107=WORLDCUP!AD107,WORLDCUP!AC107&lt;&gt;"",WORLDCUP!AD107&lt;&gt;""),0,"PD")))</f>
        <v>2</v>
      </c>
      <c r="E170" s="25" t="str">
        <f>IF(OR(WORLDCUP!AC107="",WORLDCUP!AD107=""),"-",A170&amp;"-"&amp;B170)</f>
        <v>0-1</v>
      </c>
      <c r="F170" s="415">
        <f t="shared" si="192"/>
        <v>0</v>
      </c>
      <c r="G170" s="415">
        <f ca="1">VLOOKUP(H170,Equipos!$Q$1:$R$25,2,0)</f>
        <v>20</v>
      </c>
      <c r="H170" s="454" t="str">
        <f>Idiomas!$D$260</f>
        <v>Dieciseisavos de final</v>
      </c>
      <c r="I170" s="49">
        <v>1</v>
      </c>
      <c r="J170" s="849"/>
      <c r="K170" s="62" t="str">
        <f ca="1">CONCATENATE(WORLDCUP!AA107,"-",WORLDCUP!AF107)</f>
        <v>México-Escocia</v>
      </c>
      <c r="L170" s="59">
        <f>IF(OR(WORLDCUP!AC107="",WORLDCUP!AD107=""),"PD",IF(WORLDCUP!AC107&gt;WORLDCUP!AD107,1,IF(WORLDCUP!AC107&lt;WORLDCUP!AD107,2,0)))</f>
        <v>1</v>
      </c>
      <c r="M170" s="61" t="str">
        <f t="shared" si="193"/>
        <v>1-0</v>
      </c>
      <c r="N170" s="25">
        <f>WORLDCUP!AC107</f>
        <v>1</v>
      </c>
      <c r="O170" s="25">
        <f>WORLDCUP!AD107</f>
        <v>0</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3</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0-3</v>
      </c>
      <c r="F171" s="415">
        <f t="shared" si="192"/>
        <v>0</v>
      </c>
      <c r="G171" s="415">
        <f ca="1">VLOOKUP(H171,Equipos!$Q$1:$R$25,2,0)</f>
        <v>20</v>
      </c>
      <c r="H171" s="454" t="str">
        <f>Idiomas!$D$260</f>
        <v>Dieciseisavos de final</v>
      </c>
      <c r="I171" s="49">
        <v>1</v>
      </c>
      <c r="J171" s="849"/>
      <c r="K171" s="62" t="str">
        <f ca="1">CONCATENATE(WORLDCUP!AA108,"-",WORLDCUP!AF108)</f>
        <v>Inglaterra-RD Congo</v>
      </c>
      <c r="L171" s="59">
        <f>IF(OR(WORLDCUP!AC108="",WORLDCUP!AD108=""),"PD",IF(WORLDCUP!AC108&gt;WORLDCUP!AD108,1,IF(WORLDCUP!AC108&lt;WORLDCUP!AD108,2,0)))</f>
        <v>1</v>
      </c>
      <c r="M171" s="61" t="str">
        <f t="shared" si="193"/>
        <v>3-0</v>
      </c>
      <c r="N171" s="25">
        <f>WORLDCUP!AC108</f>
        <v>3</v>
      </c>
      <c r="O171" s="25">
        <f>WORLDCUP!AD108</f>
        <v>0</v>
      </c>
      <c r="P171" s="25">
        <f t="shared" si="194"/>
        <v>3</v>
      </c>
      <c r="Q171" s="25">
        <f t="shared" si="195"/>
        <v>-3</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2</v>
      </c>
      <c r="C172" s="25" t="str">
        <f ca="1">CONCATENATE(WORLDCUP!AF109,"-",WORLDCUP!AA109)</f>
        <v>Corea del Sur-Bélgica</v>
      </c>
      <c r="D172" s="25">
        <f>IF(WORLDCUP!AC109&gt;WORLDCUP!AD109,2,IF(WORLDCUP!AC109&lt;WORLDCUP!AD109,1,IF(AND(WORLDCUP!AC109=WORLDCUP!AD109,WORLDCUP!AC109&lt;&gt;"",WORLDCUP!AD109&lt;&gt;""),0,"PD")))</f>
        <v>2</v>
      </c>
      <c r="E172" s="25" t="str">
        <f>IF(OR(WORLDCUP!AC109="",WORLDCUP!AD109=""),"-",A172&amp;"-"&amp;B172)</f>
        <v>0-2</v>
      </c>
      <c r="F172" s="415">
        <f t="shared" si="192"/>
        <v>0</v>
      </c>
      <c r="G172" s="415">
        <f ca="1">VLOOKUP(H172,Equipos!$Q$1:$R$25,2,0)</f>
        <v>20</v>
      </c>
      <c r="H172" s="454" t="str">
        <f>Idiomas!$D$260</f>
        <v>Dieciseisavos de final</v>
      </c>
      <c r="I172" s="49">
        <v>1</v>
      </c>
      <c r="J172" s="849"/>
      <c r="K172" s="62" t="str">
        <f ca="1">CONCATENATE(WORLDCUP!AA109,"-",WORLDCUP!AF109)</f>
        <v>Bélgica-Corea del Sur</v>
      </c>
      <c r="L172" s="59">
        <f>IF(OR(WORLDCUP!AC109="",WORLDCUP!AD109=""),"PD",IF(WORLDCUP!AC109&gt;WORLDCUP!AD109,1,IF(WORLDCUP!AC109&lt;WORLDCUP!AD109,2,0)))</f>
        <v>1</v>
      </c>
      <c r="M172" s="61" t="str">
        <f t="shared" si="193"/>
        <v>2-0</v>
      </c>
      <c r="N172" s="25">
        <f>WORLDCUP!AC109</f>
        <v>2</v>
      </c>
      <c r="O172" s="25">
        <f>WORLDCUP!AD109</f>
        <v>0</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0</v>
      </c>
      <c r="B173" s="25">
        <f>WORLDCUP!AC110</f>
        <v>1</v>
      </c>
      <c r="C173" s="25" t="str">
        <f ca="1">CONCATENATE(WORLDCUP!AF110,"-",WORLDCUP!AA110)</f>
        <v>Bosnia y Herzegovina-Turquía</v>
      </c>
      <c r="D173" s="25">
        <f>IF(WORLDCUP!AC110&gt;WORLDCUP!AD110,2,IF(WORLDCUP!AC110&lt;WORLDCUP!AD110,1,IF(AND(WORLDCUP!AC110=WORLDCUP!AD110,WORLDCUP!AC110&lt;&gt;"",WORLDCUP!AD110&lt;&gt;""),0,"PD")))</f>
        <v>2</v>
      </c>
      <c r="E173" s="25" t="str">
        <f>IF(OR(WORLDCUP!AC110="",WORLDCUP!AD110=""),"-",A173&amp;"-"&amp;B173)</f>
        <v>0-1</v>
      </c>
      <c r="F173" s="415">
        <f t="shared" si="192"/>
        <v>0</v>
      </c>
      <c r="G173" s="415">
        <f ca="1">VLOOKUP(H173,Equipos!$Q$1:$R$25,2,0)</f>
        <v>20</v>
      </c>
      <c r="H173" s="454" t="str">
        <f>Idiomas!$D$260</f>
        <v>Dieciseisavos de final</v>
      </c>
      <c r="I173" s="49">
        <v>1</v>
      </c>
      <c r="J173" s="849"/>
      <c r="K173" s="62" t="str">
        <f ca="1">CONCATENATE(WORLDCUP!AA110,"-",WORLDCUP!AF110)</f>
        <v>Turquía-Bosnia y Herzegovina</v>
      </c>
      <c r="L173" s="59">
        <f>IF(OR(WORLDCUP!AC110="",WORLDCUP!AD110=""),"PD",IF(WORLDCUP!AC110&gt;WORLDCUP!AD110,1,IF(WORLDCUP!AC110&lt;WORLDCUP!AD110,2,0)))</f>
        <v>1</v>
      </c>
      <c r="M173" s="61" t="str">
        <f t="shared" si="193"/>
        <v>1-0</v>
      </c>
      <c r="N173" s="25">
        <f>WORLDCUP!AC110</f>
        <v>1</v>
      </c>
      <c r="O173" s="25">
        <f>WORLDCUP!AD110</f>
        <v>0</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1</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1-3</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1</v>
      </c>
      <c r="M174" s="61" t="str">
        <f t="shared" si="193"/>
        <v>3-1</v>
      </c>
      <c r="N174" s="25">
        <f>WORLDCUP!AC111</f>
        <v>3</v>
      </c>
      <c r="O174" s="25">
        <f>WORLDCUP!AD111</f>
        <v>1</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3</v>
      </c>
      <c r="B175" s="25">
        <f>WORLDCUP!AC112</f>
        <v>2</v>
      </c>
      <c r="C175" s="25" t="str">
        <f ca="1">CONCATENATE(WORLDCUP!AF112,"-",WORLDCUP!AA112)</f>
        <v>Croacia-Colombia</v>
      </c>
      <c r="D175" s="25">
        <f>IF(WORLDCUP!AC112&gt;WORLDCUP!AD112,2,IF(WORLDCUP!AC112&lt;WORLDCUP!AD112,1,IF(AND(WORLDCUP!AC112=WORLDCUP!AD112,WORLDCUP!AC112&lt;&gt;"",WORLDCUP!AD112&lt;&gt;""),0,"PD")))</f>
        <v>1</v>
      </c>
      <c r="E175" s="25" t="str">
        <f>IF(OR(WORLDCUP!AC112="",WORLDCUP!AD112=""),"-",A175&amp;"-"&amp;B175)</f>
        <v>3-2</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2</v>
      </c>
      <c r="M175" s="61" t="str">
        <f t="shared" si="193"/>
        <v>2-3</v>
      </c>
      <c r="N175" s="25">
        <f>WORLDCUP!AC112</f>
        <v>2</v>
      </c>
      <c r="O175" s="25">
        <f>WORLDCUP!AD112</f>
        <v>3</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2</v>
      </c>
      <c r="C176" s="25" t="str">
        <f ca="1">CONCATENATE(WORLDCUP!AF113,"-",WORLDCUP!AA113)</f>
        <v>Costa de Marfil-Suiza</v>
      </c>
      <c r="D176" s="25">
        <f>IF(WORLDCUP!AC113&gt;WORLDCUP!AD113,2,IF(WORLDCUP!AC113&lt;WORLDCUP!AD113,1,IF(AND(WORLDCUP!AC113=WORLDCUP!AD113,WORLDCUP!AC113&lt;&gt;"",WORLDCUP!AD113&lt;&gt;""),0,"PD")))</f>
        <v>2</v>
      </c>
      <c r="E176" s="25" t="str">
        <f>IF(OR(WORLDCUP!AC113="",WORLDCUP!AD113=""),"-",A176&amp;"-"&amp;B176)</f>
        <v>1-2</v>
      </c>
      <c r="F176" s="415">
        <f t="shared" si="192"/>
        <v>0</v>
      </c>
      <c r="G176" s="415">
        <f ca="1">VLOOKUP(H176,Equipos!$Q$1:$R$25,2,0)</f>
        <v>20</v>
      </c>
      <c r="H176" s="454" t="str">
        <f>Idiomas!$D$260</f>
        <v>Dieciseisavos de final</v>
      </c>
      <c r="I176" s="49">
        <v>1</v>
      </c>
      <c r="J176" s="849"/>
      <c r="K176" s="62" t="str">
        <f ca="1">CONCATENATE(WORLDCUP!AA113,"-",WORLDCUP!AF113)</f>
        <v>Suiza-Costa de Marfil</v>
      </c>
      <c r="L176" s="59">
        <f>IF(OR(WORLDCUP!AC113="",WORLDCUP!AD113=""),"PD",IF(WORLDCUP!AC113&gt;WORLDCUP!AD113,1,IF(WORLDCUP!AC113&lt;WORLDCUP!AD113,2,0)))</f>
        <v>1</v>
      </c>
      <c r="M176" s="61" t="str">
        <f t="shared" si="193"/>
        <v>2-1</v>
      </c>
      <c r="N176" s="25">
        <f>WORLDCUP!AC113</f>
        <v>2</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0</v>
      </c>
      <c r="B177" s="25">
        <f>WORLDCUP!AC114</f>
        <v>1</v>
      </c>
      <c r="C177" s="25" t="str">
        <f ca="1">CONCATENATE(WORLDCUP!AF114,"-",WORLDCUP!AA114)</f>
        <v>Egipto-Estados Unidos</v>
      </c>
      <c r="D177" s="25">
        <f>IF(WORLDCUP!AC114&gt;WORLDCUP!AD114,2,IF(WORLDCUP!AC114&lt;WORLDCUP!AD114,1,IF(AND(WORLDCUP!AC114=WORLDCUP!AD114,WORLDCUP!AC114&lt;&gt;"",WORLDCUP!AD114&lt;&gt;""),0,"PD")))</f>
        <v>2</v>
      </c>
      <c r="E177" s="25" t="str">
        <f>IF(OR(WORLDCUP!AC114="",WORLDCUP!AD114=""),"-",A177&amp;"-"&amp;B177)</f>
        <v>0-1</v>
      </c>
      <c r="F177" s="415">
        <f t="shared" si="192"/>
        <v>0</v>
      </c>
      <c r="G177" s="415">
        <f ca="1">VLOOKUP(H177,Equipos!$Q$1:$R$25,2,0)</f>
        <v>20</v>
      </c>
      <c r="H177" s="454" t="str">
        <f>Idiomas!$D$260</f>
        <v>Dieciseisavos de final</v>
      </c>
      <c r="I177" s="49">
        <v>1</v>
      </c>
      <c r="J177" s="849"/>
      <c r="K177" s="62" t="str">
        <f ca="1">CONCATENATE(WORLDCUP!AA114,"-",WORLDCUP!AF114)</f>
        <v>Estados Unidos-Egipto</v>
      </c>
      <c r="L177" s="59">
        <f>IF(OR(WORLDCUP!AC114="",WORLDCUP!AD114=""),"PD",IF(WORLDCUP!AC114&gt;WORLDCUP!AD114,1,IF(WORLDCUP!AC114&lt;WORLDCUP!AD114,2,0)))</f>
        <v>1</v>
      </c>
      <c r="M177" s="61" t="str">
        <f t="shared" si="193"/>
        <v>1-0</v>
      </c>
      <c r="N177" s="25">
        <f>WORLDCUP!AC114</f>
        <v>1</v>
      </c>
      <c r="O177" s="25">
        <f>WORLDCUP!AD114</f>
        <v>0</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2</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1-2</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1</v>
      </c>
      <c r="M178" s="61" t="str">
        <f t="shared" si="193"/>
        <v>2-1</v>
      </c>
      <c r="N178" s="25">
        <f>WORLDCUP!AC115</f>
        <v>2</v>
      </c>
      <c r="O178" s="25">
        <f>WORLDCUP!AD115</f>
        <v>1</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2</v>
      </c>
      <c r="C179" s="25" t="str">
        <f ca="1">CONCATENATE(WORLDCUP!AF116,"-",WORLDCUP!AA116)</f>
        <v>Senegal-Portugal</v>
      </c>
      <c r="D179" s="25">
        <f>IF(WORLDCUP!AC116&gt;WORLDCUP!AD116,2,IF(WORLDCUP!AC116&lt;WORLDCUP!AD116,1,IF(AND(WORLDCUP!AC116=WORLDCUP!AD116,WORLDCUP!AC116&lt;&gt;"",WORLDCUP!AD116&lt;&gt;""),0,"PD")))</f>
        <v>2</v>
      </c>
      <c r="E179" s="25" t="str">
        <f>IF(OR(WORLDCUP!AC116="",WORLDCUP!AD116=""),"-",A179&amp;"-"&amp;B179)</f>
        <v>1-2</v>
      </c>
      <c r="F179" s="415">
        <f t="shared" si="192"/>
        <v>0</v>
      </c>
      <c r="G179" s="415">
        <f ca="1">VLOOKUP(H179,Equipos!$Q$1:$R$25,2,0)</f>
        <v>20</v>
      </c>
      <c r="H179" s="454" t="str">
        <f>Idiomas!$D$260</f>
        <v>Dieciseisavos de final</v>
      </c>
      <c r="I179" s="49">
        <v>1</v>
      </c>
      <c r="J179" s="849"/>
      <c r="K179" s="121" t="str">
        <f ca="1">CONCATENATE(WORLDCUP!AA116,"-",WORLDCUP!AF116)</f>
        <v>Portugal-Senegal</v>
      </c>
      <c r="L179" s="121">
        <f>IF(OR(WORLDCUP!AC116="",WORLDCUP!AD116=""),"PD",IF(WORLDCUP!AC116&gt;WORLDCUP!AD116,1,IF(WORLDCUP!AC116&lt;WORLDCUP!AD116,2,0)))</f>
        <v>1</v>
      </c>
      <c r="M179" s="122" t="str">
        <f t="shared" si="193"/>
        <v>2-1</v>
      </c>
      <c r="N179" s="25">
        <f>WORLDCUP!AC116</f>
        <v>2</v>
      </c>
      <c r="O179" s="25">
        <f>WORLDCUP!AD116</f>
        <v>1</v>
      </c>
      <c r="P179" s="25">
        <f t="shared" si="194"/>
        <v>1</v>
      </c>
      <c r="Q179" s="25">
        <f t="shared" si="195"/>
        <v>-1</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Canadá</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Turquía</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Estados Unidos</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0</v>
      </c>
      <c r="C200" s="25" t="str">
        <f ca="1">CONCATENATE(WORLDCUP!AF120,"-",WORLDCUP!AA120)</f>
        <v>Países Bajos-Canadá</v>
      </c>
      <c r="D200" s="25">
        <f>IF(WORLDCUP!AC120&gt;WORLDCUP!AD120,2,IF(WORLDCUP!AC120&lt;WORLDCUP!AD120,1,IF(AND(WORLDCUP!AC120=WORLDCUP!AD120,WORLDCUP!AC120&lt;&gt;"",WORLDCUP!AD120&lt;&gt;""),0,"PD")))</f>
        <v>1</v>
      </c>
      <c r="E200" s="25" t="str">
        <f>IF(OR(WORLDCUP!AD120="",WORLDCUP!AC120=""),"-",A200&amp;"-"&amp;B200)</f>
        <v>2-0</v>
      </c>
      <c r="F200" s="415">
        <f>SUM($D$20:$D$22)*I200</f>
        <v>0</v>
      </c>
      <c r="G200" s="415">
        <f ca="1">VLOOKUP(H200,Equipos!$Q$1:$R$25,2,0)</f>
        <v>21</v>
      </c>
      <c r="H200" s="71" t="str">
        <f>Idiomas!$D$261</f>
        <v>Octavos de final</v>
      </c>
      <c r="I200" s="49">
        <v>1</v>
      </c>
      <c r="J200" s="849" t="s">
        <v>88</v>
      </c>
      <c r="K200" s="59" t="str">
        <f ca="1">CONCATENATE(WORLDCUP!AA120,"-",WORLDCUP!AF120)</f>
        <v>Canadá-Países Bajos</v>
      </c>
      <c r="L200" s="59">
        <f>IF(OR(WORLDCUP!AC120="",WORLDCUP!AD120=""),"PD",IF(WORLDCUP!AC120&gt;WORLDCUP!AD120,1,IF(WORLDCUP!AC120&lt;WORLDCUP!AD120,2,0)))</f>
        <v>2</v>
      </c>
      <c r="M200" s="61" t="str">
        <f t="shared" ref="M200:M207" si="212">IF(L200="PD","-",N200&amp;"-"&amp;O200)</f>
        <v>0-2</v>
      </c>
      <c r="N200" s="25">
        <f>WORLDCUP!AC120</f>
        <v>0</v>
      </c>
      <c r="O200" s="25">
        <f>WORLDCUP!AD120</f>
        <v>2</v>
      </c>
      <c r="P200" s="25">
        <f t="shared" ref="P200:P207" si="213">+N200-O200</f>
        <v>-2</v>
      </c>
      <c r="Q200" s="25">
        <f t="shared" ref="Q200:Q207" si="214">+A200-B200</f>
        <v>2</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0</v>
      </c>
      <c r="B202" s="25">
        <f>WORLDCUP!AC122</f>
        <v>1</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0-1</v>
      </c>
      <c r="F202" s="415">
        <f t="shared" si="219"/>
        <v>0</v>
      </c>
      <c r="G202" s="415">
        <f ca="1">VLOOKUP(H202,Equipos!$Q$1:$R$25,2,0)</f>
        <v>21</v>
      </c>
      <c r="H202" s="71" t="str">
        <f>Idiomas!$D$261</f>
        <v>Octavos de final</v>
      </c>
      <c r="I202" s="49">
        <v>1</v>
      </c>
      <c r="J202" s="849"/>
      <c r="K202" s="62" t="str">
        <f ca="1">CONCATENATE(WORLDCUP!AA122,"-",WORLDCUP!AF122)</f>
        <v>Brasil-Noruega</v>
      </c>
      <c r="L202" s="59">
        <f>IF(OR(WORLDCUP!AC122="",WORLDCUP!AD122=""),"PD",IF(WORLDCUP!AC122&gt;WORLDCUP!AD122,1,IF(WORLDCUP!AC122&lt;WORLDCUP!AD122,2,0)))</f>
        <v>1</v>
      </c>
      <c r="M202" s="61" t="str">
        <f t="shared" si="212"/>
        <v>1-0</v>
      </c>
      <c r="N202" s="25">
        <f>WORLDCUP!AC122</f>
        <v>1</v>
      </c>
      <c r="O202" s="25">
        <f>WORLDCUP!AD122</f>
        <v>0</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3</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3-1</v>
      </c>
      <c r="F203" s="415">
        <f t="shared" si="219"/>
        <v>0</v>
      </c>
      <c r="G203" s="415">
        <f ca="1">VLOOKUP(H203,Equipos!$Q$1:$R$25,2,0)</f>
        <v>21</v>
      </c>
      <c r="H203" s="71" t="str">
        <f>Idiomas!$D$261</f>
        <v>Octavos de final</v>
      </c>
      <c r="I203" s="49">
        <v>1</v>
      </c>
      <c r="J203" s="849"/>
      <c r="K203" s="62" t="str">
        <f ca="1">CONCATENATE(WORLDCUP!AA123,"-",WORLDCUP!AF123)</f>
        <v>México-Inglaterra</v>
      </c>
      <c r="L203" s="59">
        <f>IF(OR(WORLDCUP!AC123="",WORLDCUP!AD123=""),"PD",IF(WORLDCUP!AC123&gt;WORLDCUP!AD123,1,IF(WORLDCUP!AC123&lt;WORLDCUP!AD123,2,0)))</f>
        <v>2</v>
      </c>
      <c r="M203" s="61" t="str">
        <f t="shared" si="212"/>
        <v>1-3</v>
      </c>
      <c r="N203" s="25">
        <f>WORLDCUP!AC123</f>
        <v>1</v>
      </c>
      <c r="O203" s="25">
        <f>WORLDCUP!AD123</f>
        <v>3</v>
      </c>
      <c r="P203" s="25">
        <f t="shared" si="213"/>
        <v>-2</v>
      </c>
      <c r="Q203" s="25">
        <f t="shared" si="214"/>
        <v>2</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1</v>
      </c>
      <c r="C204" s="25" t="str">
        <f ca="1">CONCATENATE(WORLDCUP!AF124,"-",WORLDCUP!AA124)</f>
        <v>España-Croacia</v>
      </c>
      <c r="D204" s="25">
        <f>IF(WORLDCUP!AC124&gt;WORLDCUP!AD124,2,IF(WORLDCUP!AC124&lt;WORLDCUP!AD124,1,IF(AND(WORLDCUP!AC124=WORLDCUP!AD124,WORLDCUP!AC124&lt;&gt;"",WORLDCUP!AD124&lt;&gt;""),0,"PD")))</f>
        <v>1</v>
      </c>
      <c r="E204" s="25" t="str">
        <f>IF(OR(WORLDCUP!AD124="",WORLDCUP!AC124=""),"-",A204&amp;"-"&amp;B204)</f>
        <v>2-1</v>
      </c>
      <c r="F204" s="415">
        <f t="shared" si="219"/>
        <v>0</v>
      </c>
      <c r="G204" s="415">
        <f ca="1">VLOOKUP(H204,Equipos!$Q$1:$R$25,2,0)</f>
        <v>21</v>
      </c>
      <c r="H204" s="71" t="str">
        <f>Idiomas!$D$261</f>
        <v>Octavos de final</v>
      </c>
      <c r="I204" s="49">
        <v>1</v>
      </c>
      <c r="J204" s="849"/>
      <c r="K204" s="62" t="str">
        <f ca="1">CONCATENATE(WORLDCUP!AA124,"-",WORLDCUP!AF124)</f>
        <v>Croacia-España</v>
      </c>
      <c r="L204" s="59">
        <f>IF(OR(WORLDCUP!AC124="",WORLDCUP!AD124=""),"PD",IF(WORLDCUP!AC124&gt;WORLDCUP!AD124,1,IF(WORLDCUP!AC124&lt;WORLDCUP!AD124,2,0)))</f>
        <v>2</v>
      </c>
      <c r="M204" s="61" t="str">
        <f t="shared" si="212"/>
        <v>1-2</v>
      </c>
      <c r="N204" s="25">
        <f>WORLDCUP!AC124</f>
        <v>1</v>
      </c>
      <c r="O204" s="25">
        <f>WORLDCUP!AD124</f>
        <v>2</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1</v>
      </c>
      <c r="B205" s="25">
        <f>WORLDCUP!AC125</f>
        <v>0</v>
      </c>
      <c r="C205" s="25" t="str">
        <f ca="1">CONCATENATE(WORLDCUP!AF125,"-",WORLDCUP!AA125)</f>
        <v>Bélgica-Turquía</v>
      </c>
      <c r="D205" s="25">
        <f>IF(WORLDCUP!AC125&gt;WORLDCUP!AD125,2,IF(WORLDCUP!AC125&lt;WORLDCUP!AD125,1,IF(AND(WORLDCUP!AC125=WORLDCUP!AD125,WORLDCUP!AC125&lt;&gt;"",WORLDCUP!AD125&lt;&gt;""),0,"PD")))</f>
        <v>1</v>
      </c>
      <c r="E205" s="25" t="str">
        <f>IF(OR(WORLDCUP!AD125="",WORLDCUP!AC125=""),"-",A205&amp;"-"&amp;B205)</f>
        <v>1-0</v>
      </c>
      <c r="F205" s="415">
        <f t="shared" si="219"/>
        <v>0</v>
      </c>
      <c r="G205" s="415">
        <f ca="1">VLOOKUP(H205,Equipos!$Q$1:$R$25,2,0)</f>
        <v>21</v>
      </c>
      <c r="H205" s="71" t="str">
        <f>Idiomas!$D$261</f>
        <v>Octavos de final</v>
      </c>
      <c r="I205" s="49">
        <v>1</v>
      </c>
      <c r="J205" s="849"/>
      <c r="K205" s="62" t="str">
        <f ca="1">CONCATENATE(WORLDCUP!AA125,"-",WORLDCUP!AF125)</f>
        <v>Turquía-Bélgica</v>
      </c>
      <c r="L205" s="59">
        <f>IF(OR(WORLDCUP!AC125="",WORLDCUP!AD125=""),"PD",IF(WORLDCUP!AC125&gt;WORLDCUP!AD125,1,IF(WORLDCUP!AC125&lt;WORLDCUP!AD125,2,0)))</f>
        <v>2</v>
      </c>
      <c r="M205" s="61" t="str">
        <f t="shared" si="212"/>
        <v>0-1</v>
      </c>
      <c r="N205" s="25">
        <f>WORLDCUP!AC125</f>
        <v>0</v>
      </c>
      <c r="O205" s="25">
        <f>WORLDCUP!AD125</f>
        <v>1</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Estados Unidos-Argentina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9"/>
      <c r="K206" s="62" t="str">
        <f ca="1">CONCATENATE(WORLDCUP!AA126,"-",WORLDCUP!AF126)</f>
        <v>Argentina-Estados Unidos</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0</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2-0</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0-2</v>
      </c>
      <c r="N207" s="25">
        <f>WORLDCUP!AC127</f>
        <v>0</v>
      </c>
      <c r="O207" s="25">
        <f>WORLDCUP!AD127</f>
        <v>2</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0</v>
      </c>
      <c r="B220" s="25">
        <f>WORLDCUP!AC131</f>
        <v>2</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0-2</v>
      </c>
      <c r="F220" s="415">
        <f>SUM($D$24:$D$26)*I220</f>
        <v>0</v>
      </c>
      <c r="G220" s="415">
        <f ca="1">VLOOKUP(H220,Equipos!$Q$1:$R$25,2,0)</f>
        <v>22</v>
      </c>
      <c r="H220" s="71" t="str">
        <f>Idiomas!$D$262</f>
        <v>Cuartos de final</v>
      </c>
      <c r="I220" s="49">
        <v>1</v>
      </c>
      <c r="J220" s="849"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2-0</v>
      </c>
      <c r="N220" s="25">
        <f>WORLDCUP!AC131</f>
        <v>2</v>
      </c>
      <c r="O220" s="25">
        <f>WORLDCUP!AD131</f>
        <v>0</v>
      </c>
      <c r="P220" s="25">
        <f t="shared" ref="P220:P223" si="236">+N220-O220</f>
        <v>2</v>
      </c>
      <c r="Q220" s="25">
        <f>+A220-B220</f>
        <v>-2</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0</v>
      </c>
      <c r="B221" s="25">
        <f>WORLDCUP!AC132</f>
        <v>1</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0-1</v>
      </c>
      <c r="F221" s="415">
        <f t="shared" ref="F221:F223" si="241">SUM($D$24:$D$26)*I221</f>
        <v>0</v>
      </c>
      <c r="G221" s="415">
        <f ca="1">VLOOKUP(H221,Equipos!$Q$1:$R$25,2,0)</f>
        <v>22</v>
      </c>
      <c r="H221" s="71" t="str">
        <f>Idiomas!$D$262</f>
        <v>Cuartos de final</v>
      </c>
      <c r="I221" s="49">
        <v>1</v>
      </c>
      <c r="J221" s="849"/>
      <c r="K221" s="62" t="str">
        <f ca="1">CONCATENATE(WORLDCUP!AA132,"-",WORLDCUP!AF132)</f>
        <v>España-Bélgica</v>
      </c>
      <c r="L221" s="59">
        <f>IF(OR(WORLDCUP!AC132="",WORLDCUP!AD132=""),"PD",IF(WORLDCUP!AC132&gt;WORLDCUP!AD132,1,IF(WORLDCUP!AC132&lt;WORLDCUP!AD132,2,0)))</f>
        <v>1</v>
      </c>
      <c r="M221" s="61" t="str">
        <f t="shared" si="235"/>
        <v>1-0</v>
      </c>
      <c r="N221" s="25">
        <f>WORLDCUP!AC132</f>
        <v>1</v>
      </c>
      <c r="O221" s="25">
        <f>WORLDCUP!AD132</f>
        <v>0</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2</v>
      </c>
      <c r="B222" s="25">
        <f>WORLDCUP!AC133</f>
        <v>0</v>
      </c>
      <c r="C222" s="25" t="str">
        <f ca="1">CONCATENATE(WORLDCUP!AF133,"-",WORLDCUP!AA133)</f>
        <v>Inglaterra-Brasil</v>
      </c>
      <c r="D222" s="25">
        <f>IF(WORLDCUP!AC133&gt;WORLDCUP!AD133,2,IF(WORLDCUP!AC133&lt;WORLDCUP!AD133,1,IF(AND(WORLDCUP!AC133=WORLDCUP!AD133,WORLDCUP!AC133&lt;&gt;"",WORLDCUP!AD133&lt;&gt;""),0,"PD")))</f>
        <v>1</v>
      </c>
      <c r="E222" s="25" t="str">
        <f>IF(OR(WORLDCUP!AD133="",WORLDCUP!AC133=""),"-",A222&amp;"-"&amp;B222)</f>
        <v>2-0</v>
      </c>
      <c r="F222" s="415">
        <f t="shared" si="241"/>
        <v>0</v>
      </c>
      <c r="G222" s="415">
        <f ca="1">VLOOKUP(H222,Equipos!$Q$1:$R$25,2,0)</f>
        <v>22</v>
      </c>
      <c r="H222" s="71" t="str">
        <f>Idiomas!$D$262</f>
        <v>Cuartos de final</v>
      </c>
      <c r="I222" s="49">
        <v>1</v>
      </c>
      <c r="J222" s="849"/>
      <c r="K222" s="62" t="str">
        <f ca="1">CONCATENATE(WORLDCUP!AA133,"-",WORLDCUP!AF133)</f>
        <v>Brasil-Inglaterra</v>
      </c>
      <c r="L222" s="59">
        <f>IF(OR(WORLDCUP!AC133="",WORLDCUP!AD133=""),"PD",IF(WORLDCUP!AC133&gt;WORLDCUP!AD133,1,IF(WORLDCUP!AC133&lt;WORLDCUP!AD133,2,0)))</f>
        <v>2</v>
      </c>
      <c r="M222" s="61" t="str">
        <f t="shared" si="235"/>
        <v>0-2</v>
      </c>
      <c r="N222" s="25">
        <f>WORLDCUP!AC133</f>
        <v>0</v>
      </c>
      <c r="O222" s="25">
        <f>WORLDCUP!AD133</f>
        <v>2</v>
      </c>
      <c r="P222" s="25">
        <f t="shared" si="236"/>
        <v>-2</v>
      </c>
      <c r="Q222" s="25">
        <f>+A222-B222</f>
        <v>2</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9"/>
      <c r="K223" s="121" t="str">
        <f ca="1">CONCATENATE(WORLDCUP!AA134,"-",WORLDCUP!AF134)</f>
        <v>Argentina-Portugal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Inglaterra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2</v>
      </c>
      <c r="B232" s="25">
        <f>WORLDCUP!AC138</f>
        <v>1</v>
      </c>
      <c r="C232" s="25" t="str">
        <f ca="1">CONCATENATE(WORLDCUP!AF138,"-",WORLDCUP!AA138)</f>
        <v>España-Francia</v>
      </c>
      <c r="D232" s="25">
        <f>IF(WORLDCUP!AC138&gt;WORLDCUP!AD138,2,IF(WORLDCUP!AC138&lt;WORLDCUP!AD138,1,IF(AND(WORLDCUP!AC138=WORLDCUP!AD138,WORLDCUP!AC138&lt;&gt;"",WORLDCUP!AD138&lt;&gt;""),0,"PD")))</f>
        <v>1</v>
      </c>
      <c r="E232" s="25" t="str">
        <f>IF(OR(WORLDCUP!AD138="",WORLDCUP!AC138=""),"-",A232&amp;"-"&amp;B232)</f>
        <v>2-1</v>
      </c>
      <c r="F232" s="415">
        <f>SUM($D$28:$D$30)*I232</f>
        <v>0</v>
      </c>
      <c r="G232" s="415">
        <f ca="1">VLOOKUP(H232,Equipos!$Q$1:$R$25,2,0)</f>
        <v>23</v>
      </c>
      <c r="H232" s="71" t="str">
        <f>Idiomas!$D$263</f>
        <v>Semifinales</v>
      </c>
      <c r="I232" s="49">
        <v>1</v>
      </c>
      <c r="J232" s="850" t="s">
        <v>35</v>
      </c>
      <c r="K232" s="59" t="str">
        <f ca="1">CONCATENATE(WORLDCUP!AA138,"-",WORLDCUP!AF138)</f>
        <v>Francia-España</v>
      </c>
      <c r="L232" s="59">
        <f>IF(OR(WORLDCUP!AC138="",WORLDCUP!AD138=""),"PD",IF(WORLDCUP!AC138&gt;WORLDCUP!AD138,1,IF(WORLDCUP!AC138&lt;WORLDCUP!AD138,2,0)))</f>
        <v>2</v>
      </c>
      <c r="M232" s="61" t="str">
        <f t="shared" ref="M232:M233" si="268">IF(L232="PD","-",N232&amp;"-"&amp;O232)</f>
        <v>1-2</v>
      </c>
      <c r="N232" s="25">
        <f>WORLDCUP!AC138</f>
        <v>1</v>
      </c>
      <c r="O232" s="25">
        <f>WORLDCUP!AD138</f>
        <v>2</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0</v>
      </c>
      <c r="B233" s="25">
        <f>WORLDCUP!AC139</f>
        <v>1</v>
      </c>
      <c r="C233" s="25" t="str">
        <f ca="1">CONCATENATE(WORLDCUP!AF139,"-",WORLDCUP!AA139)</f>
        <v>Portugal-Inglaterra</v>
      </c>
      <c r="D233" s="25">
        <f>IF(WORLDCUP!AC139&gt;WORLDCUP!AD139,2,IF(WORLDCUP!AC139&lt;WORLDCUP!AD139,1,IF(AND(WORLDCUP!AC139=WORLDCUP!AD139,WORLDCUP!AC139&lt;&gt;"",WORLDCUP!AD139&lt;&gt;""),0,"PD")))</f>
        <v>2</v>
      </c>
      <c r="E233" s="25" t="str">
        <f>IF(OR(WORLDCUP!AD139="",WORLDCUP!AC139=""),"-",A233&amp;"-"&amp;B233)</f>
        <v>0-1</v>
      </c>
      <c r="F233" s="415">
        <f>SUM($D$28:$D$30)*I233</f>
        <v>0</v>
      </c>
      <c r="G233" s="415">
        <f ca="1">VLOOKUP(H233,Equipos!$Q$1:$R$25,2,0)</f>
        <v>23</v>
      </c>
      <c r="H233" s="71" t="str">
        <f>Idiomas!$D$263</f>
        <v>Semifinales</v>
      </c>
      <c r="I233" s="49">
        <v>1</v>
      </c>
      <c r="J233" s="850"/>
      <c r="K233" s="62" t="str">
        <f ca="1">CONCATENATE(WORLDCUP!AA139,"-",WORLDCUP!AF139)</f>
        <v>Inglaterra-Portugal</v>
      </c>
      <c r="L233" s="59">
        <f>IF(OR(WORLDCUP!AC139="",WORLDCUP!AD139=""),"PD",IF(WORLDCUP!AC139&gt;WORLDCUP!AD139,1,IF(WORLDCUP!AC139&lt;WORLDCUP!AD139,2,0)))</f>
        <v>1</v>
      </c>
      <c r="M233" s="61" t="str">
        <f t="shared" si="268"/>
        <v>1-0</v>
      </c>
      <c r="N233" s="25">
        <f>WORLDCUP!AC139</f>
        <v>1</v>
      </c>
      <c r="O233" s="25">
        <f>WORLDCUP!AD139</f>
        <v>0</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Francia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Portugal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Inglaterra</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
      <c r="A244" s="25">
        <f>WORLDCUP!AD143</f>
        <v>1</v>
      </c>
      <c r="B244" s="25">
        <f>WORLDCUP!AC143</f>
        <v>2</v>
      </c>
      <c r="C244" s="25" t="str">
        <f ca="1">CONCATENATE(WORLDCUP!AF143,"-",WORLDCUP!AA143)</f>
        <v>Portugal-Francia</v>
      </c>
      <c r="D244" s="25">
        <f>IF(WORLDCUP!AC143&gt;WORLDCUP!AD143,2,IF(WORLDCUP!AC143&lt;WORLDCUP!AD143,1,IF(AND(WORLDCUP!AC143=WORLDCUP!AD143,WORLDCUP!AC143&lt;&gt;"",WORLDCUP!AD143&lt;&gt;""),0,"PD")))</f>
        <v>2</v>
      </c>
      <c r="E244" s="25" t="str">
        <f>IF(OR(WORLDCUP!AD143="",WORLDCUP!AC143=""),"-",A244&amp;"-"&amp;B244)</f>
        <v>1-2</v>
      </c>
      <c r="F244" s="415">
        <f>SUM($D$33:$D$35)*$I$244</f>
        <v>0</v>
      </c>
      <c r="G244" s="415">
        <f ca="1">VLOOKUP(H244,Equipos!$Q$1:$R$25,2,0)</f>
        <v>24</v>
      </c>
      <c r="H244" s="71" t="str">
        <f>Idiomas!$D$264</f>
        <v>3-4 &amp; Final</v>
      </c>
      <c r="I244" s="49">
        <v>1</v>
      </c>
      <c r="J244" s="104" t="s">
        <v>493</v>
      </c>
      <c r="K244" s="120" t="str">
        <f ca="1">CONCATENATE(WORLDCUP!AA143,"-",WORLDCUP!AF143)</f>
        <v>Francia-Portugal</v>
      </c>
      <c r="L244" s="120">
        <f>IF(OR(WORLDCUP!AC143="",WORLDCUP!AD143=""),"PD",IF(WORLDCUP!AC143&gt;WORLDCUP!AD143,1,IF(WORLDCUP!AC143&lt;WORLDCUP!AD143,2,0)))</f>
        <v>1</v>
      </c>
      <c r="M244" s="123" t="str">
        <f>IF(L244="PD","-",N244&amp;"-"&amp;O244)</f>
        <v>2-1</v>
      </c>
      <c r="N244" s="25">
        <f>WORLDCUP!AC143</f>
        <v>2</v>
      </c>
      <c r="O244" s="25">
        <f>WORLDCUP!AD143</f>
        <v>1</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
      <c r="A247" s="25">
        <f>WORLDCUP!AD147</f>
        <v>1</v>
      </c>
      <c r="B247" s="25">
        <f>WORLDCUP!AC147</f>
        <v>2</v>
      </c>
      <c r="C247" s="25" t="str">
        <f ca="1">CONCATENATE(WORLDCUP!AF147,"-",WORLDCUP!AA147)</f>
        <v>Inglaterra-España</v>
      </c>
      <c r="D247" s="25">
        <f>IF(WORLDCUP!AC147&gt;WORLDCUP!AD147,2,IF(WORLDCUP!AC147&lt;WORLDCUP!AD147,1,IF(AND(WORLDCUP!AC147=WORLDCUP!AD147,WORLDCUP!AC147&lt;&gt;"",WORLDCUP!AD147&lt;&gt;""),0,"PD")))</f>
        <v>2</v>
      </c>
      <c r="E247" s="25" t="str">
        <f>IF(OR(WORLDCUP!AD147="",WORLDCUP!AC147=""),"-",A247&amp;"-"&amp;B247)</f>
        <v>1-2</v>
      </c>
      <c r="F247" s="415">
        <f>SUM($D$36:$D$38)*$I$247</f>
        <v>0</v>
      </c>
      <c r="G247" s="415">
        <f ca="1">VLOOKUP(H247,Equipos!$Q$1:$R$25,2,0)</f>
        <v>24</v>
      </c>
      <c r="H247" s="71" t="str">
        <f>Idiomas!$D$264</f>
        <v>3-4 &amp; Final</v>
      </c>
      <c r="I247" s="49">
        <v>1</v>
      </c>
      <c r="J247" s="104" t="s">
        <v>4</v>
      </c>
      <c r="K247" s="120" t="str">
        <f ca="1">CONCATENATE(WORLDCUP!AA147,"-",WORLDCUP!AF147)</f>
        <v>España-Inglaterra</v>
      </c>
      <c r="L247" s="120">
        <f>IF(OR(WORLDCUP!AC147="",WORLDCUP!AD147=""),"PD",IF(WORLDCUP!AC147&gt;WORLDCUP!AD147,1,IF(WORLDCUP!AC147&lt;WORLDCUP!AD147,2,0)))</f>
        <v>1</v>
      </c>
      <c r="M247" s="123" t="str">
        <f>IF(L247="PD","-",N247&amp;"-"&amp;O247)</f>
        <v>2-1</v>
      </c>
      <c r="N247" s="25">
        <f>WORLDCUP!AC147</f>
        <v>2</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Inglaterra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Francia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Harry Kane</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Mbappe</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Dembele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Lamine</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Mbappe</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Dembele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defaultColWidth="0" defaultRowHeight="14.5"/>
  <cols>
    <col min="1" max="1" width="4.7265625" style="7" customWidth="1"/>
    <col min="2" max="2" width="4.7265625" style="1" bestFit="1" customWidth="1"/>
    <col min="3" max="3" width="22.7265625" style="1" customWidth="1"/>
    <col min="4" max="21" width="10.81640625" style="1" customWidth="1"/>
    <col min="22" max="16384" width="10.8164062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9"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defaultColWidth="0" defaultRowHeight="14.5"/>
  <cols>
    <col min="1" max="1" width="27.26953125" style="5" hidden="1" customWidth="1"/>
    <col min="2" max="2" width="38" style="5" hidden="1" customWidth="1"/>
    <col min="3" max="4" width="10.81640625" style="5" hidden="1" customWidth="1"/>
    <col min="5" max="5" width="2.453125" style="20" customWidth="1"/>
    <col min="6" max="6" width="25.1796875" style="1" customWidth="1"/>
    <col min="7" max="38" width="25.81640625" style="1" customWidth="1"/>
    <col min="39" max="41" width="10.81640625" style="1" customWidth="1"/>
    <col min="42" max="16384" width="10.81640625" style="1" hidden="1"/>
  </cols>
  <sheetData>
    <row r="1" spans="1:41" ht="40"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5" customHeight="1" thickBot="1">
      <c r="E3" s="19"/>
      <c r="F3" s="457" t="str">
        <f>Idiomas!D475</f>
        <v>Nombre</v>
      </c>
      <c r="G3" s="457" t="str" cm="1">
        <f t="array" aca="1" ref="G3:AL3" ca="1">TRANSPOSE($B$4:$B$35)</f>
        <v>México-Sudáfrica
 (1|2-1)</v>
      </c>
      <c r="H3" s="457" t="str">
        <f ca="1"/>
        <v>Corea del Sur-República Checa
 (X|1-1)</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(1|2-1)</v>
      </c>
      <c r="C4" s="5" t="str" cm="1">
        <f t="array" aca="1" ref="C4" ca="1">IFERROR(IF(INDEX(ADMIN!$M$6:$M$258,SMALL(IF(ADMIN!$G$6:$G$258=$J$1,ROW(ADMIN!$G$6:$G$258)-ROW(ADMIN!$G$6)+1),ROWS($A$1:A1)))="-",""," ("&amp;INDEX(ADMIN!$M$6:$M$258,SMALL(IF(ADMIN!$G$6:$G$258=$J$1,ROW(ADMIN!$G$6:$G$258)-ROW(ADMIN!$G$6)+1),ROWS($A$1:A1)))&amp;")"),"")</f>
        <v xml:space="preserve"> (1|2-1)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(X|1-1)</v>
      </c>
      <c r="C5" s="5" t="str" cm="1">
        <f t="array" aca="1" ref="C5" ca="1">IFERROR(IF(INDEX(ADMIN!$M$6:$M$258,SMALL(IF(ADMIN!$G$6:$G$258=$J$1,ROW(ADMIN!$G$6:$G$258)-ROW(ADMIN!$G$6)+1),ROWS($A$1:A2)))="-", "", " ("&amp;INDEX(ADMIN!$M$6:$M$258,SMALL(IF(ADMIN!$G$6:$G$258=$J$1,ROW(ADMIN!$G$6:$G$258)-ROW(ADMIN!$G$6)+1),ROWS($A$1:A2)))&amp;")"),"")</f>
        <v xml:space="preserve"> (X|1-1)</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defaultColWidth="0" defaultRowHeight="14.5"/>
  <cols>
    <col min="1" max="1" width="25.26953125" style="5" hidden="1" customWidth="1"/>
    <col min="2" max="2" width="35.26953125" style="5" hidden="1" customWidth="1"/>
    <col min="3" max="3" width="10.81640625" style="5" hidden="1" customWidth="1"/>
    <col min="4" max="4" width="3.453125" style="20" customWidth="1"/>
    <col min="5" max="5" width="4.1796875" style="1" bestFit="1" customWidth="1"/>
    <col min="6" max="6" width="24.7265625" style="1" customWidth="1"/>
    <col min="7" max="39" width="25.81640625" style="1" customWidth="1"/>
    <col min="40" max="40" width="10.81640625" style="1" customWidth="1"/>
    <col min="41" max="16384" width="10.81640625" style="1" hidden="1"/>
  </cols>
  <sheetData>
    <row r="1" spans="1:40" ht="40"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5" customHeight="1" thickBot="1">
      <c r="D3" s="19"/>
      <c r="E3" s="457" t="str">
        <f>Idiomas!D479</f>
        <v>Pos</v>
      </c>
      <c r="F3" s="457" t="str">
        <f>Idiomas!D480</f>
        <v>Nombre</v>
      </c>
      <c r="G3" s="457" t="str">
        <f>Idiomas!D481</f>
        <v>Puntos Día / Eliminatoria</v>
      </c>
      <c r="H3" s="457" t="str" cm="1">
        <f t="array" aca="1" ref="H3:AM3" ca="1">TRANSPOSE($B$4:$B$35)</f>
        <v>México-Sudáfrica
 (1|2-1)</v>
      </c>
      <c r="I3" s="457" t="str">
        <f ca="1"/>
        <v>Corea del Sur-República Checa
 (X|1-1)</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(X|1-1)</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defaultColWidth="10.90625" defaultRowHeight="14.5"/>
  <cols>
    <col min="4" max="4" width="19.7265625" customWidth="1"/>
    <col min="7" max="7" width="17.26953125" style="9" bestFit="1" customWidth="1"/>
    <col min="8" max="8" width="13" style="9" bestFit="1" customWidth="1"/>
    <col min="9" max="10" width="13" bestFit="1" customWidth="1"/>
    <col min="11" max="12" width="12.2695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defaultColWidth="10.81640625" defaultRowHeight="14.5"/>
  <cols>
    <col min="1" max="2" width="10.81640625" style="21" hidden="1" customWidth="1"/>
    <col min="3" max="3" width="2.26953125" customWidth="1"/>
    <col min="4" max="4" width="46.1796875" customWidth="1"/>
    <col min="5" max="6" width="12.81640625" customWidth="1"/>
    <col min="7" max="7" width="3.81640625" customWidth="1"/>
    <col min="8" max="8" width="32.1796875" customWidth="1"/>
    <col min="9" max="9" width="26.7265625" bestFit="1" customWidth="1"/>
    <col min="10" max="11" width="2.26953125" customWidth="1"/>
    <col min="12" max="12" width="19" bestFit="1" customWidth="1"/>
    <col min="13" max="20" width="11.26953125" customWidth="1"/>
    <col min="21" max="22" width="10.81640625" customWidth="1"/>
    <col min="23" max="23" width="23.81640625" customWidth="1"/>
    <col min="24" max="24" width="21.26953125" customWidth="1"/>
    <col min="25" max="25" width="24.453125" customWidth="1"/>
    <col min="26" max="26" width="17.81640625" customWidth="1"/>
    <col min="27" max="53" width="10.8164062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5"/>
  <cols>
    <col min="1" max="1" width="3.26953125" style="20" customWidth="1"/>
    <col min="2" max="2" width="2.7265625" style="8" customWidth="1"/>
    <col min="3" max="3" width="5.7265625" style="1" bestFit="1" customWidth="1"/>
    <col min="4" max="5" width="3.26953125" style="1" customWidth="1"/>
    <col min="6" max="6" width="6.1796875" style="1" customWidth="1"/>
    <col min="7" max="7" width="2.453125" style="1" bestFit="1" customWidth="1"/>
    <col min="8" max="9" width="3.81640625" style="1" customWidth="1"/>
    <col min="10" max="10" width="4.453125" style="1" customWidth="1"/>
    <col min="11" max="11" width="4.81640625" style="1" customWidth="1"/>
    <col min="12" max="12" width="3.26953125" style="1" hidden="1" customWidth="1"/>
    <col min="13" max="13" width="1.7265625" style="20" customWidth="1"/>
    <col min="14" max="14" width="2.7265625" style="8" customWidth="1"/>
    <col min="15" max="15" width="4.26953125" style="1" bestFit="1" customWidth="1"/>
    <col min="16" max="17" width="3.26953125" style="1" customWidth="1"/>
    <col min="18" max="18" width="5.1796875" style="1" bestFit="1" customWidth="1"/>
    <col min="19" max="19" width="2.453125" style="1" bestFit="1" customWidth="1"/>
    <col min="20" max="20" width="4.26953125" style="1" bestFit="1" customWidth="1"/>
    <col min="21" max="22" width="3.7265625" style="1" customWidth="1"/>
    <col min="23" max="23" width="4.81640625" style="1" customWidth="1"/>
    <col min="24" max="24" width="4.26953125" style="20" hidden="1" customWidth="1"/>
    <col min="25" max="25" width="2.81640625" style="8" customWidth="1"/>
    <col min="26" max="26" width="7.453125" style="8" bestFit="1" customWidth="1"/>
    <col min="27" max="27" width="5.81640625" style="1" customWidth="1"/>
    <col min="28" max="29" width="4.26953125" style="1" customWidth="1"/>
    <col min="30" max="30" width="2.81640625" style="8" customWidth="1"/>
    <col min="31" max="31" width="5.81640625" style="1" customWidth="1"/>
    <col min="32" max="33" width="4.26953125" style="1" customWidth="1"/>
    <col min="34" max="34" width="2.81640625" style="8" customWidth="1"/>
    <col min="35" max="35" width="5.81640625" style="1" customWidth="1"/>
    <col min="36" max="37" width="4.26953125" style="1" customWidth="1"/>
    <col min="38" max="38" width="2.81640625" style="8" customWidth="1"/>
    <col min="39" max="39" width="5.81640625" style="1" customWidth="1"/>
    <col min="40" max="41" width="4.26953125" style="1" customWidth="1"/>
    <col min="42" max="42" width="2.81640625" style="8" customWidth="1"/>
    <col min="43" max="43" width="5.81640625" style="1" customWidth="1"/>
    <col min="44" max="45" width="4.26953125" style="1" customWidth="1"/>
    <col min="46" max="46" width="2.81640625" style="8" customWidth="1"/>
    <col min="47" max="47" width="5.81640625" style="1" customWidth="1"/>
    <col min="48" max="49" width="4.26953125" style="1" customWidth="1"/>
    <col min="50" max="50" width="4" style="1" bestFit="1" customWidth="1"/>
    <col min="51" max="51" width="3.26953125" style="1" customWidth="1"/>
    <col min="52" max="54" width="7.81640625" style="1" customWidth="1"/>
    <col min="55" max="55" width="3.26953125" style="1" customWidth="1"/>
    <col min="56" max="58" width="2.453125" style="1" bestFit="1" customWidth="1"/>
    <col min="59" max="59" width="18.453125" style="1" customWidth="1"/>
    <col min="60" max="67" width="4.81640625" style="1" customWidth="1"/>
    <col min="68" max="68" width="10.81640625" style="1" customWidth="1"/>
    <col min="69" max="16384" width="10.81640625" style="1" hidden="1"/>
  </cols>
  <sheetData>
    <row r="1" spans="1:67" ht="8.15"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2</v>
      </c>
      <c r="K4" s="544" t="str">
        <f ca="1">+INDEX(WORLDCUP!$AR$6:$AR$97,MATCH(L4,WORLDCUP!$AI$6:$AI$97,0))&amp;"-"&amp;INDEX(WORLDCUP!$AS$6:$AS$97,MATCH(L4,WORLDCUP!$AI$6:$AI$97,0))</f>
        <v>5-3</v>
      </c>
      <c r="L4" s="19" t="s">
        <v>645</v>
      </c>
      <c r="M4" s="19">
        <v>15</v>
      </c>
      <c r="N4" s="545"/>
      <c r="O4" s="537" t="str">
        <f ca="1">+MID(INDEX(WORLDCUP!$AA$4:$AA$147,MATCH(M4,WORLDCUP!$AH$4:$AH$147,0)),1,3)</f>
        <v>Irá</v>
      </c>
      <c r="P4" s="538">
        <f>IF(ISBLANK(INDEX(WORLDCUP!$AC$4:$AC$147,MATCH(M4,WORLDCUP!$AH$4:$AH$147,0))),"",INDEX(WORLDCUP!$AC$4:$AC$147,MATCH(M4,WORLDCUP!$AH$4:$AH$147,0)))</f>
        <v>1</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5</v>
      </c>
      <c r="W4" s="544" t="str">
        <f ca="1">+INDEX(WORLDCUP!$AR$6:$AR$97,MATCH(X4,WORLDCUP!$AI$6:$AI$97,0))&amp;"-"&amp;INDEX(WORLDCUP!$AS$6:$AS$97,MATCH(X4,WORLDCUP!$AI$6:$AI$97,0))</f>
        <v>6-1</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0</v>
      </c>
      <c r="F5" s="539" t="str">
        <f ca="1">+MID(INDEX(WORLDCUP!$AF$4:$AF$147,MATCH(A5,WORLDCUP!$AH$4:$AH$147,0)),1,3)</f>
        <v>Sud</v>
      </c>
      <c r="G5" s="560">
        <v>2</v>
      </c>
      <c r="H5" s="561" t="str">
        <f ca="1">+MID(INDEX(WORLDCUP!$AL$6:$AL$97,MATCH(L5,WORLDCUP!$AI$6:$AI$97,0)),1,3)</f>
        <v>Rep</v>
      </c>
      <c r="I5" s="229">
        <f ca="1">+INDEX(WORLDCUP!$AM$6:$AM$97,MATCH(L5,WORLDCUP!$AI$6:$AI$97,0))</f>
        <v>5</v>
      </c>
      <c r="J5" s="230">
        <f ca="1">+INDEX(WORLDCUP!$AT$6:$AT$97,MATCH(L5,WORLDCUP!$AI$6:$AI$97,0))</f>
        <v>1</v>
      </c>
      <c r="K5" s="231" t="str">
        <f ca="1">+INDEX(WORLDCUP!$AR$6:$AR$97,MATCH(L5,WORLDCUP!$AI$6:$AI$97,0))&amp;"-"&amp;INDEX(WORLDCUP!$AS$6:$AS$97,MATCH(L5,WORLDCUP!$AI$6:$AI$97,0))</f>
        <v>3-2</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Egi</v>
      </c>
      <c r="U5" s="229">
        <f ca="1">+INDEX(WORLDCUP!$AM$6:$AM$97,MATCH(X5,WORLDCUP!$AI$6:$AI$97,0))</f>
        <v>6</v>
      </c>
      <c r="V5" s="230">
        <f ca="1">+INDEX(WORLDCUP!$AT$6:$AT$97,MATCH(X5,WORLDCUP!$AI$6:$AI$97,0))</f>
        <v>1</v>
      </c>
      <c r="W5" s="231" t="str">
        <f ca="1">+INDEX(WORLDCUP!$AR$6:$AR$97,MATCH(X5,WORLDCUP!$AI$6:$AI$97,0))&amp;"-"&amp;INDEX(WORLDCUP!$AS$6:$AS$97,MATCH(X5,WORLDCUP!$AI$6:$AI$97,0))</f>
        <v>4-3</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4</v>
      </c>
      <c r="J6" s="230">
        <f ca="1">+INDEX(WORLDCUP!$AT$6:$AT$97,MATCH(L6,WORLDCUP!$AI$6:$AI$97,0))</f>
        <v>0</v>
      </c>
      <c r="K6" s="231" t="str">
        <f ca="1">+INDEX(WORLDCUP!$AR$6:$AR$97,MATCH(L6,WORLDCUP!$AI$6:$AI$97,0))&amp;"-"&amp;INDEX(WORLDCUP!$AS$6:$AS$97,MATCH(L6,WORLDCUP!$AI$6:$AI$97,0))</f>
        <v>3-3</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Nue</v>
      </c>
      <c r="U6" s="229">
        <f ca="1">+INDEX(WORLDCUP!$AM$6:$AM$97,MATCH(X6,WORLDCUP!$AI$6:$AI$97,0))</f>
        <v>1</v>
      </c>
      <c r="V6" s="230">
        <f ca="1">+INDEX(WORLDCUP!$AT$6:$AT$97,MATCH(X6,WORLDCUP!$AI$6:$AI$97,0))</f>
        <v>-3</v>
      </c>
      <c r="W6" s="231" t="str">
        <f ca="1">+INDEX(WORLDCUP!$AR$6:$AR$97,MATCH(X6,WORLDCUP!$AI$6:$AI$97,0))&amp;"-"&amp;INDEX(WORLDCUP!$AS$6:$AS$97,MATCH(X6,WORLDCUP!$AI$6:$AI$97,0))</f>
        <v>2-5</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-3</v>
      </c>
      <c r="K7" s="572" t="str">
        <f ca="1">+INDEX(WORLDCUP!$AR$6:$AR$97,MATCH(L7,WORLDCUP!$AI$6:$AI$97,0))&amp;"-"&amp;INDEX(WORLDCUP!$AS$6:$AS$97,MATCH(L7,WORLDCUP!$AI$6:$AI$97,0))</f>
        <v>1-4</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0</v>
      </c>
      <c r="R7" s="539" t="str">
        <f ca="1">+MID(INDEX(WORLDCUP!$AF$4:$AF$147,MATCH(M7,WORLDCUP!$AH$4:$AH$147,0)),1,3)</f>
        <v>Irá</v>
      </c>
      <c r="S7" s="560">
        <v>4</v>
      </c>
      <c r="T7" s="569" t="str">
        <f ca="1">+MID(INDEX(WORLDCUP!$AL$6:$AL$97,MATCH(X7,WORLDCUP!$AI$6:$AI$97,0)),1,3)</f>
        <v>Irá</v>
      </c>
      <c r="U7" s="570">
        <f ca="1">+INDEX(WORLDCUP!$AM$6:$AM$97,MATCH(X7,WORLDCUP!$AI$6:$AI$97,0))</f>
        <v>1</v>
      </c>
      <c r="V7" s="571">
        <f ca="1">+INDEX(WORLDCUP!$AT$6:$AT$97,MATCH(X7,WORLDCUP!$AI$6:$AI$97,0))</f>
        <v>-3</v>
      </c>
      <c r="W7" s="572" t="str">
        <f ca="1">+INDEX(WORLDCUP!$AR$6:$AR$97,MATCH(X7,WORLDCUP!$AI$6:$AI$97,0))&amp;"-"&amp;INDEX(WORLDCUP!$AS$6:$AS$97,MATCH(X7,WORLDCUP!$AI$6:$AI$97,0))</f>
        <v>1-4</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0</v>
      </c>
      <c r="E8" s="581">
        <f>IF(ISBLANK(INDEX(WORLDCUP!$AD$4:$AD$147,MATCH(A8,WORLDCUP!$AH$4:$AH$147,0))),"",INDEX(WORLDCUP!$AD$4:$AD$147,MATCH(A8,WORLDCUP!$AH$4:$AH$147,0)))</f>
        <v>1</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Rep</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Can</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0</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3</v>
      </c>
      <c r="K12" s="544" t="str">
        <f ca="1">+INDEX(WORLDCUP!$AR$6:$AR$97,MATCH(L12,WORLDCUP!$AI$6:$AI$97,0))&amp;"-"&amp;INDEX(WORLDCUP!$AS$6:$AS$97,MATCH(L12,WORLDCUP!$AI$6:$AI$97,0))</f>
        <v>4-1</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7</v>
      </c>
      <c r="W12" s="544" t="str">
        <f ca="1">+INDEX(WORLDCUP!$AR$6:$AR$97,MATCH(X12,WORLDCUP!$AI$6:$AI$97,0))&amp;"-"&amp;INDEX(WORLDCUP!$AS$6:$AS$97,MATCH(X12,WORLDCUP!$AI$6:$AI$97,0))</f>
        <v>8-1</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( 3 )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1</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1</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Can</v>
      </c>
      <c r="I13" s="229">
        <f ca="1">+INDEX(WORLDCUP!$AM$6:$AM$97,MATCH(L13,WORLDCUP!$AI$6:$AI$97,0))</f>
        <v>7</v>
      </c>
      <c r="J13" s="230">
        <f ca="1">+INDEX(WORLDCUP!$AT$6:$AT$97,MATCH(L13,WORLDCUP!$AI$6:$AI$97,0))</f>
        <v>2</v>
      </c>
      <c r="K13" s="231" t="str">
        <f ca="1">+INDEX(WORLDCUP!$AR$6:$AR$97,MATCH(L13,WORLDCUP!$AI$6:$AI$97,0))&amp;"-"&amp;INDEX(WORLDCUP!$AS$6:$AS$97,MATCH(L13,WORLDCUP!$AI$6:$AI$97,0))</f>
        <v>4-2</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2</v>
      </c>
      <c r="W13" s="231" t="str">
        <f ca="1">+INDEX(WORLDCUP!$AR$6:$AR$97,MATCH(X13,WORLDCUP!$AI$6:$AI$97,0))&amp;"-"&amp;INDEX(WORLDCUP!$AS$6:$AS$97,MATCH(X13,WORLDCUP!$AI$6:$AI$97,0))</f>
        <v>5-3</v>
      </c>
      <c r="X13" s="19" t="s">
        <v>671</v>
      </c>
      <c r="Y13" s="19">
        <v>75</v>
      </c>
      <c r="Z13" s="518" t="s">
        <v>656</v>
      </c>
      <c r="AA13" s="573" t="str">
        <f ca="1">+MID(INDEX(WORLDCUP!$AF$101:$AF$147,MATCH(Y13,WORLDCUP!$Z$101:$Z$147,0)),1,3)</f>
        <v>Mar</v>
      </c>
      <c r="AB13" s="574">
        <f>+IF(ISBLANK(INDEX(WORLDCUP!$AD$101:$AD$147,MATCH(Y13,WORLDCUP!$Z$101:$Z$147,0))),"",INDEX(WORLDCUP!$AD$101:$AD$147,MATCH(Y13,WORLDCUP!$Z$101:$Z$147,0)))</f>
        <v>2</v>
      </c>
      <c r="AC13" s="600" t="str">
        <f>+IF(ISBLANK(INDEX(WORLDCUP!$AE$101:$AE$147,MATCH(Y13,WORLDCUP!$Z$101:$Z$147,0))),"","( "&amp;INDEX(WORLDCUP!$AE$101:$AE$147,MATCH(Y13,WORLDCUP!$Z$101:$Z$147,0))&amp;" )")</f>
        <v>( 2 )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1</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Bos</v>
      </c>
      <c r="I14" s="229">
        <f ca="1">+INDEX(WORLDCUP!$AM$6:$AM$97,MATCH(L14,WORLDCUP!$AI$6:$AI$97,0))</f>
        <v>3</v>
      </c>
      <c r="J14" s="230">
        <f ca="1">+INDEX(WORLDCUP!$AT$6:$AT$97,MATCH(L14,WORLDCUP!$AI$6:$AI$97,0))</f>
        <v>-1</v>
      </c>
      <c r="K14" s="231" t="str">
        <f ca="1">+INDEX(WORLDCUP!$AR$6:$AR$97,MATCH(L14,WORLDCUP!$AI$6:$AI$97,0))&amp;"-"&amp;INDEX(WORLDCUP!$AS$6:$AS$97,MATCH(L14,WORLDCUP!$AI$6:$AI$97,0))</f>
        <v>1-2</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-4</v>
      </c>
      <c r="W14" s="231" t="str">
        <f ca="1">+INDEX(WORLDCUP!$AR$6:$AR$97,MATCH(X14,WORLDCUP!$AI$6:$AI$97,0))&amp;"-"&amp;INDEX(WORLDCUP!$AS$6:$AS$97,MATCH(X14,WORLDCUP!$AI$6:$AI$97,0))</f>
        <v>1-5</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2</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-4</v>
      </c>
      <c r="K15" s="572" t="str">
        <f ca="1">+INDEX(WORLDCUP!$AR$6:$AR$97,MATCH(L15,WORLDCUP!$AI$6:$AI$97,0))&amp;"-"&amp;INDEX(WORLDCUP!$AS$6:$AS$97,MATCH(L15,WORLDCUP!$AI$6:$AI$97,0))</f>
        <v>1-5</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-5</v>
      </c>
      <c r="W15" s="572" t="str">
        <f ca="1">+INDEX(WORLDCUP!$AR$6:$AR$97,MATCH(X15,WORLDCUP!$AI$6:$AI$97,0))&amp;"-"&amp;INDEX(WORLDCUP!$AS$6:$AS$97,MATCH(X15,WORLDCUP!$AI$6:$AI$97,0))</f>
        <v>1-6</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1</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3</v>
      </c>
      <c r="AC16" s="547" t="str">
        <f>+IF(ISBLANK(INDEX(WORLDCUP!$AE$101:$AE$147,MATCH(Y16,WORLDCUP!$Z$101:$Z$147,0))),"","( "&amp;INDEX(WORLDCUP!$AE$101:$AE$147,MATCH(Y16,WORLDCUP!$Z$101:$Z$147,0))&amp;" )")</f>
        <v/>
      </c>
      <c r="AD16" s="548">
        <v>93</v>
      </c>
      <c r="AE16" s="549" t="str">
        <f ca="1">+MID(INDEX(WORLDCUP!$AA$101:$AA$147,MATCH(AD16,WORLDCUP!$Z$101:$Z$147,0)),1,3)</f>
        <v>Cro</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2</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0</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1</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1</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1</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6</v>
      </c>
      <c r="K20" s="544" t="str">
        <f ca="1">+INDEX(WORLDCUP!$AR$6:$AR$97,MATCH(L20,WORLDCUP!$AI$6:$AI$97,0))&amp;"-"&amp;INDEX(WORLDCUP!$AS$6:$AS$97,MATCH(L20,WORLDCUP!$AI$6:$AI$97,0))</f>
        <v>8-2</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3</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7</v>
      </c>
      <c r="W20" s="544" t="str">
        <f ca="1">+INDEX(WORLDCUP!$AR$6:$AR$97,MATCH(X20,WORLDCUP!$AI$6:$AI$97,0))&amp;"-"&amp;INDEX(WORLDCUP!$AS$6:$AS$97,MATCH(X20,WORLDCUP!$AI$6:$AI$97,0))</f>
        <v>8-1</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0</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2</v>
      </c>
      <c r="K21" s="231" t="str">
        <f ca="1">+INDEX(WORLDCUP!$AR$6:$AR$97,MATCH(L21,WORLDCUP!$AI$6:$AI$97,0))&amp;"-"&amp;INDEX(WORLDCUP!$AS$6:$AS$97,MATCH(L21,WORLDCUP!$AI$6:$AI$97,0))</f>
        <v>5-3</v>
      </c>
      <c r="L21" s="19" t="s">
        <v>656</v>
      </c>
      <c r="M21" s="19">
        <v>42</v>
      </c>
      <c r="N21" s="615"/>
      <c r="O21" s="537" t="str">
        <f ca="1">+MID(INDEX(WORLDCUP!$AA$4:$AA$147,MATCH(M21,WORLDCUP!$AH$4:$AH$147,0)),1,3)</f>
        <v>Fra</v>
      </c>
      <c r="P21" s="538">
        <f>IF(ISBLANK(INDEX(WORLDCUP!$AC$4:$AC$147,MATCH(M21,WORLDCUP!$AH$4:$AH$147,0))),"",INDEX(WORLDCUP!$AC$4:$AC$147,MATCH(M21,WORLDCUP!$AH$4:$AH$147,0)))</f>
        <v>4</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6</v>
      </c>
      <c r="V21" s="230">
        <f ca="1">+INDEX(WORLDCUP!$AT$6:$AT$97,MATCH(X21,WORLDCUP!$AI$6:$AI$97,0))</f>
        <v>3</v>
      </c>
      <c r="W21" s="231" t="str">
        <f ca="1">+INDEX(WORLDCUP!$AR$6:$AR$97,MATCH(X21,WORLDCUP!$AI$6:$AI$97,0))&amp;"-"&amp;INDEX(WORLDCUP!$AS$6:$AS$97,MATCH(X21,WORLDCUP!$AI$6:$AI$97,0))</f>
        <v>5-2</v>
      </c>
      <c r="X21" s="19" t="s">
        <v>674</v>
      </c>
      <c r="Y21" s="19">
        <v>81</v>
      </c>
      <c r="Z21" s="518" t="s">
        <v>658</v>
      </c>
      <c r="AA21" s="519" t="str">
        <f ca="1">+MID(INDEX(WORLDCUP!$AA$101:$AA$147,MATCH(Y21,WORLDCUP!$Z$101:$Z$147,0)),1,3)</f>
        <v>Tur</v>
      </c>
      <c r="AB21" s="520">
        <f>+IF(ISBLANK(INDEX(WORLDCUP!$AC$101:$AC$147,MATCH(Y21,WORLDCUP!$Z$101:$Z$147,0))),"",INDEX(WORLDCUP!$AC$101:$AC$147,MATCH(Y21,WORLDCUP!$Z$101:$Z$147,0)))</f>
        <v>1</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4</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0</v>
      </c>
      <c r="K22" s="231" t="str">
        <f ca="1">+INDEX(WORLDCUP!$AR$6:$AR$97,MATCH(L22,WORLDCUP!$AI$6:$AI$97,0))&amp;"-"&amp;INDEX(WORLDCUP!$AS$6:$AS$97,MATCH(L22,WORLDCUP!$AI$6:$AI$97,0))</f>
        <v>3-3</v>
      </c>
      <c r="L22" s="19" t="s">
        <v>91</v>
      </c>
      <c r="M22" s="19">
        <v>41</v>
      </c>
      <c r="N22" s="615"/>
      <c r="O22" s="537" t="str">
        <f ca="1">+MID(INDEX(WORLDCUP!$AA$4:$AA$147,MATCH(M22,WORLDCUP!$AH$4:$AH$147,0)),1,3)</f>
        <v>Nor</v>
      </c>
      <c r="P22" s="538">
        <f>IF(ISBLANK(INDEX(WORLDCUP!$AC$4:$AC$147,MATCH(M22,WORLDCUP!$AH$4:$AH$147,0))),"",INDEX(WORLDCUP!$AC$4:$AC$147,MATCH(M22,WORLDCUP!$AH$4:$AH$147,0)))</f>
        <v>1</v>
      </c>
      <c r="Q22" s="538">
        <f>IF(ISBLANK(INDEX(WORLDCUP!$AD$4:$AD$147,MATCH(M22,WORLDCUP!$AH$4:$AH$147,0))),"",INDEX(WORLDCUP!$AD$4:$AD$147,MATCH(M22,WORLDCUP!$AH$4:$AH$147,0)))</f>
        <v>0</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-1</v>
      </c>
      <c r="W22" s="231" t="str">
        <f ca="1">+INDEX(WORLDCUP!$AR$6:$AR$97,MATCH(X22,WORLDCUP!$AI$6:$AI$97,0))&amp;"-"&amp;INDEX(WORLDCUP!$AS$6:$AS$97,MATCH(X22,WORLDCUP!$AI$6:$AI$97,0))</f>
        <v>2-3</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Tur</v>
      </c>
      <c r="AF22" s="550">
        <f>+IF(ISBLANK(INDEX(WORLDCUP!$AC$101:$AC$147,MATCH(AD22,WORLDCUP!$Z$101:$Z$147,0))),"",INDEX(WORLDCUP!$AC$101:$AC$147,MATCH(AD22,WORLDCUP!$Z$101:$Z$147,0)))</f>
        <v>0</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-8</v>
      </c>
      <c r="K23" s="572" t="str">
        <f ca="1">+INDEX(WORLDCUP!$AR$6:$AR$97,MATCH(L23,WORLDCUP!$AI$6:$AI$97,0))&amp;"-"&amp;INDEX(WORLDCUP!$AS$6:$AS$97,MATCH(L23,WORLDCUP!$AI$6:$AI$97,0))</f>
        <v>1-9</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-9</v>
      </c>
      <c r="W23" s="572" t="str">
        <f ca="1">+INDEX(WORLDCUP!$AR$6:$AR$97,MATCH(X23,WORLDCUP!$AI$6:$AI$97,0))&amp;"-"&amp;INDEX(WORLDCUP!$AS$6:$AS$97,MATCH(X23,WORLDCUP!$AI$6:$AI$97,0))</f>
        <v>0-9</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1</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Inglaterra</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3</v>
      </c>
      <c r="E24" s="581">
        <f>IF(ISBLANK(INDEX(WORLDCUP!$AD$4:$AD$147,MATCH(A24,WORLDCUP!$AH$4:$AH$147,0))),"",INDEX(WORLDCUP!$AD$4:$AD$147,MATCH(A24,WORLDCUP!$AH$4:$AH$147,0)))</f>
        <v>1</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Cor</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2</v>
      </c>
      <c r="AW25" s="633" t="str">
        <f>+IF(ISBLANK(INDEX(WORLDCUP!$AB$101:$AB$147,MATCH(AT25,WORLDCUP!$Z$101:$Z$147,0))),"","( "&amp;INDEX(WORLDCUP!$AB$101:$AB$147,MATCH(AT25,WORLDCUP!$Z$101:$Z$147,0))&amp;" )")</f>
        <v/>
      </c>
      <c r="AX25" s="634"/>
      <c r="AY25" s="621"/>
      <c r="AZ25" s="622" t="str">
        <f ca="1">+WORLDCUP!AA152</f>
        <v>Francia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Ingl</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1</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0</v>
      </c>
      <c r="E28" s="538">
        <f>IF(ISBLANK(INDEX(WORLDCUP!$AD$4:$AD$147,MATCH(A28,WORLDCUP!$AH$4:$AH$147,0))),"",INDEX(WORLDCUP!$AD$4:$AD$147,MATCH(A28,WORLDCUP!$AH$4:$AH$147,0)))</f>
        <v>1</v>
      </c>
      <c r="F28" s="539" t="str">
        <f ca="1">+MID(INDEX(WORLDCUP!$AF$4:$AF$147,MATCH(A28,WORLDCUP!$AH$4:$AH$147,0)),1,3)</f>
        <v>Tur</v>
      </c>
      <c r="G28" s="540">
        <v>1</v>
      </c>
      <c r="H28" s="541" t="str">
        <f ca="1">+MID(INDEX(WORLDCUP!$AL$6:$AL$97,MATCH(L28,WORLDCUP!$AI$6:$AI$97,0)),1,3)</f>
        <v>Tur</v>
      </c>
      <c r="I28" s="542">
        <f ca="1">+INDEX(WORLDCUP!$AM$6:$AM$97,MATCH(L28,WORLDCUP!$AI$6:$AI$97,0))</f>
        <v>9</v>
      </c>
      <c r="J28" s="543">
        <f ca="1">+INDEX(WORLDCUP!$AT$6:$AT$97,MATCH(L28,WORLDCUP!$AI$6:$AI$97,0))</f>
        <v>3</v>
      </c>
      <c r="K28" s="544" t="str">
        <f ca="1">+INDEX(WORLDCUP!$AR$6:$AR$97,MATCH(L28,WORLDCUP!$AI$6:$AI$97,0))&amp;"-"&amp;INDEX(WORLDCUP!$AS$6:$AS$97,MATCH(L28,WORLDCUP!$AI$6:$AI$97,0))</f>
        <v>4-1</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7</v>
      </c>
      <c r="W28" s="544" t="str">
        <f ca="1">+INDEX(WORLDCUP!$AR$6:$AR$97,MATCH(X28,WORLDCUP!$AI$6:$AI$97,0))&amp;"-"&amp;INDEX(WORLDCUP!$AS$6:$AS$97,MATCH(X28,WORLDCUP!$AI$6:$AI$97,0))</f>
        <v>8-1</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1</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1</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Est</v>
      </c>
      <c r="I29" s="229">
        <f ca="1">+INDEX(WORLDCUP!$AM$6:$AM$97,MATCH(L29,WORLDCUP!$AI$6:$AI$97,0))</f>
        <v>4</v>
      </c>
      <c r="J29" s="230">
        <f ca="1">+INDEX(WORLDCUP!$AT$6:$AT$97,MATCH(L29,WORLDCUP!$AI$6:$AI$97,0))</f>
        <v>0</v>
      </c>
      <c r="K29" s="231" t="str">
        <f ca="1">+INDEX(WORLDCUP!$AR$6:$AR$97,MATCH(L29,WORLDCUP!$AI$6:$AI$97,0))&amp;"-"&amp;INDEX(WORLDCUP!$AS$6:$AS$97,MATCH(L29,WORLDCUP!$AI$6:$AI$97,0))</f>
        <v>4-4</v>
      </c>
      <c r="L29" s="19" t="s">
        <v>659</v>
      </c>
      <c r="M29" s="19">
        <v>43</v>
      </c>
      <c r="N29" s="639"/>
      <c r="O29" s="537" t="str">
        <f ca="1">+MID(INDEX(WORLDCUP!$AA$4:$AA$147,MATCH(M29,WORLDCUP!$AH$4:$AH$147,0)),1,3)</f>
        <v>Arg</v>
      </c>
      <c r="P29" s="538">
        <f>IF(ISBLANK(INDEX(WORLDCUP!$AC$4:$AC$147,MATCH(M29,WORLDCUP!$AH$4:$AH$147,0))),"",INDEX(WORLDCUP!$AC$4:$AC$147,MATCH(M29,WORLDCUP!$AH$4:$AH$147,0)))</f>
        <v>3</v>
      </c>
      <c r="Q29" s="538">
        <f>IF(ISBLANK(INDEX(WORLDCUP!$AD$4:$AD$147,MATCH(M29,WORLDCUP!$AH$4:$AH$147,0))),"",INDEX(WORLDCUP!$AD$4:$AD$147,MATCH(M29,WORLDCUP!$AH$4:$AH$147,0)))</f>
        <v>1</v>
      </c>
      <c r="R29" s="539" t="str">
        <f ca="1">+MID(INDEX(WORLDCUP!$AF$4:$AF$147,MATCH(M29,WORLDCUP!$AH$4:$AH$147,0)),1,3)</f>
        <v>Aus</v>
      </c>
      <c r="S29" s="560">
        <v>2</v>
      </c>
      <c r="T29" s="561" t="str">
        <f ca="1">+MID(INDEX(WORLDCUP!$AL$6:$AL$97,MATCH(X29,WORLDCUP!$AI$6:$AI$97,0)),1,3)</f>
        <v>Aus</v>
      </c>
      <c r="U29" s="229">
        <f ca="1">+INDEX(WORLDCUP!$AM$6:$AM$97,MATCH(X29,WORLDCUP!$AI$6:$AI$97,0))</f>
        <v>6</v>
      </c>
      <c r="V29" s="230">
        <f ca="1">+INDEX(WORLDCUP!$AT$6:$AT$97,MATCH(X29,WORLDCUP!$AI$6:$AI$97,0))</f>
        <v>0</v>
      </c>
      <c r="W29" s="231" t="str">
        <f ca="1">+INDEX(WORLDCUP!$AR$6:$AR$97,MATCH(X29,WORLDCUP!$AI$6:$AI$97,0))&amp;"-"&amp;INDEX(WORLDCUP!$AS$6:$AS$97,MATCH(X29,WORLDCUP!$AI$6:$AI$97,0))</f>
        <v>4-4</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0</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1</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1</v>
      </c>
      <c r="E30" s="538">
        <f>IF(ISBLANK(INDEX(WORLDCUP!$AD$4:$AD$147,MATCH(A30,WORLDCUP!$AH$4:$AH$147,0))),"",INDEX(WORLDCUP!$AD$4:$AD$147,MATCH(A30,WORLDCUP!$AH$4:$AH$147,0)))</f>
        <v>0</v>
      </c>
      <c r="F30" s="539" t="str">
        <f ca="1">+MID(INDEX(WORLDCUP!$AF$4:$AF$147,MATCH(A30,WORLDCUP!$AH$4:$AH$147,0)),1,3)</f>
        <v>Par</v>
      </c>
      <c r="G30" s="560">
        <v>3</v>
      </c>
      <c r="H30" s="561" t="str">
        <f ca="1">+MID(INDEX(WORLDCUP!$AL$6:$AL$97,MATCH(L30,WORLDCUP!$AI$6:$AI$97,0)),1,3)</f>
        <v>Par</v>
      </c>
      <c r="I30" s="229">
        <f ca="1">+INDEX(WORLDCUP!$AM$6:$AM$97,MATCH(L30,WORLDCUP!$AI$6:$AI$97,0))</f>
        <v>3</v>
      </c>
      <c r="J30" s="230">
        <f ca="1">+INDEX(WORLDCUP!$AT$6:$AT$97,MATCH(L30,WORLDCUP!$AI$6:$AI$97,0))</f>
        <v>-1</v>
      </c>
      <c r="K30" s="231" t="str">
        <f ca="1">+INDEX(WORLDCUP!$AR$6:$AR$97,MATCH(L30,WORLDCUP!$AI$6:$AI$97,0))&amp;"-"&amp;INDEX(WORLDCUP!$AS$6:$AS$97,MATCH(L30,WORLDCUP!$AI$6:$AI$97,0))</f>
        <v>2-3</v>
      </c>
      <c r="L30" s="19" t="s">
        <v>92</v>
      </c>
      <c r="M30" s="19">
        <v>44</v>
      </c>
      <c r="N30" s="639"/>
      <c r="O30" s="537" t="str">
        <f ca="1">+MID(INDEX(WORLDCUP!$AA$4:$AA$147,MATCH(M30,WORLDCUP!$AH$4:$AH$147,0)),1,3)</f>
        <v>Jor</v>
      </c>
      <c r="P30" s="538">
        <f>IF(ISBLANK(INDEX(WORLDCUP!$AC$4:$AC$147,MATCH(M30,WORLDCUP!$AH$4:$AH$147,0))),"",INDEX(WORLDCUP!$AC$4:$AC$147,MATCH(M30,WORLDCUP!$AH$4:$AH$147,0)))</f>
        <v>0</v>
      </c>
      <c r="Q30" s="538">
        <f>IF(ISBLANK(INDEX(WORLDCUP!$AD$4:$AD$147,MATCH(M30,WORLDCUP!$AH$4:$AH$147,0))),"",INDEX(WORLDCUP!$AD$4:$AD$147,MATCH(M30,WORLDCUP!$AH$4:$AH$147,0)))</f>
        <v>1</v>
      </c>
      <c r="R30" s="539" t="str">
        <f ca="1">+MID(INDEX(WORLDCUP!$AF$4:$AF$147,MATCH(M30,WORLDCUP!$AH$4:$AH$147,0)),1,3)</f>
        <v>Arg</v>
      </c>
      <c r="S30" s="560">
        <v>3</v>
      </c>
      <c r="T30" s="561" t="str">
        <f ca="1">+MID(INDEX(WORLDCUP!$AL$6:$AL$97,MATCH(X30,WORLDCUP!$AI$6:$AI$97,0)),1,3)</f>
        <v>Arg</v>
      </c>
      <c r="U30" s="229">
        <f ca="1">+INDEX(WORLDCUP!$AM$6:$AM$97,MATCH(X30,WORLDCUP!$AI$6:$AI$97,0))</f>
        <v>3</v>
      </c>
      <c r="V30" s="230">
        <f ca="1">+INDEX(WORLDCUP!$AT$6:$AT$97,MATCH(X30,WORLDCUP!$AI$6:$AI$97,0))</f>
        <v>-3</v>
      </c>
      <c r="W30" s="231" t="str">
        <f ca="1">+INDEX(WORLDCUP!$AR$6:$AR$97,MATCH(X30,WORLDCUP!$AI$6:$AI$97,0))&amp;"-"&amp;INDEX(WORLDCUP!$AS$6:$AS$97,MATCH(X30,WORLDCUP!$AI$6:$AI$97,0))</f>
        <v>1-4</v>
      </c>
      <c r="X30" s="19" t="s">
        <v>441</v>
      </c>
      <c r="Y30" s="19">
        <v>78</v>
      </c>
      <c r="Z30" s="518" t="s">
        <v>662</v>
      </c>
      <c r="AA30" s="519" t="str">
        <f ca="1">+MID(INDEX(WORLDCUP!$AA$101:$AA$147,MATCH(Y30,WORLDCUP!$Z$101:$Z$147,0)),1,3)</f>
        <v>Ecu</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2</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Aus</v>
      </c>
      <c r="I31" s="570">
        <f ca="1">+INDEX(WORLDCUP!$AM$6:$AM$97,MATCH(L31,WORLDCUP!$AI$6:$AI$97,0))</f>
        <v>1</v>
      </c>
      <c r="J31" s="571">
        <f ca="1">+INDEX(WORLDCUP!$AT$6:$AT$97,MATCH(L31,WORLDCUP!$AI$6:$AI$97,0))</f>
        <v>-2</v>
      </c>
      <c r="K31" s="572" t="str">
        <f ca="1">+INDEX(WORLDCUP!$AR$6:$AR$97,MATCH(L31,WORLDCUP!$AI$6:$AI$97,0))&amp;"-"&amp;INDEX(WORLDCUP!$AS$6:$AS$97,MATCH(L31,WORLDCUP!$AI$6:$AI$97,0))</f>
        <v>1-3</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-4</v>
      </c>
      <c r="W31" s="572" t="str">
        <f ca="1">+INDEX(WORLDCUP!$AR$6:$AR$97,MATCH(X31,WORLDCUP!$AI$6:$AI$97,0))&amp;"-"&amp;INDEX(WORLDCUP!$AS$6:$AS$97,MATCH(X31,WORLDCUP!$AI$6:$AI$97,0))</f>
        <v>1-5</v>
      </c>
      <c r="X31" s="19" t="s">
        <v>678</v>
      </c>
      <c r="Y31" s="19">
        <v>78</v>
      </c>
      <c r="Z31" s="518" t="s">
        <v>674</v>
      </c>
      <c r="AA31" s="573" t="str">
        <f ca="1">+MID(INDEX(WORLDCUP!$AF$101:$AF$147,MATCH(Y31,WORLDCUP!$Z$101:$Z$147,0)),1,3)</f>
        <v>Nor</v>
      </c>
      <c r="AB31" s="574">
        <f>+IF(ISBLANK(INDEX(WORLDCUP!$AD$101:$AD$147,MATCH(Y31,WORLDCUP!$Z$101:$Z$147,0))),"",INDEX(WORLDCUP!$AD$101:$AD$147,MATCH(Y31,WORLDCUP!$Z$101:$Z$147,0)))</f>
        <v>1</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0</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Fran</v>
      </c>
      <c r="AR31" s="642">
        <f>+IF(ISBLANK(INDEX(WORLDCUP!$AC$101:$AC$147,MATCH(AP31,WORLDCUP!$Z$101:$Z$147,0))),"",INDEX(WORLDCUP!$AC$101:$AC$147,MATCH(AP31,WORLDCUP!$Z$101:$Z$147,0)))</f>
        <v>2</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2</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2</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Port</v>
      </c>
      <c r="AR32" s="642">
        <f>+IF(ISBLANK(INDEX(WORLDCUP!$AD$101:$AD$147,MATCH(AP32,WORLDCUP!$Z$101:$Z$147,0))),"",INDEX(WORLDCUP!$AD$101:$AD$147,MATCH(AP32,WORLDCUP!$Z$101:$Z$147,0)))</f>
        <v>1</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1</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Esc</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4</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4</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0</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9</v>
      </c>
      <c r="K36" s="544" t="str">
        <f ca="1">+INDEX(WORLDCUP!$AR$6:$AR$97,MATCH(L36,WORLDCUP!$AI$6:$AI$97,0))&amp;"-"&amp;INDEX(WORLDCUP!$AS$6:$AS$97,MATCH(L36,WORLDCUP!$AI$6:$AI$97,0))</f>
        <v>10-1</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7</v>
      </c>
      <c r="W36" s="544" t="str">
        <f ca="1">+INDEX(WORLDCUP!$AR$6:$AR$97,MATCH(X36,WORLDCUP!$AI$6:$AI$97,0))&amp;"-"&amp;INDEX(WORLDCUP!$AS$6:$AS$97,MATCH(X36,WORLDCUP!$AI$6:$AI$97,0))</f>
        <v>9-2</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Ecu</v>
      </c>
      <c r="I37" s="229">
        <f ca="1">+INDEX(WORLDCUP!$AM$6:$AM$97,MATCH(L37,WORLDCUP!$AI$6:$AI$97,0))</f>
        <v>6</v>
      </c>
      <c r="J37" s="230">
        <f ca="1">+INDEX(WORLDCUP!$AT$6:$AT$97,MATCH(L37,WORLDCUP!$AI$6:$AI$97,0))</f>
        <v>0</v>
      </c>
      <c r="K37" s="231" t="str">
        <f ca="1">+INDEX(WORLDCUP!$AR$6:$AR$97,MATCH(L37,WORLDCUP!$AI$6:$AI$97,0))&amp;"-"&amp;INDEX(WORLDCUP!$AS$6:$AS$97,MATCH(L37,WORLDCUP!$AI$6:$AI$97,0))</f>
        <v>3-3</v>
      </c>
      <c r="L37" s="19" t="s">
        <v>662</v>
      </c>
      <c r="M37" s="19">
        <v>47</v>
      </c>
      <c r="N37" s="655"/>
      <c r="O37" s="537" t="str">
        <f ca="1">+MID(INDEX(WORLDCUP!$AA$4:$AA$147,MATCH(M37,WORLDCUP!$AH$4:$AH$147,0)),1,3)</f>
        <v>Por</v>
      </c>
      <c r="P37" s="538">
        <f>IF(ISBLANK(INDEX(WORLDCUP!$AC$4:$AC$147,MATCH(M37,WORLDCUP!$AH$4:$AH$147,0))),"",INDEX(WORLDCUP!$AC$4:$AC$147,MATCH(M37,WORLDCUP!$AH$4:$AH$147,0)))</f>
        <v>3</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2</v>
      </c>
      <c r="W37" s="231" t="str">
        <f ca="1">+INDEX(WORLDCUP!$AR$6:$AR$97,MATCH(X37,WORLDCUP!$AI$6:$AI$97,0))&amp;"-"&amp;INDEX(WORLDCUP!$AS$6:$AS$97,MATCH(X37,WORLDCUP!$AI$6:$AI$97,0))</f>
        <v>4-2</v>
      </c>
      <c r="X37" s="19" t="s">
        <v>680</v>
      </c>
      <c r="Y37" s="19">
        <v>80</v>
      </c>
      <c r="Z37" s="518" t="s">
        <v>725</v>
      </c>
      <c r="AA37" s="573" t="str">
        <f ca="1">+MID(INDEX(WORLDCUP!$AF$101:$AF$147,MATCH(Y37,WORLDCUP!$Z$101:$Z$147,0)),1,IF(WORLDCUP!$H$113&lt;144,6,3))</f>
        <v xml:space="preserve">RD </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Cos</v>
      </c>
      <c r="I38" s="229">
        <f ca="1">+INDEX(WORLDCUP!$AM$6:$AM$97,MATCH(L38,WORLDCUP!$AI$6:$AI$97,0))</f>
        <v>3</v>
      </c>
      <c r="J38" s="230">
        <f ca="1">+INDEX(WORLDCUP!$AT$6:$AT$97,MATCH(L38,WORLDCUP!$AI$6:$AI$97,0))</f>
        <v>-2</v>
      </c>
      <c r="K38" s="231" t="str">
        <f ca="1">+INDEX(WORLDCUP!$AR$6:$AR$97,MATCH(L38,WORLDCUP!$AI$6:$AI$97,0))&amp;"-"&amp;INDEX(WORLDCUP!$AS$6:$AS$97,MATCH(L38,WORLDCUP!$AI$6:$AI$97,0))</f>
        <v>2-4</v>
      </c>
      <c r="L38" s="19" t="s">
        <v>93</v>
      </c>
      <c r="M38" s="19">
        <v>48</v>
      </c>
      <c r="N38" s="655"/>
      <c r="O38" s="537" t="str">
        <f ca="1">+MID(INDEX(WORLDCUP!$AA$4:$AA$147,MATCH(M38,WORLDCUP!$AH$4:$AH$147,0)),1,3)</f>
        <v>Col</v>
      </c>
      <c r="P38" s="538">
        <f>IF(ISBLANK(INDEX(WORLDCUP!$AC$4:$AC$147,MATCH(M38,WORLDCUP!$AH$4:$AH$147,0))),"",INDEX(WORLDCUP!$AC$4:$AC$147,MATCH(M38,WORLDCUP!$AH$4:$AH$147,0)))</f>
        <v>1</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3</v>
      </c>
      <c r="V38" s="230">
        <f ca="1">+INDEX(WORLDCUP!$AT$6:$AT$97,MATCH(X38,WORLDCUP!$AI$6:$AI$97,0))</f>
        <v>-2</v>
      </c>
      <c r="W38" s="231" t="str">
        <f ca="1">+INDEX(WORLDCUP!$AR$6:$AR$97,MATCH(X38,WORLDCUP!$AI$6:$AI$97,0))&amp;"-"&amp;INDEX(WORLDCUP!$AS$6:$AS$97,MATCH(X38,WORLDCUP!$AI$6:$AI$97,0))</f>
        <v>3-5</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0</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1</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-7</v>
      </c>
      <c r="K39" s="572" t="str">
        <f ca="1">+INDEX(WORLDCUP!$AR$6:$AR$97,MATCH(L39,WORLDCUP!$AI$6:$AI$97,0))&amp;"-"&amp;INDEX(WORLDCUP!$AS$6:$AS$97,MATCH(L39,WORLDCUP!$AI$6:$AI$97,0))</f>
        <v>0-7</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-7</v>
      </c>
      <c r="W39" s="572" t="str">
        <f ca="1">+INDEX(WORLDCUP!$AR$6:$AR$97,MATCH(X39,WORLDCUP!$AI$6:$AI$97,0))&amp;"-"&amp;INDEX(WORLDCUP!$AS$6:$AS$97,MATCH(X39,WORLDCUP!$AI$6:$AI$97,0))</f>
        <v>0-7</v>
      </c>
      <c r="X39" s="19" t="s">
        <v>681</v>
      </c>
      <c r="Y39" s="19">
        <v>86</v>
      </c>
      <c r="Z39" s="518" t="s">
        <v>676</v>
      </c>
      <c r="AA39" s="519" t="str">
        <f ca="1">+MID(INDEX(WORLDCUP!$AA$101:$AA$147,MATCH(Y39,WORLDCUP!$Z$101:$Z$147,0)),1,3)</f>
        <v>Arg</v>
      </c>
      <c r="AB39" s="520">
        <f>+IF(ISBLANK(INDEX(WORLDCUP!$AC$101:$AC$147,MATCH(Y39,WORLDCUP!$Z$101:$Z$147,0))),"",INDEX(WORLDCUP!$AC$101:$AC$147,MATCH(Y39,WORLDCUP!$Z$101:$Z$147,0)))</f>
        <v>2</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0</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2</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Est</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1</v>
      </c>
      <c r="BM41" s="556">
        <f ca="1">COUNTIF(ADMIN!$M$252,Fixture!BG41)</f>
        <v>0</v>
      </c>
      <c r="BN41" s="556">
        <f ca="1">COUNTIF(ADMIN!$M$251,Fixture!BG41)</f>
        <v>0</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Est</v>
      </c>
      <c r="AB42" s="565">
        <f>+IF(ISBLANK(INDEX(WORLDCUP!$AC$101:$AC$147,MATCH(Y42,WORLDCUP!$Z$101:$Z$147,0))),"",INDEX(WORLDCUP!$AC$101:$AC$147,MATCH(Y42,WORLDCUP!$Z$101:$Z$147,0)))</f>
        <v>1</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0</v>
      </c>
      <c r="BI42" s="556">
        <f ca="1">COUNTIF(ADMIN!$M$130:$M$161,Fixture!BG42)-BJ42-BK42-BL42-BM42-BN42-BO42</f>
        <v>1</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0</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0</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1</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9</v>
      </c>
      <c r="J44" s="543">
        <f ca="1">+INDEX(WORLDCUP!$AT$6:$AT$97,MATCH(L44,WORLDCUP!$AI$6:$AI$97,0))</f>
        <v>6</v>
      </c>
      <c r="K44" s="544" t="str">
        <f ca="1">+INDEX(WORLDCUP!$AR$6:$AR$97,MATCH(L44,WORLDCUP!$AI$6:$AI$97,0))&amp;"-"&amp;INDEX(WORLDCUP!$AS$6:$AS$97,MATCH(L44,WORLDCUP!$AI$6:$AI$97,0))</f>
        <v>6-0</v>
      </c>
      <c r="L44" s="19" t="s">
        <v>664</v>
      </c>
      <c r="M44" s="19">
        <v>21</v>
      </c>
      <c r="N44" s="662"/>
      <c r="O44" s="537" t="str">
        <f ca="1">+MID(INDEX(WORLDCUP!$AA$4:$AA$147,MATCH(M44,WORLDCUP!$AH$4:$AH$147,0)),1,3)</f>
        <v>Gha</v>
      </c>
      <c r="P44" s="538">
        <f>IF(ISBLANK(INDEX(WORLDCUP!$AC$4:$AC$147,MATCH(M44,WORLDCUP!$AH$4:$AH$147,0))),"",INDEX(WORLDCUP!$AC$4:$AC$147,MATCH(M44,WORLDCUP!$AH$4:$AH$147,0)))</f>
        <v>1</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9</v>
      </c>
      <c r="V44" s="543">
        <f ca="1">+INDEX(WORLDCUP!$AT$6:$AT$97,MATCH(X44,WORLDCUP!$AI$6:$AI$97,0))</f>
        <v>6</v>
      </c>
      <c r="W44" s="544" t="str">
        <f ca="1">+INDEX(WORLDCUP!$AR$6:$AR$97,MATCH(X44,WORLDCUP!$AI$6:$AI$97,0))&amp;"-"&amp;INDEX(WORLDCUP!$AS$6:$AS$97,MATCH(X44,WORLDCUP!$AI$6:$AI$97,0))</f>
        <v>8-2</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0</v>
      </c>
      <c r="F45" s="539" t="str">
        <f ca="1">+MID(INDEX(WORLDCUP!$AF$4:$AF$147,MATCH(A45,WORLDCUP!$AH$4:$AH$147,0)),1,3)</f>
        <v>Sue</v>
      </c>
      <c r="G45" s="560">
        <v>2</v>
      </c>
      <c r="H45" s="561" t="str">
        <f ca="1">+MID(INDEX(WORLDCUP!$AL$6:$AL$97,MATCH(L45,WORLDCUP!$AI$6:$AI$97,0)),1,3)</f>
        <v>Jap</v>
      </c>
      <c r="I45" s="229">
        <f ca="1">+INDEX(WORLDCUP!$AM$6:$AM$97,MATCH(L45,WORLDCUP!$AI$6:$AI$97,0))</f>
        <v>6</v>
      </c>
      <c r="J45" s="230">
        <f ca="1">+INDEX(WORLDCUP!$AT$6:$AT$97,MATCH(L45,WORLDCUP!$AI$6:$AI$97,0))</f>
        <v>1</v>
      </c>
      <c r="K45" s="231" t="str">
        <f ca="1">+INDEX(WORLDCUP!$AR$6:$AR$97,MATCH(L45,WORLDCUP!$AI$6:$AI$97,0))&amp;"-"&amp;INDEX(WORLDCUP!$AS$6:$AS$97,MATCH(L45,WORLDCUP!$AI$6:$AI$97,0))</f>
        <v>3-2</v>
      </c>
      <c r="L45" s="19" t="s">
        <v>665</v>
      </c>
      <c r="M45" s="19">
        <v>45</v>
      </c>
      <c r="N45" s="662"/>
      <c r="O45" s="537" t="str">
        <f ca="1">+MID(INDEX(WORLDCUP!$AA$4:$AA$147,MATCH(M45,WORLDCUP!$AH$4:$AH$147,0)),1,3)</f>
        <v>Ing</v>
      </c>
      <c r="P45" s="538">
        <f>IF(ISBLANK(INDEX(WORLDCUP!$AC$4:$AC$147,MATCH(M45,WORLDCUP!$AH$4:$AH$147,0))),"",INDEX(WORLDCUP!$AC$4:$AC$147,MATCH(M45,WORLDCUP!$AH$4:$AH$147,0)))</f>
        <v>3</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3</v>
      </c>
      <c r="W45" s="231" t="str">
        <f ca="1">+INDEX(WORLDCUP!$AR$6:$AR$97,MATCH(X45,WORLDCUP!$AI$6:$AI$97,0))&amp;"-"&amp;INDEX(WORLDCUP!$AS$6:$AS$97,MATCH(X45,WORLDCUP!$AI$6:$AI$97,0))</f>
        <v>5-2</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Sue</v>
      </c>
      <c r="I46" s="229">
        <f ca="1">+INDEX(WORLDCUP!$AM$6:$AM$97,MATCH(L46,WORLDCUP!$AI$6:$AI$97,0))</f>
        <v>3</v>
      </c>
      <c r="J46" s="230">
        <f ca="1">+INDEX(WORLDCUP!$AT$6:$AT$97,MATCH(L46,WORLDCUP!$AI$6:$AI$97,0))</f>
        <v>-2</v>
      </c>
      <c r="K46" s="231" t="str">
        <f ca="1">+INDEX(WORLDCUP!$AR$6:$AR$97,MATCH(L46,WORLDCUP!$AI$6:$AI$97,0))&amp;"-"&amp;INDEX(WORLDCUP!$AS$6:$AS$97,MATCH(L46,WORLDCUP!$AI$6:$AI$97,0))</f>
        <v>1-3</v>
      </c>
      <c r="L46" s="19" t="s">
        <v>94</v>
      </c>
      <c r="M46" s="19">
        <v>46</v>
      </c>
      <c r="N46" s="662"/>
      <c r="O46" s="537" t="str">
        <f ca="1">+MID(INDEX(WORLDCUP!$AA$4:$AA$147,MATCH(M46,WORLDCUP!$AH$4:$AH$147,0)),1,3)</f>
        <v>Pan</v>
      </c>
      <c r="P46" s="538">
        <f>IF(ISBLANK(INDEX(WORLDCUP!$AC$4:$AC$147,MATCH(M46,WORLDCUP!$AH$4:$AH$147,0))),"",INDEX(WORLDCUP!$AC$4:$AC$147,MATCH(M46,WORLDCUP!$AH$4:$AH$147,0)))</f>
        <v>0</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-3</v>
      </c>
      <c r="W46" s="231" t="str">
        <f ca="1">+INDEX(WORLDCUP!$AR$6:$AR$97,MATCH(X46,WORLDCUP!$AI$6:$AI$97,0))&amp;"-"&amp;INDEX(WORLDCUP!$AS$6:$AS$97,MATCH(X46,WORLDCUP!$AI$6:$AI$97,0))</f>
        <v>2-5</v>
      </c>
      <c r="X46" s="19" t="s">
        <v>443</v>
      </c>
      <c r="Y46" s="19">
        <v>85</v>
      </c>
      <c r="Z46" s="518" t="s">
        <v>728</v>
      </c>
      <c r="AA46" s="519" t="str">
        <f ca="1">+MID(INDEX(WORLDCUP!$AF$101:$AF$147,MATCH(Y46,WORLDCUP!$Z$101:$Z$147,0)),1,IF(WORLDCUP!$H$113&lt;144,6,3))</f>
        <v>Cos</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0</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0</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-5</v>
      </c>
      <c r="K47" s="572" t="str">
        <f ca="1">+INDEX(WORLDCUP!$AR$6:$AR$97,MATCH(L47,WORLDCUP!$AI$6:$AI$97,0))&amp;"-"&amp;INDEX(WORLDCUP!$AS$6:$AS$97,MATCH(L47,WORLDCUP!$AI$6:$AI$97,0))</f>
        <v>0-5</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3</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-6</v>
      </c>
      <c r="W47" s="572" t="str">
        <f ca="1">+INDEX(WORLDCUP!$AR$6:$AR$97,MATCH(X47,WORLDCUP!$AI$6:$AI$97,0))&amp;"-"&amp;INDEX(WORLDCUP!$AS$6:$AS$97,MATCH(X47,WORLDCUP!$AI$6:$AI$97,0))</f>
        <v>0-6</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0</v>
      </c>
      <c r="E48" s="581">
        <f>IF(ISBLANK(INDEX(WORLDCUP!$AD$4:$AD$147,MATCH(A48,WORLDCUP!$AH$4:$AH$147,0))),"",INDEX(WORLDCUP!$AD$4:$AD$147,MATCH(A48,WORLDCUP!$AH$4:$AH$147,0)))</f>
        <v>2</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0</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2</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Sen</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defaultColWidth="10.81640625" defaultRowHeight="14.5"/>
  <cols>
    <col min="1" max="1" width="6" customWidth="1"/>
    <col min="2" max="2" width="13.26953125" customWidth="1"/>
    <col min="3" max="3" width="32.81640625" customWidth="1"/>
    <col min="4" max="4" width="0.453125" customWidth="1"/>
    <col min="6" max="6" width="0.453125" customWidth="1"/>
    <col min="10" max="10" width="10.81640625" customWidth="1"/>
    <col min="11" max="11" width="3.453125" customWidth="1"/>
    <col min="14" max="17" width="15.81640625" customWidth="1"/>
    <col min="18" max="18" width="17.453125" customWidth="1"/>
    <col min="19" max="22" width="10.81640625" style="11"/>
    <col min="23" max="24" width="10.81640625" style="11" hidden="1" customWidth="1"/>
    <col min="25" max="25" width="10.81640625" style="11"/>
    <col min="26" max="28" width="10.8164062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49999999999999"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49999999999999"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5" customHeight="1">
      <c r="A22" s="35"/>
      <c r="B22" s="168"/>
      <c r="C22" s="171"/>
      <c r="D22" s="171"/>
      <c r="E22" s="171"/>
      <c r="F22" s="171"/>
      <c r="G22" s="171"/>
      <c r="H22" s="171"/>
      <c r="I22" s="167"/>
      <c r="J22" s="172"/>
      <c r="K22" s="35"/>
      <c r="L22" s="684"/>
      <c r="M22" s="147"/>
      <c r="N22" s="147"/>
      <c r="O22" s="147"/>
      <c r="P22" s="147"/>
      <c r="Q22" s="147"/>
      <c r="R22" s="147"/>
      <c r="S22" s="699"/>
      <c r="T22" s="700"/>
    </row>
    <row r="23" spans="1:20" ht="20.149999999999999"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5" customHeight="1">
      <c r="A24" s="35"/>
      <c r="B24" s="168"/>
      <c r="C24" s="171"/>
      <c r="D24" s="171"/>
      <c r="E24" s="171"/>
      <c r="F24" s="171"/>
      <c r="G24" s="171"/>
      <c r="H24" s="171"/>
      <c r="I24" s="171"/>
      <c r="J24" s="172"/>
      <c r="K24" s="35"/>
      <c r="L24" s="684"/>
      <c r="M24" s="147"/>
      <c r="N24" s="147"/>
      <c r="O24" s="147"/>
      <c r="P24" s="147"/>
      <c r="Q24" s="147"/>
      <c r="R24" s="147"/>
      <c r="S24" s="699"/>
      <c r="T24" s="700"/>
    </row>
    <row r="25" spans="1:20" ht="20.149999999999999"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5" customHeight="1">
      <c r="A26" s="35"/>
      <c r="B26" s="168"/>
      <c r="C26" s="171"/>
      <c r="D26" s="171"/>
      <c r="E26" s="171"/>
      <c r="F26" s="171"/>
      <c r="G26" s="171"/>
      <c r="H26" s="171"/>
      <c r="I26" s="171"/>
      <c r="J26" s="172"/>
      <c r="K26" s="35"/>
      <c r="L26" s="684"/>
      <c r="M26" s="147"/>
      <c r="N26" s="147"/>
      <c r="O26" s="147"/>
      <c r="P26" s="147"/>
      <c r="Q26" s="147"/>
      <c r="R26" s="147"/>
      <c r="S26" s="699"/>
      <c r="T26" s="700"/>
    </row>
    <row r="27" spans="1:20" ht="20.149999999999999"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5" customHeight="1">
      <c r="A28" s="35"/>
      <c r="B28" s="168"/>
      <c r="C28" s="171"/>
      <c r="D28" s="171"/>
      <c r="E28" s="171"/>
      <c r="F28" s="171"/>
      <c r="G28" s="171"/>
      <c r="H28" s="171"/>
      <c r="I28" s="171"/>
      <c r="J28" s="172"/>
      <c r="K28" s="35"/>
    </row>
    <row r="29" spans="1:20" ht="20.149999999999999" customHeight="1">
      <c r="A29" s="35"/>
      <c r="B29" s="168"/>
      <c r="C29" s="169" t="s">
        <v>1270</v>
      </c>
      <c r="D29" s="170"/>
      <c r="E29" s="39">
        <v>0</v>
      </c>
      <c r="F29" s="170"/>
      <c r="G29" s="38">
        <v>2</v>
      </c>
      <c r="H29" s="171"/>
      <c r="I29" s="171"/>
      <c r="J29" s="172"/>
      <c r="K29" s="35"/>
    </row>
    <row r="30" spans="1:20" ht="2.15" customHeight="1">
      <c r="A30" s="35"/>
      <c r="B30" s="168"/>
      <c r="C30" s="171"/>
      <c r="D30" s="171"/>
      <c r="E30" s="171"/>
      <c r="F30" s="171"/>
      <c r="G30" s="171"/>
      <c r="H30" s="171"/>
      <c r="I30" s="171"/>
      <c r="J30" s="172"/>
      <c r="K30" s="35"/>
      <c r="L30" s="36"/>
    </row>
    <row r="31" spans="1:20" ht="20.149999999999999"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50">
        <v>#VALUE!</v>
      </c>
      <c r="Y87" s="8">
        <v>3.5</v>
      </c>
    </row>
    <row r="88" spans="13:25">
      <c r="T88" s="708" t="s">
        <v>1796</v>
      </c>
      <c r="U88" s="8" t="s">
        <v>1755</v>
      </c>
      <c r="V88" s="8" t="s">
        <v>1756</v>
      </c>
      <c r="W88" s="8" t="s">
        <v>1760</v>
      </c>
      <c r="X88" s="708" t="e" vm="51">
        <v>#VALUE!</v>
      </c>
      <c r="Y88" s="8">
        <v>4</v>
      </c>
    </row>
    <row r="89" spans="13:25" ht="15.5">
      <c r="T89" s="708" t="s">
        <v>1797</v>
      </c>
      <c r="U89" s="8" t="s">
        <v>1786</v>
      </c>
      <c r="V89" s="8" t="s">
        <v>1786</v>
      </c>
      <c r="W89" s="709" t="s">
        <v>1787</v>
      </c>
      <c r="X89" s="708" t="e" vm="52">
        <v>#VALUE!</v>
      </c>
      <c r="Y89" s="8">
        <v>-4</v>
      </c>
    </row>
    <row r="90" spans="13:25" ht="15.5">
      <c r="T90" s="708" t="s">
        <v>1798</v>
      </c>
      <c r="U90" s="8" t="s">
        <v>1788</v>
      </c>
      <c r="V90" s="8" t="s">
        <v>1789</v>
      </c>
      <c r="W90" s="710" t="s">
        <v>1790</v>
      </c>
      <c r="X90" s="708" t="e" vm="53">
        <v>#VALUE!</v>
      </c>
      <c r="Y90" s="8">
        <v>-3</v>
      </c>
    </row>
    <row r="91" spans="13:25">
      <c r="T91" s="708" t="s">
        <v>1799</v>
      </c>
      <c r="U91" s="8" t="str">
        <f>N93</f>
        <v>Escribe la selección</v>
      </c>
      <c r="V91" s="8" t="str">
        <f>O93</f>
        <v>Write the nation</v>
      </c>
      <c r="W91" s="8" t="str">
        <f>IF(Q93="","",Q93)</f>
        <v/>
      </c>
      <c r="X91" s="8" t="str">
        <f>IF(R93="","",R93)</f>
        <v/>
      </c>
      <c r="Y91" s="8">
        <f>IF(P93="",-4,P93)</f>
        <v>-4</v>
      </c>
    </row>
    <row r="92" spans="13:25" ht="19" customHeight="1">
      <c r="N92" s="501" t="s">
        <v>1792</v>
      </c>
      <c r="O92" s="501" t="s">
        <v>1793</v>
      </c>
      <c r="P92" s="501" t="s">
        <v>1807</v>
      </c>
      <c r="Q92" s="501" t="s">
        <v>1804</v>
      </c>
      <c r="R92" s="501" t="s">
        <v>1801</v>
      </c>
    </row>
    <row r="93" spans="13:25" ht="2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defaultColWidth="20.453125" defaultRowHeight="15" customHeight="1"/>
  <cols>
    <col min="1" max="1" width="6.81640625" style="5" bestFit="1" customWidth="1"/>
    <col min="2" max="2" width="16.81640625" style="5" customWidth="1"/>
    <col min="3" max="3" width="11.453125" style="5" customWidth="1"/>
    <col min="4" max="4" width="8.81640625" style="5" bestFit="1" customWidth="1"/>
    <col min="5" max="5" width="11.26953125" style="5" customWidth="1"/>
    <col min="6" max="6" width="15.26953125" style="5" customWidth="1"/>
    <col min="7" max="7" width="4.1796875" style="5" bestFit="1" customWidth="1"/>
    <col min="8" max="8" width="20.453125" style="5"/>
    <col min="9" max="9" width="13" style="5" customWidth="1"/>
    <col min="10" max="10" width="12" style="5" customWidth="1"/>
    <col min="11" max="11" width="20.453125" style="5"/>
    <col min="12" max="13" width="0" style="5" hidden="1" customWidth="1"/>
    <col min="14" max="14" width="4.453125" style="730" customWidth="1"/>
    <col min="15" max="20" width="20.453125" style="731"/>
    <col min="21" max="16384" width="20.453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4">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55">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56">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57">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58">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59">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60">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61">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62">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63">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64">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65">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66">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67">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68">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69">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70">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71">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72">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73">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74">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75">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76">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77">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78">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27">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79">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80">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81">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82">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83">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84">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85">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86">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87">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88">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89">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90">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91">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92">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93">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94">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95">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96">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97">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98">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99">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100">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defaultColWidth="10.81640625" defaultRowHeight="14.5"/>
  <cols>
    <col min="1" max="1" width="13.1796875" style="9" bestFit="1" customWidth="1"/>
    <col min="2" max="2" width="5" style="9" customWidth="1"/>
    <col min="3" max="3" width="12.453125" style="9" customWidth="1"/>
    <col min="4" max="4" width="13.1796875" style="9" customWidth="1"/>
    <col min="5" max="5" width="12.26953125" style="9" bestFit="1" customWidth="1"/>
    <col min="6" max="6" width="10.81640625" style="9"/>
    <col min="7" max="7" width="12.26953125" style="9" bestFit="1" customWidth="1"/>
    <col min="8" max="15" width="10.81640625" style="9"/>
    <col min="16" max="16" width="4.81640625" style="9" bestFit="1" customWidth="1"/>
    <col min="17" max="17" width="17.81640625" style="9" bestFit="1" customWidth="1"/>
    <col min="18" max="18" width="11.1796875" style="9" bestFit="1" customWidth="1"/>
    <col min="19" max="19" width="11" style="9" bestFit="1" customWidth="1"/>
    <col min="20" max="20" width="10.26953125" style="9" bestFit="1" customWidth="1"/>
    <col min="21" max="21" width="10.453125" style="9" customWidth="1"/>
    <col min="22" max="22" width="10.26953125" style="9" customWidth="1"/>
    <col min="23" max="23" width="3.26953125" style="9" bestFit="1" customWidth="1"/>
    <col min="24" max="26" width="10.81640625" style="9"/>
    <col min="27" max="27" width="6.453125" style="9" customWidth="1"/>
    <col min="28" max="33" width="10.81640625" style="9"/>
    <col min="34" max="34" width="3.26953125" style="9" bestFit="1" customWidth="1"/>
    <col min="35" max="16384" width="10.8164062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defaultColWidth="10.81640625" defaultRowHeight="14.5"/>
  <cols>
    <col min="1" max="1" width="9.453125" style="9" bestFit="1" customWidth="1"/>
    <col min="2" max="2" width="6" style="9" bestFit="1" customWidth="1"/>
    <col min="3" max="13" width="10.81640625" style="9"/>
    <col min="14" max="14" width="9.453125" style="9" bestFit="1" customWidth="1"/>
    <col min="15" max="15" width="6.453125" style="9" bestFit="1" customWidth="1"/>
    <col min="16" max="16384" width="10.8164062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Nueva Zelanda</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Nueva Zelanda</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Costa de Marfil</v>
      </c>
      <c r="D6" s="9" t="str">
        <f ca="1">+WORLDCUP!BD64</f>
        <v>Nueva Zelanda</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Costa de Marfil</v>
      </c>
      <c r="D7" s="9" t="str">
        <f ca="1">+WORLDCUP!BD64</f>
        <v>Nueva Zelanda</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Costa de Marfil</v>
      </c>
      <c r="D8" s="9" t="str">
        <f ca="1">+WORLDCUP!BD64</f>
        <v>Nueva Zelanda</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Costa de Marfil</v>
      </c>
      <c r="D9" s="9" t="str">
        <f ca="1">+WORLDCUP!BD64</f>
        <v>Nueva Zelanda</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Costa de Marfil</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Nueva Zelanda</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Nueva Zelanda</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Nueva Zelanda</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Nueva Zelanda</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Nueva Zelanda</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Nueva Zelanda</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Nueva Zelanda</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Nueva Zelanda</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Nueva Zelanda</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Nueva Zelanda</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Costa de Marfil</v>
      </c>
      <c r="D65" s="9" t="str">
        <f ca="1">+WORLDCUP!BD64</f>
        <v>Nueva Zelanda</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Nueva Zelanda</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Nueva Zelanda</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Costa de Marfil</v>
      </c>
      <c r="D73" s="9" t="str">
        <f ca="1">+WORLDCUP!BD64</f>
        <v>Nueva Zelanda</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Costa de Marfil</v>
      </c>
      <c r="D74" s="9" t="str">
        <f ca="1">+WORLDCUP!BD64</f>
        <v>Nueva Zelanda</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Costa de Marfil</v>
      </c>
      <c r="D75" s="9" t="str">
        <f ca="1">+WORLDCUP!BD64</f>
        <v>Nueva Zelanda</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Costa de Marfil</v>
      </c>
      <c r="D76" s="9" t="str">
        <f ca="1">+WORLDCUP!BD64</f>
        <v>Nueva Zelanda</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Costa de Marfil</v>
      </c>
      <c r="D77" s="9" t="str">
        <f ca="1">+WORLDCUP!BD64</f>
        <v>Nueva Zelanda</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Nueva Zelanda</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Nueva Zelanda</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Costa de Marfil</v>
      </c>
      <c r="D80" s="9" t="str">
        <f ca="1">+WORLDCUP!BD64</f>
        <v>Nueva Zelanda</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Costa de Marfil</v>
      </c>
      <c r="D81" s="9" t="str">
        <f ca="1">+WORLDCUP!BD64</f>
        <v>Nueva Zelanda</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Nueva Zelanda</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Nueva Zelanda</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Nueva Zelanda</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Nueva Zelanda</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Nueva Zelanda</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Nueva Zelanda</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Nueva Zelanda</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Nueva Zelanda</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Nueva Zelanda</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Nueva Zelanda</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Nueva Zelanda</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Nueva Zelanda</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Nueva Zelanda</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Nueva Zelanda</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Nueva Zelanda</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Nueva Zelanda</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Nueva Zelanda</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Nueva Zelanda</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Nueva Zelanda</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Nueva Zelanda</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Nueva Zelanda</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Nueva Zelanda</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Nueva Zelanda</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Costa de Marfil</v>
      </c>
      <c r="D184" s="9" t="str">
        <f ca="1">+WORLDCUP!BD64</f>
        <v>Nueva Zelanda</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Costa de Marfil</v>
      </c>
      <c r="D185" s="9" t="str">
        <f ca="1">+WORLDCUP!BD64</f>
        <v>Nueva Zelanda</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Costa de Marfil</v>
      </c>
      <c r="D186" s="9" t="str">
        <f ca="1">+WORLDCUP!BD64</f>
        <v>Nueva Zelanda</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Costa de Marfil</v>
      </c>
      <c r="D187" s="9" t="str">
        <f ca="1">+WORLDCUP!BD64</f>
        <v>Nueva Zelanda</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Costa de Marfil</v>
      </c>
      <c r="D193" s="9" t="str">
        <f ca="1">+WORLDCUP!BD64</f>
        <v>Nueva Zelanda</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Costa de Marfil</v>
      </c>
      <c r="D194" s="9" t="str">
        <f ca="1">+WORLDCUP!BD64</f>
        <v>Nueva Zelanda</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Costa de Marfil</v>
      </c>
      <c r="D195" s="9" t="str">
        <f ca="1">+WORLDCUP!BD64</f>
        <v>Nueva Zelanda</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Costa de Marfil</v>
      </c>
      <c r="D196" s="9" t="str">
        <f ca="1">+WORLDCUP!BD64</f>
        <v>Nueva Zelanda</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Nueva Zelanda</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Nueva Zelanda</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Nueva Zelanda</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Nueva Zelanda</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Nueva Zelanda</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Nueva Zelanda</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Nueva Zelanda</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Nueva Zelanda</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Nueva Zelanda</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Nueva Zelanda</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Nueva Zelanda</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Nueva Zelanda</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Costa de Marfil</v>
      </c>
      <c r="D297" s="9" t="str">
        <f ca="1">+WORLDCUP!BD64</f>
        <v>Nueva Zelanda</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Nueva Zelanda</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Nueva Zelanda</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Nueva Zelanda</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Costa de Marfil</v>
      </c>
      <c r="D306" s="9" t="str">
        <f ca="1">+WORLDCUP!BD64</f>
        <v>Nueva Zelanda</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Nueva Zelanda</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Nueva Zelanda</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Nueva Zelanda</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Nueva Zelanda</v>
      </c>
      <c r="I311" s="9" t="str">
        <f ca="1">+WORLDCUP!BD62</f>
        <v>Costa de Marfil</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Nueva Zelanda</v>
      </c>
      <c r="I314" s="9" t="str">
        <f ca="1">+WORLDCUP!BD62</f>
        <v>Costa de Marfil</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Nueva Zelanda</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Nueva Zelanda</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Nueva Zelanda</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Nueva Zelanda</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Nueva Zelanda</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Nueva Zelanda</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Nueva Zelanda</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Nueva Zelanda</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Nueva Zelanda</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Nueva Zelanda</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Nueva Zelanda</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Nueva Zelanda</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Nueva Zelanda</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Nueva Zelanda</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Nueva Zelanda</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Nueva Zelanda</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Costa de Marfil</v>
      </c>
      <c r="D342" s="9" t="str">
        <f ca="1">+WORLDCUP!BD64</f>
        <v>Nueva Zelanda</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Nueva Zelanda</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Nueva Zelanda</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Costa de Marfil</v>
      </c>
      <c r="D345" s="9" t="str">
        <f ca="1">+WORLDCUP!BD64</f>
        <v>Nueva Zelanda</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Nueva Zelanda</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Nueva Zelanda</v>
      </c>
      <c r="I347" s="9" t="str">
        <f ca="1">+WORLDCUP!BD62</f>
        <v>Costa de Marfil</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Costa de Marfil</v>
      </c>
      <c r="D348" s="9" t="str">
        <f ca="1">+WORLDCUP!BD64</f>
        <v>Nueva Zelanda</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Costa de Marfil</v>
      </c>
      <c r="D349" s="9" t="str">
        <f ca="1">+WORLDCUP!BD64</f>
        <v>Nueva Zelanda</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Nueva Zelanda</v>
      </c>
      <c r="I350" s="9" t="str">
        <f ca="1">+WORLDCUP!BD62</f>
        <v>Costa de Marfil</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Costa de Marfil</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Costa de Marfil</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Costa de Marfil</v>
      </c>
      <c r="D361" s="9" t="str">
        <f ca="1">+WORLDCUP!BD64</f>
        <v>Nueva Zelanda</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Costa de Marfil</v>
      </c>
      <c r="D362" s="9" t="str">
        <f ca="1">+WORLDCUP!BD64</f>
        <v>Nueva Zelanda</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Costa de Marfil</v>
      </c>
      <c r="D363" s="9" t="str">
        <f ca="1">+WORLDCUP!BD64</f>
        <v>Nueva Zelanda</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Costa de Marfil</v>
      </c>
      <c r="D364" s="9" t="str">
        <f ca="1">+WORLDCUP!BD64</f>
        <v>Nueva Zelanda</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Costa de Marfil</v>
      </c>
      <c r="D365" s="9" t="str">
        <f ca="1">+WORLDCUP!BD64</f>
        <v>Nueva Zelanda</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Costa de Marfil</v>
      </c>
      <c r="D366" s="9" t="str">
        <f ca="1">+WORLDCUP!BD64</f>
        <v>Nueva Zelanda</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Nueva Zelanda</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Nueva Zelanda</v>
      </c>
      <c r="E368" s="9" t="str">
        <f ca="1">+WORLDCUP!BD59</f>
        <v>Bosnia y Herzegovina</v>
      </c>
      <c r="F368" s="9" t="str">
        <f ca="1">+WORLDCUP!BD61</f>
        <v>Paraguay</v>
      </c>
      <c r="G368" s="9" t="str">
        <f ca="1">+WORLDCUP!BD58</f>
        <v>Corea del Sur</v>
      </c>
      <c r="H368" s="9" t="str">
        <f ca="1">+WORLDCUP!BD63</f>
        <v>Suecia</v>
      </c>
      <c r="I368" s="9" t="str">
        <f ca="1">+WORLDCUP!BD62</f>
        <v>Costa de Marfil</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Nueva Zelanda</v>
      </c>
      <c r="E369" s="9" t="str">
        <f ca="1">+WORLDCUP!BD59</f>
        <v>Bosnia y Herzegovina</v>
      </c>
      <c r="F369" s="9" t="str">
        <f ca="1">+WORLDCUP!BD61</f>
        <v>Paraguay</v>
      </c>
      <c r="G369" s="9" t="str">
        <f ca="1">+WORLDCUP!BD58</f>
        <v>Corea del Sur</v>
      </c>
      <c r="H369" s="9" t="str">
        <f ca="1">+WORLDCUP!BD63</f>
        <v>Suecia</v>
      </c>
      <c r="I369" s="9" t="str">
        <f ca="1">+WORLDCUP!BD62</f>
        <v>Costa de Marfil</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Nueva Zelanda</v>
      </c>
      <c r="E370" s="9" t="str">
        <f ca="1">+WORLDCUP!BD59</f>
        <v>Bosnia y Herzegovina</v>
      </c>
      <c r="F370" s="9" t="str">
        <f ca="1">+WORLDCUP!BD61</f>
        <v>Paraguay</v>
      </c>
      <c r="G370" s="9" t="str">
        <f ca="1">+WORLDCUP!BD58</f>
        <v>Corea del Sur</v>
      </c>
      <c r="H370" s="9" t="str">
        <f ca="1">+WORLDCUP!BD63</f>
        <v>Suecia</v>
      </c>
      <c r="I370" s="9" t="str">
        <f ca="1">+WORLDCUP!BD62</f>
        <v>Costa de Marfil</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Nueva Zelanda</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Nueva Zelanda</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Nueva Zelanda</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Nueva Zelanda</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Nueva Zelanda</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Nueva Zelanda</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Nueva Zelanda</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Nueva Zelanda</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Costa de Marfil</v>
      </c>
      <c r="D398" s="9" t="str">
        <f ca="1">+WORLDCUP!BD64</f>
        <v>Nueva Zelanda</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Nueva Zelanda</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Nueva Zelanda</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Nueva Zelanda</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Nueva Zelanda</v>
      </c>
      <c r="I403" s="9" t="str">
        <f ca="1">+WORLDCUP!BD62</f>
        <v>Costa de Marfil</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Nueva Zelanda</v>
      </c>
      <c r="I406" s="9" t="str">
        <f ca="1">+WORLDCUP!BD62</f>
        <v>Costa de Marfil</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Nueva Zelanda</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Nueva Zelanda</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Nueva Zelanda</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Nueva Zelanda</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Nueva Zelanda</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Nueva Zelanda</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Nueva Zelanda</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Nueva Zelanda</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Nueva Zelanda</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Nueva Zelanda</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Costa de Marfil</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1</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Costa de Marfil</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Nueva Zelanda</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Nueva Zelanda</v>
      </c>
      <c r="E493" s="9" t="str">
        <f ca="1">+WORLDCUP!BD59</f>
        <v>Bosnia y Herzegovina</v>
      </c>
      <c r="F493" s="9" t="str">
        <f ca="1">+WORLDCUP!BD61</f>
        <v>Paraguay</v>
      </c>
      <c r="G493" s="9" t="str">
        <f ca="1">+WORLDCUP!BD58</f>
        <v>Corea del Sur</v>
      </c>
      <c r="H493" s="9" t="str">
        <f ca="1">+WORLDCUP!BD63</f>
        <v>Suecia</v>
      </c>
      <c r="I493" s="9" t="str">
        <f ca="1">+WORLDCUP!BD62</f>
        <v>Costa de Marfil</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Nueva Zelanda</v>
      </c>
      <c r="E494" s="9" t="str">
        <f ca="1">+WORLDCUP!BD59</f>
        <v>Bosnia y Herzegovina</v>
      </c>
      <c r="F494" s="9" t="str">
        <f ca="1">+WORLDCUP!BD61</f>
        <v>Paraguay</v>
      </c>
      <c r="G494" s="9" t="str">
        <f ca="1">+WORLDCUP!BD58</f>
        <v>Corea del Sur</v>
      </c>
      <c r="H494" s="9" t="str">
        <f ca="1">+WORLDCUP!BD63</f>
        <v>Suecia</v>
      </c>
      <c r="I494" s="9" t="str">
        <f ca="1">+WORLDCUP!BD62</f>
        <v>Costa de Marfil</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Nueva Zelanda</v>
      </c>
      <c r="E495" s="9" t="str">
        <f ca="1">+WORLDCUP!BD59</f>
        <v>Bosnia y Herzegovina</v>
      </c>
      <c r="F495" s="9" t="str">
        <f ca="1">+WORLDCUP!BD61</f>
        <v>Paraguay</v>
      </c>
      <c r="G495" s="9" t="str">
        <f ca="1">+WORLDCUP!BD58</f>
        <v>Corea del Sur</v>
      </c>
      <c r="H495" s="9" t="str">
        <f ca="1">+WORLDCUP!BD63</f>
        <v>Suecia</v>
      </c>
      <c r="I495" s="9" t="str">
        <f ca="1">+WORLDCUP!BD62</f>
        <v>Costa de Marfil</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defaultColWidth="10.90625" defaultRowHeight="14.5"/>
  <cols>
    <col min="4" max="4" width="10.8164062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Carlos Xavier Elvir</cp:lastModifiedBy>
  <cp:lastPrinted>2018-12-06T18:06:35Z</cp:lastPrinted>
  <dcterms:created xsi:type="dcterms:W3CDTF">2015-10-31T09:41:54Z</dcterms:created>
  <dcterms:modified xsi:type="dcterms:W3CDTF">2026-06-10T21:39:53Z</dcterms:modified>
  <cp:category/>
</cp:coreProperties>
</file>